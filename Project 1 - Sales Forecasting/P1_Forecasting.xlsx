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raj/Desktop/Supply Chain Analytics Portfolio/Project 1 - Sales Forecasting/"/>
    </mc:Choice>
  </mc:AlternateContent>
  <xr:revisionPtr revIDLastSave="0" documentId="13_ncr:1_{29659283-0F52-F249-9DB2-46B59B3E4620}" xr6:coauthVersionLast="47" xr6:coauthVersionMax="47" xr10:uidLastSave="{00000000-0000-0000-0000-000000000000}"/>
  <bookViews>
    <workbookView xWindow="680" yWindow="740" windowWidth="28040" windowHeight="17080" activeTab="4" xr2:uid="{B23510DF-DA71-774A-989E-40E978129852}"/>
  </bookViews>
  <sheets>
    <sheet name="InputData" sheetId="1" r:id="rId1"/>
    <sheet name="MovingAverages" sheetId="2" r:id="rId2"/>
    <sheet name="Simple Exponential Smoothing" sheetId="3" r:id="rId3"/>
    <sheet name="Croston &amp; SBA Method" sheetId="4" r:id="rId4"/>
    <sheet name="SeasonalSES(Holt Winters lite)" sheetId="5" r:id="rId5"/>
  </sheets>
  <definedNames>
    <definedName name="_xlchart.v1.0" hidden="1">'Croston &amp; SBA Method'!$C$2:$C$366</definedName>
    <definedName name="_xlchart.v1.1" hidden="1">'Croston &amp; SBA Method'!$H$1</definedName>
    <definedName name="_xlchart.v1.2" hidden="1">'Croston &amp; SBA Method'!$H$2:$H$366</definedName>
    <definedName name="_xlchart.v1.3" hidden="1">'Croston &amp; SBA Method'!$I$1</definedName>
    <definedName name="_xlchart.v1.4" hidden="1">'Croston &amp; SBA Method'!$I$2:$I$366</definedName>
    <definedName name="_xlchart.v1.5" hidden="1">'Croston &amp; SBA Method'!$C$2:$C$366</definedName>
    <definedName name="_xlchart.v1.6" hidden="1">'Croston &amp; SBA Method'!$H$1</definedName>
    <definedName name="_xlchart.v1.7" hidden="1">'Croston &amp; SBA Method'!$H$2:$H$366</definedName>
    <definedName name="_xlchart.v1.8" hidden="1">'Croston &amp; SBA Method'!$I$1</definedName>
    <definedName name="_xlchart.v1.9" hidden="1">'Croston &amp; SBA Method'!$I$2:$I$366</definedName>
    <definedName name="alpha_c">'Croston &amp; SBA Method'!$R$1</definedName>
    <definedName name="alpha1">'Simple Exponential Smoothing'!$Q$2</definedName>
    <definedName name="alpha2">'Simple Exponential Smoothing'!$Q$3</definedName>
    <definedName name="alpha3">'Simple Exponential Smoothing'!$Q$4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" i="5" l="1"/>
  <c r="U7" i="5"/>
  <c r="U6" i="5"/>
  <c r="U5" i="5"/>
  <c r="U4" i="5"/>
  <c r="U3" i="5"/>
  <c r="U2" i="5"/>
  <c r="T10" i="5"/>
  <c r="T8" i="5"/>
  <c r="T7" i="5"/>
  <c r="T6" i="5"/>
  <c r="T5" i="5"/>
  <c r="T4" i="5"/>
  <c r="T3" i="5"/>
  <c r="T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2" i="4"/>
  <c r="E3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7" i="4"/>
  <c r="D68" i="4"/>
  <c r="C2" i="4" a="1"/>
  <c r="B2" i="4" a="1"/>
  <c r="A2" i="4" a="1"/>
  <c r="D24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3" i="3"/>
  <c r="E4" i="3"/>
  <c r="E2" i="3"/>
  <c r="D4" i="3"/>
  <c r="D3" i="3"/>
  <c r="D2" i="3"/>
  <c r="C2" i="3" a="1"/>
  <c r="B2" i="3" a="1"/>
  <c r="A2" i="3" a="1"/>
  <c r="E374" i="2" a="1"/>
  <c r="D374" i="2" a="1"/>
  <c r="C374" i="2" a="1"/>
  <c r="E373" i="2" a="1"/>
  <c r="D373" i="2" a="1"/>
  <c r="C373" i="2" a="1"/>
  <c r="E372" i="2" a="1"/>
  <c r="D372" i="2" a="1"/>
  <c r="C372" i="2" a="1"/>
  <c r="C371" i="2" a="1"/>
  <c r="E371" i="2" a="1"/>
  <c r="D371" i="2" a="1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0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8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16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8" i="2"/>
  <c r="E2" i="2" a="1"/>
  <c r="D2" i="2" a="1"/>
  <c r="C2" i="2" a="1"/>
  <c r="B2" i="2" a="1"/>
  <c r="A2" i="2" a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G3" i="4" l="1"/>
  <c r="E4" i="4"/>
  <c r="E5" i="4"/>
  <c r="E6" i="4"/>
  <c r="E7" i="4"/>
  <c r="E9" i="4"/>
  <c r="E14" i="4"/>
  <c r="E15" i="4"/>
  <c r="E16" i="4"/>
  <c r="E17" i="4"/>
  <c r="E18" i="4"/>
  <c r="E19" i="4"/>
  <c r="E20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1" i="4"/>
  <c r="E52" i="4"/>
  <c r="E53" i="4"/>
  <c r="E54" i="4"/>
  <c r="E55" i="4"/>
  <c r="E56" i="4"/>
  <c r="E57" i="4"/>
  <c r="E58" i="4"/>
  <c r="E59" i="4"/>
  <c r="E60" i="4"/>
  <c r="E61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6" i="4"/>
  <c r="E87" i="4"/>
  <c r="E88" i="4"/>
  <c r="E89" i="4"/>
  <c r="E90" i="4"/>
  <c r="E91" i="4"/>
  <c r="E92" i="4"/>
  <c r="E93" i="4"/>
  <c r="E94" i="4"/>
  <c r="E95" i="4"/>
  <c r="E96" i="4"/>
  <c r="E97" i="4"/>
  <c r="E99" i="4"/>
  <c r="E100" i="4"/>
  <c r="E103" i="4"/>
  <c r="E104" i="4"/>
  <c r="E105" i="4"/>
  <c r="E106" i="4"/>
  <c r="E107" i="4"/>
  <c r="E108" i="4"/>
  <c r="E109" i="4"/>
  <c r="E110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2" i="4"/>
  <c r="E133" i="4"/>
  <c r="E134" i="4"/>
  <c r="E136" i="4"/>
  <c r="E137" i="4"/>
  <c r="E138" i="4"/>
  <c r="E139" i="4"/>
  <c r="E140" i="4"/>
  <c r="E141" i="4"/>
  <c r="E142" i="4"/>
  <c r="E143" i="4"/>
  <c r="E144" i="4"/>
  <c r="E145" i="4"/>
  <c r="E146" i="4"/>
  <c r="E148" i="4"/>
  <c r="E149" i="4"/>
  <c r="E150" i="4"/>
  <c r="E151" i="4"/>
  <c r="E152" i="4"/>
  <c r="E153" i="4"/>
  <c r="E156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7" i="4"/>
  <c r="E178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8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2" i="4"/>
  <c r="E343" i="4"/>
  <c r="E344" i="4"/>
  <c r="E345" i="4"/>
  <c r="E346" i="4"/>
  <c r="E347" i="4"/>
  <c r="E348" i="4"/>
  <c r="E349" i="4"/>
  <c r="E351" i="4"/>
  <c r="E352" i="4"/>
  <c r="E353" i="4"/>
  <c r="E354" i="4"/>
  <c r="E355" i="4"/>
  <c r="E356" i="4"/>
  <c r="E358" i="4"/>
  <c r="E359" i="4"/>
  <c r="E360" i="4"/>
  <c r="E366" i="4"/>
  <c r="D69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6" i="4"/>
  <c r="D87" i="4"/>
  <c r="D93" i="4"/>
  <c r="D94" i="4"/>
  <c r="D95" i="4"/>
  <c r="D96" i="4"/>
  <c r="D97" i="4"/>
  <c r="D99" i="4"/>
  <c r="D100" i="4"/>
  <c r="D101" i="4"/>
  <c r="D103" i="4"/>
  <c r="D104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6" i="4"/>
  <c r="D132" i="4"/>
  <c r="D133" i="4"/>
  <c r="D134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5" i="4"/>
  <c r="D296" i="4"/>
  <c r="D297" i="4"/>
  <c r="D298" i="4"/>
  <c r="D300" i="4"/>
  <c r="D301" i="4"/>
  <c r="D302" i="4"/>
  <c r="D303" i="4"/>
  <c r="D305" i="4"/>
  <c r="D306" i="4"/>
  <c r="D307" i="4"/>
  <c r="D308" i="4"/>
  <c r="D309" i="4"/>
  <c r="D310" i="4"/>
  <c r="D311" i="4"/>
  <c r="D312" i="4"/>
  <c r="D313" i="4"/>
  <c r="D315" i="4"/>
  <c r="D316" i="4"/>
  <c r="D317" i="4"/>
  <c r="D318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8" i="4"/>
  <c r="D359" i="4"/>
  <c r="D360" i="4"/>
  <c r="D366" i="4"/>
  <c r="D2" i="4"/>
  <c r="F2" i="4" s="1"/>
  <c r="H2" i="4" s="1"/>
  <c r="E8" i="4"/>
  <c r="E10" i="4"/>
  <c r="E11" i="4" s="1"/>
  <c r="E12" i="4" s="1"/>
  <c r="E21" i="4"/>
  <c r="E50" i="4"/>
  <c r="E62" i="4"/>
  <c r="E63" i="4" s="1"/>
  <c r="E350" i="4"/>
  <c r="E64" i="4"/>
  <c r="E65" i="4" s="1"/>
  <c r="E66" i="4" s="1"/>
  <c r="E111" i="4"/>
  <c r="E135" i="4"/>
  <c r="E317" i="4"/>
  <c r="E85" i="4"/>
  <c r="E98" i="4"/>
  <c r="E101" i="4"/>
  <c r="E102" i="4" s="1"/>
  <c r="E131" i="4"/>
  <c r="E176" i="4"/>
  <c r="E319" i="4"/>
  <c r="E341" i="4"/>
  <c r="E147" i="4"/>
  <c r="E157" i="4"/>
  <c r="E195" i="4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D25" i="4"/>
  <c r="D50" i="4"/>
  <c r="D65" i="4"/>
  <c r="D66" i="4" s="1"/>
  <c r="E240" i="3"/>
  <c r="F240" i="3" s="1"/>
  <c r="D5" i="3"/>
  <c r="D6" i="3" s="1"/>
  <c r="D7" i="3" s="1"/>
  <c r="D8" i="3" s="1"/>
  <c r="D9" i="3" s="1"/>
  <c r="D10" i="3" s="1"/>
  <c r="D11" i="3" s="1"/>
  <c r="D12" i="3" s="1"/>
  <c r="D13" i="3"/>
  <c r="D14" i="3" s="1"/>
  <c r="D15" i="3" s="1"/>
  <c r="D16" i="3" s="1"/>
  <c r="D17" i="3" s="1"/>
  <c r="D18" i="3" s="1"/>
  <c r="D19" i="3"/>
  <c r="D20" i="3" s="1"/>
  <c r="D21" i="3"/>
  <c r="D22" i="3" s="1"/>
  <c r="D23" i="3" s="1"/>
  <c r="D24" i="3" s="1"/>
  <c r="D25" i="3"/>
  <c r="D26" i="3" s="1"/>
  <c r="D27" i="3" s="1"/>
  <c r="D28" i="3" s="1"/>
  <c r="D29" i="3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299" i="4" l="1"/>
  <c r="G4" i="4"/>
  <c r="G5" i="4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F3" i="4"/>
  <c r="E154" i="4"/>
  <c r="E155" i="4" s="1"/>
  <c r="E293" i="4"/>
  <c r="E294" i="4" s="1"/>
  <c r="E361" i="4"/>
  <c r="E362" i="4" s="1"/>
  <c r="D105" i="4"/>
  <c r="D127" i="4"/>
  <c r="D128" i="4" s="1"/>
  <c r="D129" i="4" s="1"/>
  <c r="D130" i="4" s="1"/>
  <c r="D131" i="4" s="1"/>
  <c r="E179" i="4"/>
  <c r="E180" i="4" s="1"/>
  <c r="D84" i="4"/>
  <c r="D85" i="4" s="1"/>
  <c r="E363" i="4"/>
  <c r="E364" i="4" s="1"/>
  <c r="E365" i="4" s="1"/>
  <c r="D125" i="4"/>
  <c r="D314" i="4"/>
  <c r="D319" i="4"/>
  <c r="D3" i="4"/>
  <c r="D4" i="4" s="1"/>
  <c r="E357" i="4"/>
  <c r="D102" i="4"/>
  <c r="D194" i="4"/>
  <c r="D195" i="4" s="1"/>
  <c r="D196" i="4" s="1"/>
  <c r="D197" i="4" s="1"/>
  <c r="D198" i="4" s="1"/>
  <c r="D199" i="4" s="1"/>
  <c r="D200" i="4" s="1"/>
  <c r="D201" i="4" s="1"/>
  <c r="D202" i="4" s="1"/>
  <c r="D203" i="4" s="1"/>
  <c r="D204" i="4" s="1"/>
  <c r="D205" i="4" s="1"/>
  <c r="D206" i="4" s="1"/>
  <c r="D207" i="4" s="1"/>
  <c r="D208" i="4" s="1"/>
  <c r="D209" i="4" s="1"/>
  <c r="D210" i="4" s="1"/>
  <c r="D211" i="4" s="1"/>
  <c r="D212" i="4" s="1"/>
  <c r="D213" i="4" s="1"/>
  <c r="D214" i="4" s="1"/>
  <c r="D215" i="4" s="1"/>
  <c r="D216" i="4" s="1"/>
  <c r="D217" i="4" s="1"/>
  <c r="D218" i="4" s="1"/>
  <c r="D219" i="4" s="1"/>
  <c r="D220" i="4" s="1"/>
  <c r="D221" i="4" s="1"/>
  <c r="D222" i="4" s="1"/>
  <c r="D223" i="4" s="1"/>
  <c r="D224" i="4" s="1"/>
  <c r="D225" i="4" s="1"/>
  <c r="D226" i="4" s="1"/>
  <c r="D227" i="4" s="1"/>
  <c r="D228" i="4" s="1"/>
  <c r="D229" i="4" s="1"/>
  <c r="D230" i="4" s="1"/>
  <c r="D231" i="4" s="1"/>
  <c r="D98" i="4"/>
  <c r="D135" i="4"/>
  <c r="D304" i="4"/>
  <c r="D357" i="4"/>
  <c r="D159" i="4"/>
  <c r="D294" i="4"/>
  <c r="D361" i="4"/>
  <c r="D362" i="4" s="1"/>
  <c r="D363" i="4" s="1"/>
  <c r="D364" i="4" s="1"/>
  <c r="D365" i="4" s="1"/>
  <c r="D70" i="4"/>
  <c r="D88" i="4"/>
  <c r="D89" i="4" s="1"/>
  <c r="D90" i="4" s="1"/>
  <c r="D91" i="4" s="1"/>
  <c r="D92" i="4" s="1"/>
  <c r="E13" i="4"/>
  <c r="D40" i="3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1" i="3" s="1"/>
  <c r="F4" i="4" l="1"/>
  <c r="H3" i="4"/>
  <c r="J3" i="4" s="1"/>
  <c r="K3" i="4" s="1"/>
  <c r="G21" i="4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G64" i="4" s="1"/>
  <c r="G65" i="4" s="1"/>
  <c r="G66" i="4" s="1"/>
  <c r="G67" i="4" s="1"/>
  <c r="G68" i="4" s="1"/>
  <c r="G69" i="4" s="1"/>
  <c r="G70" i="4" s="1"/>
  <c r="G71" i="4" s="1"/>
  <c r="G72" i="4" s="1"/>
  <c r="G73" i="4" s="1"/>
  <c r="G74" i="4" s="1"/>
  <c r="G75" i="4" s="1"/>
  <c r="G76" i="4" s="1"/>
  <c r="G77" i="4" s="1"/>
  <c r="G78" i="4" s="1"/>
  <c r="G79" i="4" s="1"/>
  <c r="G80" i="4" s="1"/>
  <c r="G81" i="4" s="1"/>
  <c r="G82" i="4" s="1"/>
  <c r="G83" i="4" s="1"/>
  <c r="G84" i="4" s="1"/>
  <c r="G85" i="4" s="1"/>
  <c r="G86" i="4" s="1"/>
  <c r="G87" i="4" s="1"/>
  <c r="G88" i="4" s="1"/>
  <c r="G89" i="4" s="1"/>
  <c r="G90" i="4" s="1"/>
  <c r="G91" i="4" s="1"/>
  <c r="G92" i="4" s="1"/>
  <c r="G93" i="4" s="1"/>
  <c r="G94" i="4" s="1"/>
  <c r="G95" i="4" s="1"/>
  <c r="G96" i="4" s="1"/>
  <c r="G97" i="4" s="1"/>
  <c r="G98" i="4" s="1"/>
  <c r="G99" i="4" s="1"/>
  <c r="G100" i="4" s="1"/>
  <c r="G101" i="4" s="1"/>
  <c r="G102" i="4" s="1"/>
  <c r="G103" i="4" s="1"/>
  <c r="G104" i="4" s="1"/>
  <c r="G105" i="4" s="1"/>
  <c r="G106" i="4" s="1"/>
  <c r="G107" i="4" s="1"/>
  <c r="G108" i="4" s="1"/>
  <c r="G109" i="4" s="1"/>
  <c r="G110" i="4" s="1"/>
  <c r="G111" i="4" s="1"/>
  <c r="G112" i="4" s="1"/>
  <c r="G113" i="4" s="1"/>
  <c r="G114" i="4" s="1"/>
  <c r="G115" i="4" s="1"/>
  <c r="G116" i="4" s="1"/>
  <c r="G117" i="4" s="1"/>
  <c r="G118" i="4" s="1"/>
  <c r="G119" i="4" s="1"/>
  <c r="G120" i="4" s="1"/>
  <c r="G121" i="4" s="1"/>
  <c r="G122" i="4" s="1"/>
  <c r="G123" i="4" s="1"/>
  <c r="G124" i="4" s="1"/>
  <c r="G125" i="4" s="1"/>
  <c r="G126" i="4" s="1"/>
  <c r="G127" i="4" s="1"/>
  <c r="G128" i="4" s="1"/>
  <c r="G129" i="4" s="1"/>
  <c r="G130" i="4" s="1"/>
  <c r="G131" i="4" s="1"/>
  <c r="G132" i="4" s="1"/>
  <c r="G133" i="4" s="1"/>
  <c r="G134" i="4" s="1"/>
  <c r="G135" i="4" s="1"/>
  <c r="G136" i="4" s="1"/>
  <c r="G137" i="4" s="1"/>
  <c r="G138" i="4" s="1"/>
  <c r="G139" i="4" s="1"/>
  <c r="G140" i="4" s="1"/>
  <c r="G141" i="4" s="1"/>
  <c r="G142" i="4" s="1"/>
  <c r="G143" i="4" s="1"/>
  <c r="G144" i="4" s="1"/>
  <c r="G145" i="4" s="1"/>
  <c r="G146" i="4" s="1"/>
  <c r="G147" i="4" s="1"/>
  <c r="G148" i="4" s="1"/>
  <c r="G149" i="4" s="1"/>
  <c r="G150" i="4" s="1"/>
  <c r="G151" i="4" s="1"/>
  <c r="G152" i="4" s="1"/>
  <c r="G153" i="4" s="1"/>
  <c r="G154" i="4" s="1"/>
  <c r="G155" i="4" s="1"/>
  <c r="G156" i="4" s="1"/>
  <c r="G157" i="4" s="1"/>
  <c r="G158" i="4" s="1"/>
  <c r="G159" i="4" s="1"/>
  <c r="G160" i="4" s="1"/>
  <c r="G161" i="4" s="1"/>
  <c r="G162" i="4" s="1"/>
  <c r="G163" i="4" s="1"/>
  <c r="G164" i="4" s="1"/>
  <c r="G165" i="4" s="1"/>
  <c r="G166" i="4" s="1"/>
  <c r="G167" i="4" s="1"/>
  <c r="G168" i="4" s="1"/>
  <c r="G169" i="4" s="1"/>
  <c r="G170" i="4" s="1"/>
  <c r="G171" i="4" s="1"/>
  <c r="G172" i="4" s="1"/>
  <c r="G173" i="4" s="1"/>
  <c r="G174" i="4" s="1"/>
  <c r="G175" i="4" s="1"/>
  <c r="G176" i="4" s="1"/>
  <c r="G177" i="4" s="1"/>
  <c r="G178" i="4" s="1"/>
  <c r="G179" i="4" s="1"/>
  <c r="G180" i="4" s="1"/>
  <c r="G181" i="4" s="1"/>
  <c r="G182" i="4" s="1"/>
  <c r="G183" i="4" s="1"/>
  <c r="G184" i="4" s="1"/>
  <c r="G185" i="4" s="1"/>
  <c r="G186" i="4" s="1"/>
  <c r="G187" i="4" s="1"/>
  <c r="G188" i="4" s="1"/>
  <c r="G189" i="4" s="1"/>
  <c r="G190" i="4" s="1"/>
  <c r="G191" i="4" s="1"/>
  <c r="G192" i="4" s="1"/>
  <c r="G193" i="4" s="1"/>
  <c r="G194" i="4" s="1"/>
  <c r="G195" i="4" s="1"/>
  <c r="G196" i="4" s="1"/>
  <c r="G197" i="4" s="1"/>
  <c r="G198" i="4" s="1"/>
  <c r="G199" i="4" s="1"/>
  <c r="G200" i="4" s="1"/>
  <c r="G201" i="4" s="1"/>
  <c r="G202" i="4" s="1"/>
  <c r="G203" i="4" s="1"/>
  <c r="G204" i="4" s="1"/>
  <c r="G205" i="4" s="1"/>
  <c r="G206" i="4" s="1"/>
  <c r="G207" i="4" s="1"/>
  <c r="G208" i="4" s="1"/>
  <c r="G209" i="4" s="1"/>
  <c r="G210" i="4" s="1"/>
  <c r="G211" i="4" s="1"/>
  <c r="G212" i="4" s="1"/>
  <c r="G213" i="4" s="1"/>
  <c r="G214" i="4" s="1"/>
  <c r="G215" i="4" s="1"/>
  <c r="G216" i="4" s="1"/>
  <c r="G217" i="4" s="1"/>
  <c r="G218" i="4" s="1"/>
  <c r="G219" i="4" s="1"/>
  <c r="G220" i="4" s="1"/>
  <c r="G221" i="4" s="1"/>
  <c r="G222" i="4" s="1"/>
  <c r="G223" i="4" s="1"/>
  <c r="G224" i="4" s="1"/>
  <c r="G225" i="4" s="1"/>
  <c r="G226" i="4" s="1"/>
  <c r="G227" i="4" s="1"/>
  <c r="G228" i="4" s="1"/>
  <c r="G229" i="4" s="1"/>
  <c r="G230" i="4" s="1"/>
  <c r="G231" i="4" s="1"/>
  <c r="G232" i="4" s="1"/>
  <c r="G233" i="4" s="1"/>
  <c r="G234" i="4" s="1"/>
  <c r="G235" i="4" s="1"/>
  <c r="G236" i="4" s="1"/>
  <c r="G237" i="4" s="1"/>
  <c r="G238" i="4" s="1"/>
  <c r="G239" i="4" s="1"/>
  <c r="G240" i="4" s="1"/>
  <c r="G241" i="4" s="1"/>
  <c r="G242" i="4" s="1"/>
  <c r="G243" i="4" s="1"/>
  <c r="G244" i="4" s="1"/>
  <c r="G245" i="4" s="1"/>
  <c r="G246" i="4" s="1"/>
  <c r="G247" i="4" s="1"/>
  <c r="G248" i="4" s="1"/>
  <c r="G249" i="4" s="1"/>
  <c r="G250" i="4" s="1"/>
  <c r="G251" i="4" s="1"/>
  <c r="G252" i="4" s="1"/>
  <c r="G253" i="4" s="1"/>
  <c r="G254" i="4" s="1"/>
  <c r="G255" i="4" s="1"/>
  <c r="G256" i="4" s="1"/>
  <c r="G257" i="4" s="1"/>
  <c r="G258" i="4" s="1"/>
  <c r="G259" i="4" s="1"/>
  <c r="G260" i="4" s="1"/>
  <c r="G261" i="4" s="1"/>
  <c r="G262" i="4" s="1"/>
  <c r="G263" i="4" s="1"/>
  <c r="G264" i="4" s="1"/>
  <c r="G265" i="4" s="1"/>
  <c r="G266" i="4" s="1"/>
  <c r="G267" i="4" s="1"/>
  <c r="G268" i="4" s="1"/>
  <c r="G269" i="4" s="1"/>
  <c r="G270" i="4" s="1"/>
  <c r="G271" i="4" s="1"/>
  <c r="G272" i="4" s="1"/>
  <c r="G273" i="4" s="1"/>
  <c r="G274" i="4" s="1"/>
  <c r="G275" i="4" s="1"/>
  <c r="G276" i="4" s="1"/>
  <c r="G277" i="4" s="1"/>
  <c r="G278" i="4" s="1"/>
  <c r="G279" i="4" s="1"/>
  <c r="G280" i="4" s="1"/>
  <c r="G281" i="4" s="1"/>
  <c r="G282" i="4" s="1"/>
  <c r="G283" i="4" s="1"/>
  <c r="G284" i="4" s="1"/>
  <c r="G285" i="4" s="1"/>
  <c r="G286" i="4" s="1"/>
  <c r="G287" i="4" s="1"/>
  <c r="G288" i="4" s="1"/>
  <c r="G289" i="4" s="1"/>
  <c r="G290" i="4" s="1"/>
  <c r="G291" i="4" s="1"/>
  <c r="G292" i="4" s="1"/>
  <c r="G293" i="4" s="1"/>
  <c r="G294" i="4" s="1"/>
  <c r="G295" i="4" s="1"/>
  <c r="G296" i="4" s="1"/>
  <c r="G297" i="4" s="1"/>
  <c r="G298" i="4" s="1"/>
  <c r="G299" i="4" s="1"/>
  <c r="G300" i="4" s="1"/>
  <c r="G301" i="4" s="1"/>
  <c r="G302" i="4" s="1"/>
  <c r="G303" i="4" s="1"/>
  <c r="G304" i="4" s="1"/>
  <c r="G305" i="4" s="1"/>
  <c r="G306" i="4" s="1"/>
  <c r="G307" i="4" s="1"/>
  <c r="G308" i="4" s="1"/>
  <c r="G309" i="4" s="1"/>
  <c r="G310" i="4" s="1"/>
  <c r="G311" i="4" s="1"/>
  <c r="G312" i="4" s="1"/>
  <c r="G313" i="4" s="1"/>
  <c r="G314" i="4" s="1"/>
  <c r="G315" i="4" s="1"/>
  <c r="G316" i="4" s="1"/>
  <c r="G317" i="4" s="1"/>
  <c r="G318" i="4" s="1"/>
  <c r="G319" i="4" s="1"/>
  <c r="G320" i="4" s="1"/>
  <c r="G321" i="4" s="1"/>
  <c r="G322" i="4" s="1"/>
  <c r="G323" i="4" s="1"/>
  <c r="G324" i="4" s="1"/>
  <c r="G325" i="4" s="1"/>
  <c r="G326" i="4" s="1"/>
  <c r="G327" i="4" s="1"/>
  <c r="G328" i="4" s="1"/>
  <c r="G329" i="4" s="1"/>
  <c r="G330" i="4" s="1"/>
  <c r="G331" i="4" s="1"/>
  <c r="G332" i="4" s="1"/>
  <c r="G333" i="4" s="1"/>
  <c r="G334" i="4" s="1"/>
  <c r="G335" i="4" s="1"/>
  <c r="G336" i="4" s="1"/>
  <c r="G337" i="4" s="1"/>
  <c r="G338" i="4" s="1"/>
  <c r="G339" i="4" s="1"/>
  <c r="G340" i="4" s="1"/>
  <c r="G341" i="4" s="1"/>
  <c r="G342" i="4" s="1"/>
  <c r="G343" i="4" s="1"/>
  <c r="G344" i="4" s="1"/>
  <c r="G345" i="4" s="1"/>
  <c r="G346" i="4" s="1"/>
  <c r="G347" i="4" s="1"/>
  <c r="G348" i="4" s="1"/>
  <c r="G349" i="4" s="1"/>
  <c r="G350" i="4" s="1"/>
  <c r="G351" i="4" s="1"/>
  <c r="G352" i="4" s="1"/>
  <c r="G353" i="4" s="1"/>
  <c r="G354" i="4" s="1"/>
  <c r="G355" i="4" s="1"/>
  <c r="G356" i="4" s="1"/>
  <c r="G357" i="4" s="1"/>
  <c r="G358" i="4" s="1"/>
  <c r="G359" i="4" s="1"/>
  <c r="G360" i="4" s="1"/>
  <c r="G361" i="4" s="1"/>
  <c r="G362" i="4" s="1"/>
  <c r="G363" i="4" s="1"/>
  <c r="G364" i="4" s="1"/>
  <c r="G365" i="4" s="1"/>
  <c r="G366" i="4" s="1"/>
  <c r="D232" i="4"/>
  <c r="D233" i="4" s="1"/>
  <c r="D234" i="4" s="1"/>
  <c r="D235" i="4" s="1"/>
  <c r="D236" i="4" s="1"/>
  <c r="D237" i="4" s="1"/>
  <c r="D238" i="4" s="1"/>
  <c r="D239" i="4" s="1"/>
  <c r="D240" i="4" s="1"/>
  <c r="D241" i="4" s="1"/>
  <c r="D242" i="4" s="1"/>
  <c r="D243" i="4" s="1"/>
  <c r="D244" i="4" s="1"/>
  <c r="D245" i="4" s="1"/>
  <c r="D246" i="4" s="1"/>
  <c r="D247" i="4" s="1"/>
  <c r="D248" i="4" s="1"/>
  <c r="D249" i="4" s="1"/>
  <c r="D250" i="4" s="1"/>
  <c r="D251" i="4" s="1"/>
  <c r="D252" i="4" s="1"/>
  <c r="D253" i="4" s="1"/>
  <c r="D254" i="4" s="1"/>
  <c r="D255" i="4" s="1"/>
  <c r="D256" i="4" s="1"/>
  <c r="D257" i="4" s="1"/>
  <c r="D258" i="4" s="1"/>
  <c r="D259" i="4" s="1"/>
  <c r="D260" i="4" s="1"/>
  <c r="D261" i="4" s="1"/>
  <c r="D262" i="4" s="1"/>
  <c r="D263" i="4" s="1"/>
  <c r="D264" i="4" s="1"/>
  <c r="D265" i="4" s="1"/>
  <c r="D266" i="4" s="1"/>
  <c r="D267" i="4" s="1"/>
  <c r="D268" i="4" s="1"/>
  <c r="D269" i="4" s="1"/>
  <c r="D270" i="4" s="1"/>
  <c r="D271" i="4" s="1"/>
  <c r="D272" i="4" s="1"/>
  <c r="D273" i="4" s="1"/>
  <c r="D274" i="4" s="1"/>
  <c r="D275" i="4" s="1"/>
  <c r="D276" i="4" s="1"/>
  <c r="D277" i="4" s="1"/>
  <c r="D278" i="4" s="1"/>
  <c r="D242" i="3"/>
  <c r="E241" i="3"/>
  <c r="F241" i="3" s="1"/>
  <c r="F5" i="4" l="1"/>
  <c r="H4" i="4"/>
  <c r="J4" i="4" s="1"/>
  <c r="K4" i="4" s="1"/>
  <c r="E242" i="3"/>
  <c r="F242" i="3" s="1"/>
  <c r="D243" i="3"/>
  <c r="F6" i="4" l="1"/>
  <c r="H5" i="4"/>
  <c r="J5" i="4" s="1"/>
  <c r="K5" i="4" s="1"/>
  <c r="E243" i="3"/>
  <c r="F243" i="3" s="1"/>
  <c r="D244" i="3"/>
  <c r="F7" i="4" l="1"/>
  <c r="H6" i="4"/>
  <c r="J6" i="4" s="1"/>
  <c r="K6" i="4" s="1"/>
  <c r="E244" i="3"/>
  <c r="F244" i="3" s="1"/>
  <c r="D245" i="3"/>
  <c r="F8" i="4" l="1"/>
  <c r="H7" i="4"/>
  <c r="J7" i="4" s="1"/>
  <c r="K7" i="4" s="1"/>
  <c r="E245" i="3"/>
  <c r="F245" i="3" s="1"/>
  <c r="D246" i="3"/>
  <c r="H8" i="4" l="1"/>
  <c r="J8" i="4" s="1"/>
  <c r="K8" i="4" s="1"/>
  <c r="F9" i="4"/>
  <c r="E246" i="3"/>
  <c r="F246" i="3" s="1"/>
  <c r="D247" i="3"/>
  <c r="H9" i="4" l="1"/>
  <c r="J9" i="4" s="1"/>
  <c r="K9" i="4" s="1"/>
  <c r="F10" i="4"/>
  <c r="E247" i="3"/>
  <c r="F247" i="3" s="1"/>
  <c r="D248" i="3"/>
  <c r="H10" i="4" l="1"/>
  <c r="J10" i="4" s="1"/>
  <c r="K10" i="4" s="1"/>
  <c r="F11" i="4"/>
  <c r="E248" i="3"/>
  <c r="F248" i="3" s="1"/>
  <c r="D249" i="3"/>
  <c r="H11" i="4" l="1"/>
  <c r="J11" i="4" s="1"/>
  <c r="K11" i="4" s="1"/>
  <c r="F12" i="4"/>
  <c r="E249" i="3"/>
  <c r="F249" i="3" s="1"/>
  <c r="D250" i="3"/>
  <c r="H12" i="4" l="1"/>
  <c r="J12" i="4" s="1"/>
  <c r="K12" i="4" s="1"/>
  <c r="F13" i="4"/>
  <c r="E250" i="3"/>
  <c r="F250" i="3" s="1"/>
  <c r="D251" i="3"/>
  <c r="H13" i="4" l="1"/>
  <c r="J13" i="4" s="1"/>
  <c r="K13" i="4" s="1"/>
  <c r="F14" i="4"/>
  <c r="E251" i="3"/>
  <c r="F251" i="3" s="1"/>
  <c r="D252" i="3"/>
  <c r="H14" i="4" l="1"/>
  <c r="J14" i="4" s="1"/>
  <c r="K14" i="4" s="1"/>
  <c r="F15" i="4"/>
  <c r="E252" i="3"/>
  <c r="F252" i="3" s="1"/>
  <c r="D253" i="3"/>
  <c r="H15" i="4" l="1"/>
  <c r="J15" i="4" s="1"/>
  <c r="K15" i="4" s="1"/>
  <c r="F16" i="4"/>
  <c r="E253" i="3"/>
  <c r="F253" i="3" s="1"/>
  <c r="D254" i="3"/>
  <c r="H16" i="4" l="1"/>
  <c r="J16" i="4" s="1"/>
  <c r="K16" i="4" s="1"/>
  <c r="F17" i="4"/>
  <c r="E254" i="3"/>
  <c r="F254" i="3" s="1"/>
  <c r="D255" i="3"/>
  <c r="H17" i="4" l="1"/>
  <c r="J17" i="4" s="1"/>
  <c r="K17" i="4" s="1"/>
  <c r="F18" i="4"/>
  <c r="E255" i="3"/>
  <c r="F255" i="3" s="1"/>
  <c r="D256" i="3"/>
  <c r="H18" i="4" l="1"/>
  <c r="J18" i="4" s="1"/>
  <c r="K18" i="4" s="1"/>
  <c r="F19" i="4"/>
  <c r="E256" i="3"/>
  <c r="F256" i="3" s="1"/>
  <c r="D257" i="3"/>
  <c r="H19" i="4" l="1"/>
  <c r="J19" i="4" s="1"/>
  <c r="K19" i="4" s="1"/>
  <c r="F20" i="4"/>
  <c r="E257" i="3"/>
  <c r="F257" i="3" s="1"/>
  <c r="D258" i="3"/>
  <c r="F21" i="4" l="1"/>
  <c r="H20" i="4"/>
  <c r="J20" i="4" s="1"/>
  <c r="K20" i="4" s="1"/>
  <c r="E258" i="3"/>
  <c r="F258" i="3" s="1"/>
  <c r="D259" i="3"/>
  <c r="H21" i="4" l="1"/>
  <c r="J21" i="4" s="1"/>
  <c r="K21" i="4" s="1"/>
  <c r="F22" i="4"/>
  <c r="E259" i="3"/>
  <c r="F259" i="3" s="1"/>
  <c r="D260" i="3"/>
  <c r="H22" i="4" l="1"/>
  <c r="J22" i="4" s="1"/>
  <c r="K22" i="4" s="1"/>
  <c r="F23" i="4"/>
  <c r="E260" i="3"/>
  <c r="F260" i="3" s="1"/>
  <c r="D261" i="3"/>
  <c r="H23" i="4" l="1"/>
  <c r="J23" i="4" s="1"/>
  <c r="K23" i="4" s="1"/>
  <c r="F24" i="4"/>
  <c r="E261" i="3"/>
  <c r="F261" i="3" s="1"/>
  <c r="D262" i="3"/>
  <c r="H24" i="4" l="1"/>
  <c r="J24" i="4" s="1"/>
  <c r="K24" i="4" s="1"/>
  <c r="F25" i="4"/>
  <c r="E262" i="3"/>
  <c r="F262" i="3" s="1"/>
  <c r="D263" i="3"/>
  <c r="H25" i="4" l="1"/>
  <c r="J25" i="4" s="1"/>
  <c r="K25" i="4" s="1"/>
  <c r="F26" i="4"/>
  <c r="E263" i="3"/>
  <c r="F263" i="3" s="1"/>
  <c r="D264" i="3"/>
  <c r="H26" i="4" l="1"/>
  <c r="J26" i="4" s="1"/>
  <c r="K26" i="4" s="1"/>
  <c r="F27" i="4"/>
  <c r="E264" i="3"/>
  <c r="F264" i="3" s="1"/>
  <c r="D265" i="3"/>
  <c r="H27" i="4" l="1"/>
  <c r="J27" i="4" s="1"/>
  <c r="K27" i="4" s="1"/>
  <c r="F28" i="4"/>
  <c r="E265" i="3"/>
  <c r="F265" i="3" s="1"/>
  <c r="D266" i="3"/>
  <c r="H28" i="4" l="1"/>
  <c r="J28" i="4" s="1"/>
  <c r="K28" i="4" s="1"/>
  <c r="F29" i="4"/>
  <c r="E266" i="3"/>
  <c r="F266" i="3" s="1"/>
  <c r="D267" i="3"/>
  <c r="H29" i="4" l="1"/>
  <c r="J29" i="4" s="1"/>
  <c r="K29" i="4" s="1"/>
  <c r="F30" i="4"/>
  <c r="E267" i="3"/>
  <c r="F267" i="3" s="1"/>
  <c r="D268" i="3"/>
  <c r="H30" i="4" l="1"/>
  <c r="J30" i="4" s="1"/>
  <c r="K30" i="4" s="1"/>
  <c r="F31" i="4"/>
  <c r="E268" i="3"/>
  <c r="F268" i="3" s="1"/>
  <c r="D269" i="3"/>
  <c r="H31" i="4" l="1"/>
  <c r="J31" i="4" s="1"/>
  <c r="K31" i="4" s="1"/>
  <c r="F32" i="4"/>
  <c r="E269" i="3"/>
  <c r="F269" i="3" s="1"/>
  <c r="D270" i="3"/>
  <c r="H32" i="4" l="1"/>
  <c r="J32" i="4" s="1"/>
  <c r="K32" i="4" s="1"/>
  <c r="F33" i="4"/>
  <c r="E270" i="3"/>
  <c r="F270" i="3" s="1"/>
  <c r="D271" i="3"/>
  <c r="H33" i="4" l="1"/>
  <c r="J33" i="4" s="1"/>
  <c r="K33" i="4" s="1"/>
  <c r="F34" i="4"/>
  <c r="E271" i="3"/>
  <c r="F271" i="3" s="1"/>
  <c r="D272" i="3"/>
  <c r="H34" i="4" l="1"/>
  <c r="J34" i="4" s="1"/>
  <c r="K34" i="4" s="1"/>
  <c r="F35" i="4"/>
  <c r="E272" i="3"/>
  <c r="F272" i="3" s="1"/>
  <c r="D273" i="3"/>
  <c r="H35" i="4" l="1"/>
  <c r="J35" i="4" s="1"/>
  <c r="K35" i="4" s="1"/>
  <c r="F36" i="4"/>
  <c r="E273" i="3"/>
  <c r="F273" i="3" s="1"/>
  <c r="D274" i="3"/>
  <c r="H36" i="4" l="1"/>
  <c r="J36" i="4" s="1"/>
  <c r="K36" i="4" s="1"/>
  <c r="F37" i="4"/>
  <c r="E274" i="3"/>
  <c r="F274" i="3" s="1"/>
  <c r="D275" i="3"/>
  <c r="H37" i="4" l="1"/>
  <c r="J37" i="4" s="1"/>
  <c r="K37" i="4" s="1"/>
  <c r="F38" i="4"/>
  <c r="E275" i="3"/>
  <c r="F275" i="3" s="1"/>
  <c r="D276" i="3"/>
  <c r="H38" i="4" l="1"/>
  <c r="J38" i="4" s="1"/>
  <c r="K38" i="4" s="1"/>
  <c r="F39" i="4"/>
  <c r="E276" i="3"/>
  <c r="F276" i="3" s="1"/>
  <c r="D277" i="3"/>
  <c r="H39" i="4" l="1"/>
  <c r="J39" i="4" s="1"/>
  <c r="K39" i="4" s="1"/>
  <c r="F40" i="4"/>
  <c r="E277" i="3"/>
  <c r="F277" i="3" s="1"/>
  <c r="D278" i="3"/>
  <c r="H40" i="4" l="1"/>
  <c r="J40" i="4" s="1"/>
  <c r="K40" i="4" s="1"/>
  <c r="F41" i="4"/>
  <c r="E278" i="3"/>
  <c r="F278" i="3" s="1"/>
  <c r="D279" i="3"/>
  <c r="H41" i="4" l="1"/>
  <c r="J41" i="4" s="1"/>
  <c r="K41" i="4" s="1"/>
  <c r="F42" i="4"/>
  <c r="E279" i="3"/>
  <c r="F279" i="3" s="1"/>
  <c r="D280" i="3"/>
  <c r="H42" i="4" l="1"/>
  <c r="J42" i="4" s="1"/>
  <c r="K42" i="4" s="1"/>
  <c r="F43" i="4"/>
  <c r="E280" i="3"/>
  <c r="F280" i="3" s="1"/>
  <c r="D281" i="3"/>
  <c r="H43" i="4" l="1"/>
  <c r="J43" i="4" s="1"/>
  <c r="K43" i="4" s="1"/>
  <c r="F44" i="4"/>
  <c r="E281" i="3"/>
  <c r="F281" i="3" s="1"/>
  <c r="D282" i="3"/>
  <c r="H44" i="4" l="1"/>
  <c r="J44" i="4" s="1"/>
  <c r="K44" i="4" s="1"/>
  <c r="F45" i="4"/>
  <c r="E282" i="3"/>
  <c r="F282" i="3" s="1"/>
  <c r="D283" i="3"/>
  <c r="F46" i="4" l="1"/>
  <c r="H45" i="4"/>
  <c r="J45" i="4" s="1"/>
  <c r="K45" i="4" s="1"/>
  <c r="E283" i="3"/>
  <c r="F283" i="3" s="1"/>
  <c r="D284" i="3"/>
  <c r="H46" i="4" l="1"/>
  <c r="J46" i="4" s="1"/>
  <c r="K46" i="4" s="1"/>
  <c r="F47" i="4"/>
  <c r="E284" i="3"/>
  <c r="F284" i="3" s="1"/>
  <c r="D285" i="3"/>
  <c r="H47" i="4" l="1"/>
  <c r="J47" i="4" s="1"/>
  <c r="K47" i="4" s="1"/>
  <c r="F48" i="4"/>
  <c r="E285" i="3"/>
  <c r="F285" i="3" s="1"/>
  <c r="D286" i="3"/>
  <c r="H48" i="4" l="1"/>
  <c r="J48" i="4" s="1"/>
  <c r="K48" i="4" s="1"/>
  <c r="F49" i="4"/>
  <c r="E286" i="3"/>
  <c r="F286" i="3" s="1"/>
  <c r="D287" i="3"/>
  <c r="H49" i="4" l="1"/>
  <c r="J49" i="4" s="1"/>
  <c r="K49" i="4" s="1"/>
  <c r="F50" i="4"/>
  <c r="E287" i="3"/>
  <c r="F287" i="3" s="1"/>
  <c r="D288" i="3"/>
  <c r="H50" i="4" l="1"/>
  <c r="J50" i="4" s="1"/>
  <c r="K50" i="4" s="1"/>
  <c r="F51" i="4"/>
  <c r="E288" i="3"/>
  <c r="F288" i="3" s="1"/>
  <c r="D289" i="3"/>
  <c r="H51" i="4" l="1"/>
  <c r="J51" i="4" s="1"/>
  <c r="K51" i="4" s="1"/>
  <c r="F52" i="4"/>
  <c r="E289" i="3"/>
  <c r="F289" i="3" s="1"/>
  <c r="D290" i="3"/>
  <c r="H52" i="4" l="1"/>
  <c r="J52" i="4" s="1"/>
  <c r="K52" i="4" s="1"/>
  <c r="F53" i="4"/>
  <c r="E290" i="3"/>
  <c r="F290" i="3" s="1"/>
  <c r="D291" i="3"/>
  <c r="H53" i="4" l="1"/>
  <c r="J53" i="4" s="1"/>
  <c r="K53" i="4" s="1"/>
  <c r="F54" i="4"/>
  <c r="E291" i="3"/>
  <c r="F291" i="3" s="1"/>
  <c r="D292" i="3"/>
  <c r="H54" i="4" l="1"/>
  <c r="J54" i="4" s="1"/>
  <c r="K54" i="4" s="1"/>
  <c r="F55" i="4"/>
  <c r="E292" i="3"/>
  <c r="F292" i="3" s="1"/>
  <c r="D293" i="3"/>
  <c r="H55" i="4" l="1"/>
  <c r="J55" i="4" s="1"/>
  <c r="K55" i="4" s="1"/>
  <c r="F56" i="4"/>
  <c r="E293" i="3"/>
  <c r="F293" i="3" s="1"/>
  <c r="D294" i="3"/>
  <c r="H56" i="4" l="1"/>
  <c r="J56" i="4" s="1"/>
  <c r="K56" i="4" s="1"/>
  <c r="F57" i="4"/>
  <c r="E294" i="3"/>
  <c r="F294" i="3" s="1"/>
  <c r="D295" i="3"/>
  <c r="H57" i="4" l="1"/>
  <c r="J57" i="4" s="1"/>
  <c r="K57" i="4" s="1"/>
  <c r="F58" i="4"/>
  <c r="E295" i="3"/>
  <c r="F295" i="3" s="1"/>
  <c r="D296" i="3"/>
  <c r="H58" i="4" l="1"/>
  <c r="J58" i="4" s="1"/>
  <c r="K58" i="4" s="1"/>
  <c r="F59" i="4"/>
  <c r="E296" i="3"/>
  <c r="F296" i="3" s="1"/>
  <c r="D297" i="3"/>
  <c r="H59" i="4" l="1"/>
  <c r="J59" i="4" s="1"/>
  <c r="K59" i="4" s="1"/>
  <c r="F60" i="4"/>
  <c r="E297" i="3"/>
  <c r="F297" i="3" s="1"/>
  <c r="D298" i="3"/>
  <c r="H60" i="4" l="1"/>
  <c r="J60" i="4" s="1"/>
  <c r="K60" i="4" s="1"/>
  <c r="F61" i="4"/>
  <c r="E298" i="3"/>
  <c r="F298" i="3" s="1"/>
  <c r="D299" i="3"/>
  <c r="H61" i="4" l="1"/>
  <c r="J61" i="4" s="1"/>
  <c r="K61" i="4" s="1"/>
  <c r="F62" i="4"/>
  <c r="E299" i="3"/>
  <c r="F299" i="3" s="1"/>
  <c r="D300" i="3"/>
  <c r="H62" i="4" l="1"/>
  <c r="J62" i="4" s="1"/>
  <c r="K62" i="4" s="1"/>
  <c r="F63" i="4"/>
  <c r="E300" i="3"/>
  <c r="F300" i="3" s="1"/>
  <c r="D301" i="3"/>
  <c r="H63" i="4" l="1"/>
  <c r="J63" i="4" s="1"/>
  <c r="K63" i="4" s="1"/>
  <c r="F64" i="4"/>
  <c r="E301" i="3"/>
  <c r="F301" i="3" s="1"/>
  <c r="D302" i="3"/>
  <c r="H64" i="4" l="1"/>
  <c r="J64" i="4" s="1"/>
  <c r="K64" i="4" s="1"/>
  <c r="F65" i="4"/>
  <c r="E302" i="3"/>
  <c r="F302" i="3" s="1"/>
  <c r="D303" i="3"/>
  <c r="H65" i="4" l="1"/>
  <c r="J65" i="4" s="1"/>
  <c r="K65" i="4" s="1"/>
  <c r="F66" i="4"/>
  <c r="E303" i="3"/>
  <c r="F303" i="3" s="1"/>
  <c r="D304" i="3"/>
  <c r="H66" i="4" l="1"/>
  <c r="J66" i="4" s="1"/>
  <c r="K66" i="4" s="1"/>
  <c r="F67" i="4"/>
  <c r="E304" i="3"/>
  <c r="F304" i="3" s="1"/>
  <c r="D305" i="3"/>
  <c r="H67" i="4" l="1"/>
  <c r="J67" i="4" s="1"/>
  <c r="K67" i="4" s="1"/>
  <c r="F68" i="4"/>
  <c r="E305" i="3"/>
  <c r="F305" i="3" s="1"/>
  <c r="D306" i="3"/>
  <c r="H68" i="4" l="1"/>
  <c r="J68" i="4" s="1"/>
  <c r="K68" i="4" s="1"/>
  <c r="F69" i="4"/>
  <c r="E306" i="3"/>
  <c r="F306" i="3" s="1"/>
  <c r="D307" i="3"/>
  <c r="H69" i="4" l="1"/>
  <c r="J69" i="4" s="1"/>
  <c r="K69" i="4" s="1"/>
  <c r="F70" i="4"/>
  <c r="E307" i="3"/>
  <c r="F307" i="3" s="1"/>
  <c r="D308" i="3"/>
  <c r="F71" i="4" l="1"/>
  <c r="H70" i="4"/>
  <c r="J70" i="4" s="1"/>
  <c r="K70" i="4" s="1"/>
  <c r="E308" i="3"/>
  <c r="F308" i="3" s="1"/>
  <c r="D309" i="3"/>
  <c r="H71" i="4" l="1"/>
  <c r="J71" i="4" s="1"/>
  <c r="K71" i="4" s="1"/>
  <c r="F72" i="4"/>
  <c r="E309" i="3"/>
  <c r="F309" i="3" s="1"/>
  <c r="D310" i="3"/>
  <c r="H72" i="4" l="1"/>
  <c r="J72" i="4" s="1"/>
  <c r="K72" i="4" s="1"/>
  <c r="F73" i="4"/>
  <c r="E310" i="3"/>
  <c r="F310" i="3" s="1"/>
  <c r="D311" i="3"/>
  <c r="H73" i="4" l="1"/>
  <c r="J73" i="4" s="1"/>
  <c r="K73" i="4" s="1"/>
  <c r="F74" i="4"/>
  <c r="E311" i="3"/>
  <c r="F311" i="3" s="1"/>
  <c r="D312" i="3"/>
  <c r="H74" i="4" l="1"/>
  <c r="J74" i="4" s="1"/>
  <c r="K74" i="4" s="1"/>
  <c r="F75" i="4"/>
  <c r="E312" i="3"/>
  <c r="F312" i="3" s="1"/>
  <c r="D313" i="3"/>
  <c r="H75" i="4" l="1"/>
  <c r="J75" i="4" s="1"/>
  <c r="K75" i="4" s="1"/>
  <c r="F76" i="4"/>
  <c r="E313" i="3"/>
  <c r="F313" i="3" s="1"/>
  <c r="D314" i="3"/>
  <c r="H76" i="4" l="1"/>
  <c r="J76" i="4" s="1"/>
  <c r="K76" i="4" s="1"/>
  <c r="F77" i="4"/>
  <c r="E314" i="3"/>
  <c r="F314" i="3" s="1"/>
  <c r="D315" i="3"/>
  <c r="H77" i="4" l="1"/>
  <c r="J77" i="4" s="1"/>
  <c r="K77" i="4" s="1"/>
  <c r="F78" i="4"/>
  <c r="E315" i="3"/>
  <c r="F315" i="3" s="1"/>
  <c r="D316" i="3"/>
  <c r="H78" i="4" l="1"/>
  <c r="J78" i="4" s="1"/>
  <c r="K78" i="4" s="1"/>
  <c r="F79" i="4"/>
  <c r="E316" i="3"/>
  <c r="F316" i="3" s="1"/>
  <c r="D317" i="3"/>
  <c r="H79" i="4" l="1"/>
  <c r="J79" i="4" s="1"/>
  <c r="K79" i="4" s="1"/>
  <c r="F80" i="4"/>
  <c r="E317" i="3"/>
  <c r="F317" i="3" s="1"/>
  <c r="D318" i="3"/>
  <c r="H80" i="4" l="1"/>
  <c r="J80" i="4" s="1"/>
  <c r="K80" i="4" s="1"/>
  <c r="F81" i="4"/>
  <c r="E318" i="3"/>
  <c r="F318" i="3" s="1"/>
  <c r="D319" i="3"/>
  <c r="H81" i="4" l="1"/>
  <c r="J81" i="4" s="1"/>
  <c r="K81" i="4" s="1"/>
  <c r="F82" i="4"/>
  <c r="E319" i="3"/>
  <c r="F319" i="3" s="1"/>
  <c r="D320" i="3"/>
  <c r="H82" i="4" l="1"/>
  <c r="J82" i="4" s="1"/>
  <c r="K82" i="4" s="1"/>
  <c r="F83" i="4"/>
  <c r="E320" i="3"/>
  <c r="F320" i="3" s="1"/>
  <c r="D321" i="3"/>
  <c r="H83" i="4" l="1"/>
  <c r="J83" i="4" s="1"/>
  <c r="K83" i="4" s="1"/>
  <c r="F84" i="4"/>
  <c r="E321" i="3"/>
  <c r="F321" i="3" s="1"/>
  <c r="D322" i="3"/>
  <c r="H84" i="4" l="1"/>
  <c r="J84" i="4" s="1"/>
  <c r="K84" i="4" s="1"/>
  <c r="F85" i="4"/>
  <c r="E322" i="3"/>
  <c r="F322" i="3" s="1"/>
  <c r="D323" i="3"/>
  <c r="H85" i="4" l="1"/>
  <c r="J85" i="4" s="1"/>
  <c r="K85" i="4" s="1"/>
  <c r="F86" i="4"/>
  <c r="E323" i="3"/>
  <c r="F323" i="3" s="1"/>
  <c r="D324" i="3"/>
  <c r="H86" i="4" l="1"/>
  <c r="J86" i="4" s="1"/>
  <c r="K86" i="4" s="1"/>
  <c r="F87" i="4"/>
  <c r="E324" i="3"/>
  <c r="F324" i="3" s="1"/>
  <c r="D325" i="3"/>
  <c r="H87" i="4" l="1"/>
  <c r="J87" i="4" s="1"/>
  <c r="K87" i="4" s="1"/>
  <c r="F88" i="4"/>
  <c r="E325" i="3"/>
  <c r="F325" i="3" s="1"/>
  <c r="D326" i="3"/>
  <c r="H88" i="4" l="1"/>
  <c r="J88" i="4" s="1"/>
  <c r="K88" i="4" s="1"/>
  <c r="F89" i="4"/>
  <c r="E326" i="3"/>
  <c r="F326" i="3" s="1"/>
  <c r="D327" i="3"/>
  <c r="H89" i="4" l="1"/>
  <c r="J89" i="4" s="1"/>
  <c r="K89" i="4" s="1"/>
  <c r="F90" i="4"/>
  <c r="E327" i="3"/>
  <c r="F327" i="3" s="1"/>
  <c r="D328" i="3"/>
  <c r="H90" i="4" l="1"/>
  <c r="J90" i="4" s="1"/>
  <c r="K90" i="4" s="1"/>
  <c r="F91" i="4"/>
  <c r="E328" i="3"/>
  <c r="F328" i="3" s="1"/>
  <c r="D329" i="3"/>
  <c r="H91" i="4" l="1"/>
  <c r="J91" i="4" s="1"/>
  <c r="K91" i="4" s="1"/>
  <c r="F92" i="4"/>
  <c r="E329" i="3"/>
  <c r="F329" i="3" s="1"/>
  <c r="D330" i="3"/>
  <c r="H92" i="4" l="1"/>
  <c r="J92" i="4" s="1"/>
  <c r="K92" i="4" s="1"/>
  <c r="F93" i="4"/>
  <c r="E330" i="3"/>
  <c r="F330" i="3" s="1"/>
  <c r="D331" i="3"/>
  <c r="H93" i="4" l="1"/>
  <c r="J93" i="4" s="1"/>
  <c r="K93" i="4" s="1"/>
  <c r="F94" i="4"/>
  <c r="E331" i="3"/>
  <c r="F331" i="3" s="1"/>
  <c r="D332" i="3"/>
  <c r="H94" i="4" l="1"/>
  <c r="J94" i="4" s="1"/>
  <c r="K94" i="4" s="1"/>
  <c r="F95" i="4"/>
  <c r="E332" i="3"/>
  <c r="F332" i="3" s="1"/>
  <c r="D333" i="3"/>
  <c r="H95" i="4" l="1"/>
  <c r="J95" i="4" s="1"/>
  <c r="K95" i="4" s="1"/>
  <c r="F96" i="4"/>
  <c r="E333" i="3"/>
  <c r="F333" i="3" s="1"/>
  <c r="D334" i="3"/>
  <c r="H96" i="4" l="1"/>
  <c r="J96" i="4" s="1"/>
  <c r="K96" i="4" s="1"/>
  <c r="F97" i="4"/>
  <c r="E334" i="3"/>
  <c r="F334" i="3" s="1"/>
  <c r="D335" i="3"/>
  <c r="H97" i="4" l="1"/>
  <c r="J97" i="4" s="1"/>
  <c r="K97" i="4" s="1"/>
  <c r="F98" i="4"/>
  <c r="E335" i="3"/>
  <c r="F335" i="3" s="1"/>
  <c r="D336" i="3"/>
  <c r="H98" i="4" l="1"/>
  <c r="J98" i="4" s="1"/>
  <c r="K98" i="4" s="1"/>
  <c r="F99" i="4"/>
  <c r="E336" i="3"/>
  <c r="F336" i="3" s="1"/>
  <c r="D337" i="3"/>
  <c r="H99" i="4" l="1"/>
  <c r="J99" i="4" s="1"/>
  <c r="K99" i="4" s="1"/>
  <c r="F100" i="4"/>
  <c r="E337" i="3"/>
  <c r="F337" i="3" s="1"/>
  <c r="D338" i="3"/>
  <c r="H100" i="4" l="1"/>
  <c r="J100" i="4" s="1"/>
  <c r="K100" i="4" s="1"/>
  <c r="F101" i="4"/>
  <c r="E338" i="3"/>
  <c r="F338" i="3" s="1"/>
  <c r="D339" i="3"/>
  <c r="H101" i="4" l="1"/>
  <c r="J101" i="4" s="1"/>
  <c r="K101" i="4" s="1"/>
  <c r="F102" i="4"/>
  <c r="E339" i="3"/>
  <c r="F339" i="3" s="1"/>
  <c r="D340" i="3"/>
  <c r="H102" i="4" l="1"/>
  <c r="J102" i="4" s="1"/>
  <c r="K102" i="4" s="1"/>
  <c r="F103" i="4"/>
  <c r="E340" i="3"/>
  <c r="F340" i="3" s="1"/>
  <c r="D341" i="3"/>
  <c r="H103" i="4" l="1"/>
  <c r="J103" i="4" s="1"/>
  <c r="K103" i="4" s="1"/>
  <c r="F104" i="4"/>
  <c r="E341" i="3"/>
  <c r="F341" i="3" s="1"/>
  <c r="D342" i="3"/>
  <c r="H104" i="4" l="1"/>
  <c r="J104" i="4" s="1"/>
  <c r="K104" i="4" s="1"/>
  <c r="F105" i="4"/>
  <c r="E342" i="3"/>
  <c r="F342" i="3" s="1"/>
  <c r="D343" i="3"/>
  <c r="H105" i="4" l="1"/>
  <c r="J105" i="4" s="1"/>
  <c r="K105" i="4" s="1"/>
  <c r="F106" i="4"/>
  <c r="E343" i="3"/>
  <c r="F343" i="3" s="1"/>
  <c r="D344" i="3"/>
  <c r="H106" i="4" l="1"/>
  <c r="J106" i="4" s="1"/>
  <c r="K106" i="4" s="1"/>
  <c r="F107" i="4"/>
  <c r="E344" i="3"/>
  <c r="F344" i="3" s="1"/>
  <c r="D345" i="3"/>
  <c r="H107" i="4" l="1"/>
  <c r="J107" i="4" s="1"/>
  <c r="K107" i="4" s="1"/>
  <c r="F108" i="4"/>
  <c r="E345" i="3"/>
  <c r="F345" i="3" s="1"/>
  <c r="D346" i="3"/>
  <c r="H108" i="4" l="1"/>
  <c r="J108" i="4" s="1"/>
  <c r="K108" i="4" s="1"/>
  <c r="F109" i="4"/>
  <c r="E346" i="3"/>
  <c r="F346" i="3" s="1"/>
  <c r="D347" i="3"/>
  <c r="H109" i="4" l="1"/>
  <c r="J109" i="4" s="1"/>
  <c r="K109" i="4" s="1"/>
  <c r="F110" i="4"/>
  <c r="E347" i="3"/>
  <c r="F347" i="3" s="1"/>
  <c r="D348" i="3"/>
  <c r="H110" i="4" l="1"/>
  <c r="J110" i="4" s="1"/>
  <c r="K110" i="4" s="1"/>
  <c r="F111" i="4"/>
  <c r="E348" i="3"/>
  <c r="F348" i="3" s="1"/>
  <c r="D349" i="3"/>
  <c r="H111" i="4" l="1"/>
  <c r="J111" i="4" s="1"/>
  <c r="K111" i="4" s="1"/>
  <c r="F112" i="4"/>
  <c r="E349" i="3"/>
  <c r="F349" i="3" s="1"/>
  <c r="D350" i="3"/>
  <c r="H112" i="4" l="1"/>
  <c r="J112" i="4" s="1"/>
  <c r="K112" i="4" s="1"/>
  <c r="F113" i="4"/>
  <c r="E350" i="3"/>
  <c r="F350" i="3" s="1"/>
  <c r="D351" i="3"/>
  <c r="H113" i="4" l="1"/>
  <c r="J113" i="4" s="1"/>
  <c r="K113" i="4" s="1"/>
  <c r="F114" i="4"/>
  <c r="E351" i="3"/>
  <c r="F351" i="3" s="1"/>
  <c r="D352" i="3"/>
  <c r="H114" i="4" l="1"/>
  <c r="J114" i="4" s="1"/>
  <c r="K114" i="4" s="1"/>
  <c r="F115" i="4"/>
  <c r="E352" i="3"/>
  <c r="F352" i="3" s="1"/>
  <c r="D353" i="3"/>
  <c r="H115" i="4" l="1"/>
  <c r="J115" i="4" s="1"/>
  <c r="K115" i="4" s="1"/>
  <c r="F116" i="4"/>
  <c r="E353" i="3"/>
  <c r="F353" i="3" s="1"/>
  <c r="D354" i="3"/>
  <c r="H116" i="4" l="1"/>
  <c r="J116" i="4" s="1"/>
  <c r="K116" i="4" s="1"/>
  <c r="F117" i="4"/>
  <c r="E354" i="3"/>
  <c r="F354" i="3" s="1"/>
  <c r="D355" i="3"/>
  <c r="H117" i="4" l="1"/>
  <c r="J117" i="4" s="1"/>
  <c r="K117" i="4" s="1"/>
  <c r="F118" i="4"/>
  <c r="E355" i="3"/>
  <c r="F355" i="3" s="1"/>
  <c r="D356" i="3"/>
  <c r="H118" i="4" l="1"/>
  <c r="J118" i="4" s="1"/>
  <c r="K118" i="4" s="1"/>
  <c r="F119" i="4"/>
  <c r="E356" i="3"/>
  <c r="F356" i="3" s="1"/>
  <c r="D357" i="3"/>
  <c r="H119" i="4" l="1"/>
  <c r="J119" i="4" s="1"/>
  <c r="K119" i="4" s="1"/>
  <c r="F120" i="4"/>
  <c r="E357" i="3"/>
  <c r="F357" i="3" s="1"/>
  <c r="D358" i="3"/>
  <c r="H120" i="4" l="1"/>
  <c r="J120" i="4" s="1"/>
  <c r="K120" i="4" s="1"/>
  <c r="F121" i="4"/>
  <c r="E358" i="3"/>
  <c r="F358" i="3" s="1"/>
  <c r="D359" i="3"/>
  <c r="H121" i="4" l="1"/>
  <c r="J121" i="4" s="1"/>
  <c r="K121" i="4" s="1"/>
  <c r="F122" i="4"/>
  <c r="E359" i="3"/>
  <c r="F359" i="3" s="1"/>
  <c r="D360" i="3"/>
  <c r="H122" i="4" l="1"/>
  <c r="J122" i="4" s="1"/>
  <c r="K122" i="4" s="1"/>
  <c r="F123" i="4"/>
  <c r="E360" i="3"/>
  <c r="F360" i="3" s="1"/>
  <c r="D361" i="3"/>
  <c r="H123" i="4" l="1"/>
  <c r="J123" i="4" s="1"/>
  <c r="K123" i="4" s="1"/>
  <c r="F124" i="4"/>
  <c r="E361" i="3"/>
  <c r="F361" i="3" s="1"/>
  <c r="D362" i="3"/>
  <c r="H124" i="4" l="1"/>
  <c r="J124" i="4" s="1"/>
  <c r="K124" i="4" s="1"/>
  <c r="F125" i="4"/>
  <c r="E362" i="3"/>
  <c r="F362" i="3" s="1"/>
  <c r="D363" i="3"/>
  <c r="H125" i="4" l="1"/>
  <c r="J125" i="4" s="1"/>
  <c r="K125" i="4" s="1"/>
  <c r="F126" i="4"/>
  <c r="E363" i="3"/>
  <c r="F363" i="3" s="1"/>
  <c r="D364" i="3"/>
  <c r="H126" i="4" l="1"/>
  <c r="J126" i="4" s="1"/>
  <c r="K126" i="4" s="1"/>
  <c r="F127" i="4"/>
  <c r="E364" i="3"/>
  <c r="F364" i="3" s="1"/>
  <c r="D365" i="3"/>
  <c r="H127" i="4" l="1"/>
  <c r="J127" i="4" s="1"/>
  <c r="K127" i="4" s="1"/>
  <c r="F128" i="4"/>
  <c r="E365" i="3"/>
  <c r="F365" i="3" s="1"/>
  <c r="D366" i="3"/>
  <c r="E366" i="3" s="1"/>
  <c r="F366" i="3" s="1"/>
  <c r="H128" i="4" l="1"/>
  <c r="J128" i="4" s="1"/>
  <c r="K128" i="4" s="1"/>
  <c r="F129" i="4"/>
  <c r="H129" i="4" l="1"/>
  <c r="J129" i="4" s="1"/>
  <c r="K129" i="4" s="1"/>
  <c r="F130" i="4"/>
  <c r="H130" i="4" l="1"/>
  <c r="J130" i="4" s="1"/>
  <c r="K130" i="4" s="1"/>
  <c r="F131" i="4"/>
  <c r="H131" i="4" l="1"/>
  <c r="J131" i="4" s="1"/>
  <c r="K131" i="4" s="1"/>
  <c r="F132" i="4"/>
  <c r="H132" i="4" l="1"/>
  <c r="J132" i="4" s="1"/>
  <c r="K132" i="4" s="1"/>
  <c r="F133" i="4"/>
  <c r="H133" i="4" l="1"/>
  <c r="J133" i="4" s="1"/>
  <c r="K133" i="4" s="1"/>
  <c r="F134" i="4"/>
  <c r="H134" i="4" l="1"/>
  <c r="J134" i="4" s="1"/>
  <c r="K134" i="4" s="1"/>
  <c r="F135" i="4"/>
  <c r="H135" i="4" l="1"/>
  <c r="J135" i="4" s="1"/>
  <c r="K135" i="4" s="1"/>
  <c r="F136" i="4"/>
  <c r="H136" i="4" l="1"/>
  <c r="J136" i="4" s="1"/>
  <c r="K136" i="4" s="1"/>
  <c r="F137" i="4"/>
  <c r="H137" i="4" l="1"/>
  <c r="J137" i="4" s="1"/>
  <c r="K137" i="4" s="1"/>
  <c r="F138" i="4"/>
  <c r="H138" i="4" l="1"/>
  <c r="J138" i="4" s="1"/>
  <c r="K138" i="4" s="1"/>
  <c r="F139" i="4"/>
  <c r="H139" i="4" l="1"/>
  <c r="J139" i="4" s="1"/>
  <c r="K139" i="4" s="1"/>
  <c r="F140" i="4"/>
  <c r="H140" i="4" l="1"/>
  <c r="J140" i="4" s="1"/>
  <c r="K140" i="4" s="1"/>
  <c r="F141" i="4"/>
  <c r="H141" i="4" l="1"/>
  <c r="J141" i="4" s="1"/>
  <c r="K141" i="4" s="1"/>
  <c r="F142" i="4"/>
  <c r="H142" i="4" l="1"/>
  <c r="J142" i="4" s="1"/>
  <c r="K142" i="4" s="1"/>
  <c r="F143" i="4"/>
  <c r="H143" i="4" l="1"/>
  <c r="J143" i="4" s="1"/>
  <c r="K143" i="4" s="1"/>
  <c r="F144" i="4"/>
  <c r="H144" i="4" l="1"/>
  <c r="J144" i="4" s="1"/>
  <c r="K144" i="4" s="1"/>
  <c r="F145" i="4"/>
  <c r="H145" i="4" l="1"/>
  <c r="J145" i="4" s="1"/>
  <c r="K145" i="4" s="1"/>
  <c r="F146" i="4"/>
  <c r="H146" i="4" l="1"/>
  <c r="J146" i="4" s="1"/>
  <c r="K146" i="4" s="1"/>
  <c r="F147" i="4"/>
  <c r="H147" i="4" l="1"/>
  <c r="J147" i="4" s="1"/>
  <c r="K147" i="4" s="1"/>
  <c r="F148" i="4"/>
  <c r="H148" i="4" l="1"/>
  <c r="J148" i="4" s="1"/>
  <c r="K148" i="4" s="1"/>
  <c r="F149" i="4"/>
  <c r="H149" i="4" l="1"/>
  <c r="J149" i="4" s="1"/>
  <c r="K149" i="4" s="1"/>
  <c r="F150" i="4"/>
  <c r="H150" i="4" l="1"/>
  <c r="J150" i="4" s="1"/>
  <c r="K150" i="4" s="1"/>
  <c r="F151" i="4"/>
  <c r="H151" i="4" l="1"/>
  <c r="J151" i="4" s="1"/>
  <c r="K151" i="4" s="1"/>
  <c r="F152" i="4"/>
  <c r="H152" i="4" l="1"/>
  <c r="J152" i="4" s="1"/>
  <c r="K152" i="4" s="1"/>
  <c r="F153" i="4"/>
  <c r="H153" i="4" l="1"/>
  <c r="J153" i="4" s="1"/>
  <c r="K153" i="4" s="1"/>
  <c r="F154" i="4"/>
  <c r="H154" i="4" l="1"/>
  <c r="J154" i="4" s="1"/>
  <c r="K154" i="4" s="1"/>
  <c r="F155" i="4"/>
  <c r="H155" i="4" l="1"/>
  <c r="J155" i="4" s="1"/>
  <c r="K155" i="4" s="1"/>
  <c r="F156" i="4"/>
  <c r="H156" i="4" l="1"/>
  <c r="J156" i="4" s="1"/>
  <c r="K156" i="4" s="1"/>
  <c r="F157" i="4"/>
  <c r="H157" i="4" l="1"/>
  <c r="J157" i="4" s="1"/>
  <c r="K157" i="4" s="1"/>
  <c r="F158" i="4"/>
  <c r="H158" i="4" l="1"/>
  <c r="J158" i="4" s="1"/>
  <c r="K158" i="4" s="1"/>
  <c r="F159" i="4"/>
  <c r="H159" i="4" l="1"/>
  <c r="J159" i="4" s="1"/>
  <c r="K159" i="4" s="1"/>
  <c r="F160" i="4"/>
  <c r="H160" i="4" l="1"/>
  <c r="J160" i="4" s="1"/>
  <c r="K160" i="4" s="1"/>
  <c r="F161" i="4"/>
  <c r="H161" i="4" l="1"/>
  <c r="J161" i="4" s="1"/>
  <c r="K161" i="4" s="1"/>
  <c r="F162" i="4"/>
  <c r="H162" i="4" l="1"/>
  <c r="J162" i="4" s="1"/>
  <c r="K162" i="4" s="1"/>
  <c r="F163" i="4"/>
  <c r="H163" i="4" l="1"/>
  <c r="J163" i="4" s="1"/>
  <c r="K163" i="4" s="1"/>
  <c r="F164" i="4"/>
  <c r="H164" i="4" l="1"/>
  <c r="J164" i="4" s="1"/>
  <c r="K164" i="4" s="1"/>
  <c r="F165" i="4"/>
  <c r="H165" i="4" l="1"/>
  <c r="J165" i="4" s="1"/>
  <c r="K165" i="4" s="1"/>
  <c r="F166" i="4"/>
  <c r="H166" i="4" l="1"/>
  <c r="J166" i="4" s="1"/>
  <c r="K166" i="4" s="1"/>
  <c r="F167" i="4"/>
  <c r="H167" i="4" l="1"/>
  <c r="J167" i="4" s="1"/>
  <c r="K167" i="4" s="1"/>
  <c r="F168" i="4"/>
  <c r="H168" i="4" l="1"/>
  <c r="J168" i="4" s="1"/>
  <c r="K168" i="4" s="1"/>
  <c r="F169" i="4"/>
  <c r="H169" i="4" l="1"/>
  <c r="J169" i="4" s="1"/>
  <c r="K169" i="4" s="1"/>
  <c r="F170" i="4"/>
  <c r="H170" i="4" l="1"/>
  <c r="J170" i="4" s="1"/>
  <c r="K170" i="4" s="1"/>
  <c r="F171" i="4"/>
  <c r="H171" i="4" l="1"/>
  <c r="J171" i="4" s="1"/>
  <c r="K171" i="4" s="1"/>
  <c r="F172" i="4"/>
  <c r="H172" i="4" l="1"/>
  <c r="J172" i="4" s="1"/>
  <c r="K172" i="4" s="1"/>
  <c r="F173" i="4"/>
  <c r="H173" i="4" l="1"/>
  <c r="J173" i="4" s="1"/>
  <c r="K173" i="4" s="1"/>
  <c r="F174" i="4"/>
  <c r="H174" i="4" l="1"/>
  <c r="J174" i="4" s="1"/>
  <c r="K174" i="4" s="1"/>
  <c r="F175" i="4"/>
  <c r="H175" i="4" l="1"/>
  <c r="J175" i="4" s="1"/>
  <c r="K175" i="4" s="1"/>
  <c r="F176" i="4"/>
  <c r="H176" i="4" l="1"/>
  <c r="J176" i="4" s="1"/>
  <c r="K176" i="4" s="1"/>
  <c r="F177" i="4"/>
  <c r="H177" i="4" l="1"/>
  <c r="J177" i="4" s="1"/>
  <c r="K177" i="4" s="1"/>
  <c r="F178" i="4"/>
  <c r="H178" i="4" l="1"/>
  <c r="J178" i="4" s="1"/>
  <c r="K178" i="4" s="1"/>
  <c r="F179" i="4"/>
  <c r="H179" i="4" l="1"/>
  <c r="J179" i="4" s="1"/>
  <c r="K179" i="4" s="1"/>
  <c r="F180" i="4"/>
  <c r="H180" i="4" l="1"/>
  <c r="J180" i="4" s="1"/>
  <c r="K180" i="4" s="1"/>
  <c r="F181" i="4"/>
  <c r="H181" i="4" l="1"/>
  <c r="J181" i="4" s="1"/>
  <c r="K181" i="4" s="1"/>
  <c r="F182" i="4"/>
  <c r="H182" i="4" l="1"/>
  <c r="J182" i="4" s="1"/>
  <c r="K182" i="4" s="1"/>
  <c r="F183" i="4"/>
  <c r="H183" i="4" l="1"/>
  <c r="J183" i="4" s="1"/>
  <c r="K183" i="4" s="1"/>
  <c r="F184" i="4"/>
  <c r="H184" i="4" l="1"/>
  <c r="J184" i="4" s="1"/>
  <c r="K184" i="4" s="1"/>
  <c r="F185" i="4"/>
  <c r="H185" i="4" l="1"/>
  <c r="J185" i="4" s="1"/>
  <c r="K185" i="4" s="1"/>
  <c r="F186" i="4"/>
  <c r="H186" i="4" l="1"/>
  <c r="J186" i="4" s="1"/>
  <c r="K186" i="4" s="1"/>
  <c r="F187" i="4"/>
  <c r="H187" i="4" l="1"/>
  <c r="J187" i="4" s="1"/>
  <c r="K187" i="4" s="1"/>
  <c r="F188" i="4"/>
  <c r="H188" i="4" l="1"/>
  <c r="J188" i="4" s="1"/>
  <c r="K188" i="4" s="1"/>
  <c r="F189" i="4"/>
  <c r="H189" i="4" l="1"/>
  <c r="J189" i="4" s="1"/>
  <c r="K189" i="4" s="1"/>
  <c r="F190" i="4"/>
  <c r="H190" i="4" l="1"/>
  <c r="J190" i="4" s="1"/>
  <c r="K190" i="4" s="1"/>
  <c r="F191" i="4"/>
  <c r="H191" i="4" l="1"/>
  <c r="J191" i="4" s="1"/>
  <c r="K191" i="4" s="1"/>
  <c r="F192" i="4"/>
  <c r="H192" i="4" l="1"/>
  <c r="J192" i="4" s="1"/>
  <c r="K192" i="4" s="1"/>
  <c r="F193" i="4"/>
  <c r="H193" i="4" l="1"/>
  <c r="J193" i="4" s="1"/>
  <c r="K193" i="4" s="1"/>
  <c r="F194" i="4"/>
  <c r="H194" i="4" l="1"/>
  <c r="J194" i="4" s="1"/>
  <c r="K194" i="4" s="1"/>
  <c r="F195" i="4"/>
  <c r="H195" i="4" l="1"/>
  <c r="J195" i="4" s="1"/>
  <c r="K195" i="4" s="1"/>
  <c r="F196" i="4"/>
  <c r="H196" i="4" l="1"/>
  <c r="J196" i="4" s="1"/>
  <c r="K196" i="4" s="1"/>
  <c r="F197" i="4"/>
  <c r="H197" i="4" l="1"/>
  <c r="J197" i="4" s="1"/>
  <c r="K197" i="4" s="1"/>
  <c r="F198" i="4"/>
  <c r="H198" i="4" l="1"/>
  <c r="J198" i="4" s="1"/>
  <c r="K198" i="4" s="1"/>
  <c r="F199" i="4"/>
  <c r="H199" i="4" l="1"/>
  <c r="J199" i="4" s="1"/>
  <c r="K199" i="4" s="1"/>
  <c r="F200" i="4"/>
  <c r="H200" i="4" l="1"/>
  <c r="J200" i="4" s="1"/>
  <c r="K200" i="4" s="1"/>
  <c r="F201" i="4"/>
  <c r="H201" i="4" l="1"/>
  <c r="J201" i="4" s="1"/>
  <c r="K201" i="4" s="1"/>
  <c r="F202" i="4"/>
  <c r="H202" i="4" l="1"/>
  <c r="J202" i="4" s="1"/>
  <c r="K202" i="4" s="1"/>
  <c r="F203" i="4"/>
  <c r="H203" i="4" l="1"/>
  <c r="J203" i="4" s="1"/>
  <c r="K203" i="4" s="1"/>
  <c r="F204" i="4"/>
  <c r="H204" i="4" l="1"/>
  <c r="J204" i="4" s="1"/>
  <c r="K204" i="4" s="1"/>
  <c r="F205" i="4"/>
  <c r="H205" i="4" l="1"/>
  <c r="J205" i="4" s="1"/>
  <c r="K205" i="4" s="1"/>
  <c r="F206" i="4"/>
  <c r="H206" i="4" l="1"/>
  <c r="J206" i="4" s="1"/>
  <c r="K206" i="4" s="1"/>
  <c r="F207" i="4"/>
  <c r="H207" i="4" l="1"/>
  <c r="J207" i="4" s="1"/>
  <c r="K207" i="4" s="1"/>
  <c r="F208" i="4"/>
  <c r="H208" i="4" l="1"/>
  <c r="J208" i="4" s="1"/>
  <c r="K208" i="4" s="1"/>
  <c r="F209" i="4"/>
  <c r="H209" i="4" l="1"/>
  <c r="J209" i="4" s="1"/>
  <c r="K209" i="4" s="1"/>
  <c r="F210" i="4"/>
  <c r="H210" i="4" l="1"/>
  <c r="J210" i="4" s="1"/>
  <c r="K210" i="4" s="1"/>
  <c r="F211" i="4"/>
  <c r="H211" i="4" l="1"/>
  <c r="J211" i="4" s="1"/>
  <c r="K211" i="4" s="1"/>
  <c r="F212" i="4"/>
  <c r="H212" i="4" l="1"/>
  <c r="J212" i="4" s="1"/>
  <c r="K212" i="4" s="1"/>
  <c r="F213" i="4"/>
  <c r="H213" i="4" l="1"/>
  <c r="J213" i="4" s="1"/>
  <c r="K213" i="4" s="1"/>
  <c r="F214" i="4"/>
  <c r="H214" i="4" l="1"/>
  <c r="J214" i="4" s="1"/>
  <c r="K214" i="4" s="1"/>
  <c r="F215" i="4"/>
  <c r="H215" i="4" l="1"/>
  <c r="J215" i="4" s="1"/>
  <c r="K215" i="4" s="1"/>
  <c r="F216" i="4"/>
  <c r="H216" i="4" l="1"/>
  <c r="J216" i="4" s="1"/>
  <c r="K216" i="4" s="1"/>
  <c r="F217" i="4"/>
  <c r="H217" i="4" l="1"/>
  <c r="J217" i="4" s="1"/>
  <c r="K217" i="4" s="1"/>
  <c r="F218" i="4"/>
  <c r="H218" i="4" l="1"/>
  <c r="J218" i="4" s="1"/>
  <c r="K218" i="4" s="1"/>
  <c r="F219" i="4"/>
  <c r="H219" i="4" l="1"/>
  <c r="J219" i="4" s="1"/>
  <c r="K219" i="4" s="1"/>
  <c r="F220" i="4"/>
  <c r="H220" i="4" l="1"/>
  <c r="J220" i="4" s="1"/>
  <c r="K220" i="4" s="1"/>
  <c r="F221" i="4"/>
  <c r="H221" i="4" l="1"/>
  <c r="J221" i="4" s="1"/>
  <c r="K221" i="4" s="1"/>
  <c r="F222" i="4"/>
  <c r="H222" i="4" l="1"/>
  <c r="J222" i="4" s="1"/>
  <c r="K222" i="4" s="1"/>
  <c r="F223" i="4"/>
  <c r="H223" i="4" l="1"/>
  <c r="J223" i="4" s="1"/>
  <c r="K223" i="4" s="1"/>
  <c r="F224" i="4"/>
  <c r="H224" i="4" l="1"/>
  <c r="J224" i="4" s="1"/>
  <c r="K224" i="4" s="1"/>
  <c r="F225" i="4"/>
  <c r="H225" i="4" l="1"/>
  <c r="J225" i="4" s="1"/>
  <c r="K225" i="4" s="1"/>
  <c r="F226" i="4"/>
  <c r="H226" i="4" l="1"/>
  <c r="J226" i="4" s="1"/>
  <c r="K226" i="4" s="1"/>
  <c r="F227" i="4"/>
  <c r="H227" i="4" l="1"/>
  <c r="J227" i="4" s="1"/>
  <c r="K227" i="4" s="1"/>
  <c r="F228" i="4"/>
  <c r="H228" i="4" l="1"/>
  <c r="J228" i="4" s="1"/>
  <c r="K228" i="4" s="1"/>
  <c r="F229" i="4"/>
  <c r="H229" i="4" l="1"/>
  <c r="J229" i="4" s="1"/>
  <c r="K229" i="4" s="1"/>
  <c r="F230" i="4"/>
  <c r="H230" i="4" l="1"/>
  <c r="J230" i="4" s="1"/>
  <c r="K230" i="4" s="1"/>
  <c r="F231" i="4"/>
  <c r="H231" i="4" l="1"/>
  <c r="J231" i="4" s="1"/>
  <c r="K231" i="4" s="1"/>
  <c r="F232" i="4"/>
  <c r="H232" i="4" l="1"/>
  <c r="J232" i="4" s="1"/>
  <c r="K232" i="4" s="1"/>
  <c r="F233" i="4"/>
  <c r="H233" i="4" l="1"/>
  <c r="J233" i="4" s="1"/>
  <c r="K233" i="4" s="1"/>
  <c r="F234" i="4"/>
  <c r="H234" i="4" l="1"/>
  <c r="J234" i="4" s="1"/>
  <c r="K234" i="4" s="1"/>
  <c r="F235" i="4"/>
  <c r="H235" i="4" l="1"/>
  <c r="J235" i="4" s="1"/>
  <c r="K235" i="4" s="1"/>
  <c r="F236" i="4"/>
  <c r="H236" i="4" l="1"/>
  <c r="J236" i="4" s="1"/>
  <c r="K236" i="4" s="1"/>
  <c r="F237" i="4"/>
  <c r="H237" i="4" l="1"/>
  <c r="J237" i="4" s="1"/>
  <c r="K237" i="4" s="1"/>
  <c r="F238" i="4"/>
  <c r="H238" i="4" l="1"/>
  <c r="J238" i="4" s="1"/>
  <c r="K238" i="4" s="1"/>
  <c r="F239" i="4"/>
  <c r="H239" i="4" l="1"/>
  <c r="J239" i="4" s="1"/>
  <c r="K239" i="4" s="1"/>
  <c r="F240" i="4"/>
  <c r="H240" i="4" l="1"/>
  <c r="J240" i="4" s="1"/>
  <c r="K240" i="4" s="1"/>
  <c r="F241" i="4"/>
  <c r="H241" i="4" l="1"/>
  <c r="J241" i="4" s="1"/>
  <c r="K241" i="4" s="1"/>
  <c r="F242" i="4"/>
  <c r="H242" i="4" l="1"/>
  <c r="J242" i="4" s="1"/>
  <c r="K242" i="4" s="1"/>
  <c r="F243" i="4"/>
  <c r="H243" i="4" l="1"/>
  <c r="J243" i="4" s="1"/>
  <c r="K243" i="4" s="1"/>
  <c r="F244" i="4"/>
  <c r="H244" i="4" l="1"/>
  <c r="J244" i="4" s="1"/>
  <c r="K244" i="4" s="1"/>
  <c r="F245" i="4"/>
  <c r="H245" i="4" l="1"/>
  <c r="J245" i="4" s="1"/>
  <c r="K245" i="4" s="1"/>
  <c r="F246" i="4"/>
  <c r="H246" i="4" l="1"/>
  <c r="J246" i="4" s="1"/>
  <c r="K246" i="4" s="1"/>
  <c r="F247" i="4"/>
  <c r="H247" i="4" l="1"/>
  <c r="J247" i="4" s="1"/>
  <c r="K247" i="4" s="1"/>
  <c r="F248" i="4"/>
  <c r="H248" i="4" l="1"/>
  <c r="J248" i="4" s="1"/>
  <c r="K248" i="4" s="1"/>
  <c r="F249" i="4"/>
  <c r="H249" i="4" l="1"/>
  <c r="J249" i="4" s="1"/>
  <c r="K249" i="4" s="1"/>
  <c r="F250" i="4"/>
  <c r="H250" i="4" l="1"/>
  <c r="J250" i="4" s="1"/>
  <c r="K250" i="4" s="1"/>
  <c r="F251" i="4"/>
  <c r="H251" i="4" l="1"/>
  <c r="J251" i="4" s="1"/>
  <c r="K251" i="4" s="1"/>
  <c r="F252" i="4"/>
  <c r="H252" i="4" l="1"/>
  <c r="J252" i="4" s="1"/>
  <c r="K252" i="4" s="1"/>
  <c r="F253" i="4"/>
  <c r="H253" i="4" l="1"/>
  <c r="J253" i="4" s="1"/>
  <c r="K253" i="4" s="1"/>
  <c r="F254" i="4"/>
  <c r="H254" i="4" l="1"/>
  <c r="J254" i="4" s="1"/>
  <c r="K254" i="4" s="1"/>
  <c r="F255" i="4"/>
  <c r="H255" i="4" l="1"/>
  <c r="J255" i="4" s="1"/>
  <c r="K255" i="4" s="1"/>
  <c r="F256" i="4"/>
  <c r="H256" i="4" l="1"/>
  <c r="J256" i="4" s="1"/>
  <c r="K256" i="4" s="1"/>
  <c r="F257" i="4"/>
  <c r="H257" i="4" l="1"/>
  <c r="J257" i="4" s="1"/>
  <c r="K257" i="4" s="1"/>
  <c r="F258" i="4"/>
  <c r="H258" i="4" l="1"/>
  <c r="J258" i="4" s="1"/>
  <c r="K258" i="4" s="1"/>
  <c r="F259" i="4"/>
  <c r="H259" i="4" l="1"/>
  <c r="J259" i="4" s="1"/>
  <c r="K259" i="4" s="1"/>
  <c r="F260" i="4"/>
  <c r="H260" i="4" l="1"/>
  <c r="J260" i="4" s="1"/>
  <c r="K260" i="4" s="1"/>
  <c r="F261" i="4"/>
  <c r="H261" i="4" l="1"/>
  <c r="J261" i="4" s="1"/>
  <c r="K261" i="4" s="1"/>
  <c r="F262" i="4"/>
  <c r="H262" i="4" l="1"/>
  <c r="J262" i="4" s="1"/>
  <c r="K262" i="4" s="1"/>
  <c r="F263" i="4"/>
  <c r="H263" i="4" l="1"/>
  <c r="J263" i="4" s="1"/>
  <c r="K263" i="4" s="1"/>
  <c r="F264" i="4"/>
  <c r="H264" i="4" l="1"/>
  <c r="J264" i="4" s="1"/>
  <c r="K264" i="4" s="1"/>
  <c r="F265" i="4"/>
  <c r="H265" i="4" l="1"/>
  <c r="J265" i="4" s="1"/>
  <c r="K265" i="4" s="1"/>
  <c r="F266" i="4"/>
  <c r="H266" i="4" l="1"/>
  <c r="J266" i="4" s="1"/>
  <c r="K266" i="4" s="1"/>
  <c r="F267" i="4"/>
  <c r="H267" i="4" l="1"/>
  <c r="J267" i="4" s="1"/>
  <c r="K267" i="4" s="1"/>
  <c r="F268" i="4"/>
  <c r="H268" i="4" l="1"/>
  <c r="J268" i="4" s="1"/>
  <c r="K268" i="4" s="1"/>
  <c r="F269" i="4"/>
  <c r="H269" i="4" l="1"/>
  <c r="J269" i="4" s="1"/>
  <c r="K269" i="4" s="1"/>
  <c r="F270" i="4"/>
  <c r="H270" i="4" l="1"/>
  <c r="J270" i="4" s="1"/>
  <c r="K270" i="4" s="1"/>
  <c r="F271" i="4"/>
  <c r="H271" i="4" l="1"/>
  <c r="J271" i="4" s="1"/>
  <c r="K271" i="4" s="1"/>
  <c r="F272" i="4"/>
  <c r="H272" i="4" l="1"/>
  <c r="J272" i="4" s="1"/>
  <c r="K272" i="4" s="1"/>
  <c r="F273" i="4"/>
  <c r="H273" i="4" l="1"/>
  <c r="J273" i="4" s="1"/>
  <c r="K273" i="4" s="1"/>
  <c r="F274" i="4"/>
  <c r="H274" i="4" l="1"/>
  <c r="J274" i="4" s="1"/>
  <c r="K274" i="4" s="1"/>
  <c r="F275" i="4"/>
  <c r="H275" i="4" l="1"/>
  <c r="J275" i="4" s="1"/>
  <c r="K275" i="4" s="1"/>
  <c r="F276" i="4"/>
  <c r="H276" i="4" l="1"/>
  <c r="J276" i="4" s="1"/>
  <c r="K276" i="4" s="1"/>
  <c r="F277" i="4"/>
  <c r="H277" i="4" l="1"/>
  <c r="J277" i="4" s="1"/>
  <c r="K277" i="4" s="1"/>
  <c r="F278" i="4"/>
  <c r="H278" i="4" l="1"/>
  <c r="J278" i="4" s="1"/>
  <c r="K278" i="4" s="1"/>
  <c r="F279" i="4"/>
  <c r="H279" i="4" l="1"/>
  <c r="J279" i="4" s="1"/>
  <c r="K279" i="4" s="1"/>
  <c r="F280" i="4"/>
  <c r="H280" i="4" l="1"/>
  <c r="J280" i="4" s="1"/>
  <c r="K280" i="4" s="1"/>
  <c r="F281" i="4"/>
  <c r="H281" i="4" l="1"/>
  <c r="J281" i="4" s="1"/>
  <c r="K281" i="4" s="1"/>
  <c r="F282" i="4"/>
  <c r="H282" i="4" l="1"/>
  <c r="J282" i="4" s="1"/>
  <c r="K282" i="4" s="1"/>
  <c r="F283" i="4"/>
  <c r="H283" i="4" l="1"/>
  <c r="J283" i="4" s="1"/>
  <c r="K283" i="4" s="1"/>
  <c r="F284" i="4"/>
  <c r="H284" i="4" l="1"/>
  <c r="J284" i="4" s="1"/>
  <c r="K284" i="4" s="1"/>
  <c r="F285" i="4"/>
  <c r="H285" i="4" l="1"/>
  <c r="J285" i="4" s="1"/>
  <c r="K285" i="4" s="1"/>
  <c r="F286" i="4"/>
  <c r="H286" i="4" l="1"/>
  <c r="J286" i="4" s="1"/>
  <c r="K286" i="4" s="1"/>
  <c r="F287" i="4"/>
  <c r="H287" i="4" l="1"/>
  <c r="J287" i="4" s="1"/>
  <c r="K287" i="4" s="1"/>
  <c r="F288" i="4"/>
  <c r="H288" i="4" l="1"/>
  <c r="J288" i="4" s="1"/>
  <c r="K288" i="4" s="1"/>
  <c r="F289" i="4"/>
  <c r="H289" i="4" l="1"/>
  <c r="J289" i="4" s="1"/>
  <c r="K289" i="4" s="1"/>
  <c r="F290" i="4"/>
  <c r="H290" i="4" l="1"/>
  <c r="J290" i="4" s="1"/>
  <c r="K290" i="4" s="1"/>
  <c r="F291" i="4"/>
  <c r="H291" i="4" l="1"/>
  <c r="J291" i="4" s="1"/>
  <c r="K291" i="4" s="1"/>
  <c r="F292" i="4"/>
  <c r="H292" i="4" l="1"/>
  <c r="J292" i="4" s="1"/>
  <c r="K292" i="4" s="1"/>
  <c r="F293" i="4"/>
  <c r="H293" i="4" l="1"/>
  <c r="J293" i="4" s="1"/>
  <c r="K293" i="4" s="1"/>
  <c r="F294" i="4"/>
  <c r="H294" i="4" l="1"/>
  <c r="J294" i="4" s="1"/>
  <c r="K294" i="4" s="1"/>
  <c r="F295" i="4"/>
  <c r="H295" i="4" l="1"/>
  <c r="J295" i="4" s="1"/>
  <c r="K295" i="4" s="1"/>
  <c r="F296" i="4"/>
  <c r="H296" i="4" l="1"/>
  <c r="J296" i="4" s="1"/>
  <c r="K296" i="4" s="1"/>
  <c r="F297" i="4"/>
  <c r="H297" i="4" l="1"/>
  <c r="J297" i="4" s="1"/>
  <c r="K297" i="4" s="1"/>
  <c r="F298" i="4"/>
  <c r="H298" i="4" l="1"/>
  <c r="J298" i="4" s="1"/>
  <c r="K298" i="4" s="1"/>
  <c r="F299" i="4"/>
  <c r="H299" i="4" l="1"/>
  <c r="J299" i="4" s="1"/>
  <c r="K299" i="4" s="1"/>
  <c r="F300" i="4"/>
  <c r="H300" i="4" l="1"/>
  <c r="J300" i="4" s="1"/>
  <c r="K300" i="4" s="1"/>
  <c r="F301" i="4"/>
  <c r="H301" i="4" l="1"/>
  <c r="J301" i="4" s="1"/>
  <c r="K301" i="4" s="1"/>
  <c r="F302" i="4"/>
  <c r="H302" i="4" l="1"/>
  <c r="J302" i="4" s="1"/>
  <c r="K302" i="4" s="1"/>
  <c r="F303" i="4"/>
  <c r="H303" i="4" l="1"/>
  <c r="J303" i="4" s="1"/>
  <c r="K303" i="4" s="1"/>
  <c r="F304" i="4"/>
  <c r="H304" i="4" l="1"/>
  <c r="J304" i="4" s="1"/>
  <c r="K304" i="4" s="1"/>
  <c r="F305" i="4"/>
  <c r="H305" i="4" l="1"/>
  <c r="J305" i="4" s="1"/>
  <c r="K305" i="4" s="1"/>
  <c r="F306" i="4"/>
  <c r="H306" i="4" l="1"/>
  <c r="J306" i="4" s="1"/>
  <c r="K306" i="4" s="1"/>
  <c r="F307" i="4"/>
  <c r="H307" i="4" l="1"/>
  <c r="J307" i="4" s="1"/>
  <c r="K307" i="4" s="1"/>
  <c r="F308" i="4"/>
  <c r="H308" i="4" l="1"/>
  <c r="J308" i="4" s="1"/>
  <c r="K308" i="4" s="1"/>
  <c r="F309" i="4"/>
  <c r="H309" i="4" l="1"/>
  <c r="J309" i="4" s="1"/>
  <c r="K309" i="4" s="1"/>
  <c r="F310" i="4"/>
  <c r="H310" i="4" l="1"/>
  <c r="J310" i="4" s="1"/>
  <c r="K310" i="4" s="1"/>
  <c r="F311" i="4"/>
  <c r="H311" i="4" l="1"/>
  <c r="J311" i="4" s="1"/>
  <c r="K311" i="4" s="1"/>
  <c r="F312" i="4"/>
  <c r="H312" i="4" l="1"/>
  <c r="J312" i="4" s="1"/>
  <c r="K312" i="4" s="1"/>
  <c r="F313" i="4"/>
  <c r="H313" i="4" l="1"/>
  <c r="J313" i="4" s="1"/>
  <c r="K313" i="4" s="1"/>
  <c r="F314" i="4"/>
  <c r="H314" i="4" l="1"/>
  <c r="J314" i="4" s="1"/>
  <c r="K314" i="4" s="1"/>
  <c r="F315" i="4"/>
  <c r="H315" i="4" l="1"/>
  <c r="J315" i="4" s="1"/>
  <c r="K315" i="4" s="1"/>
  <c r="F316" i="4"/>
  <c r="H316" i="4" l="1"/>
  <c r="J316" i="4" s="1"/>
  <c r="K316" i="4" s="1"/>
  <c r="F317" i="4"/>
  <c r="H317" i="4" l="1"/>
  <c r="J317" i="4" s="1"/>
  <c r="K317" i="4" s="1"/>
  <c r="F318" i="4"/>
  <c r="H318" i="4" l="1"/>
  <c r="J318" i="4" s="1"/>
  <c r="K318" i="4" s="1"/>
  <c r="F319" i="4"/>
  <c r="H319" i="4" l="1"/>
  <c r="J319" i="4" s="1"/>
  <c r="K319" i="4" s="1"/>
  <c r="F320" i="4"/>
  <c r="H320" i="4" l="1"/>
  <c r="J320" i="4" s="1"/>
  <c r="K320" i="4" s="1"/>
  <c r="F321" i="4"/>
  <c r="H321" i="4" l="1"/>
  <c r="J321" i="4" s="1"/>
  <c r="K321" i="4" s="1"/>
  <c r="F322" i="4"/>
  <c r="H322" i="4" l="1"/>
  <c r="J322" i="4" s="1"/>
  <c r="K322" i="4" s="1"/>
  <c r="F323" i="4"/>
  <c r="H323" i="4" l="1"/>
  <c r="J323" i="4" s="1"/>
  <c r="K323" i="4" s="1"/>
  <c r="F324" i="4"/>
  <c r="H324" i="4" l="1"/>
  <c r="J324" i="4" s="1"/>
  <c r="K324" i="4" s="1"/>
  <c r="F325" i="4"/>
  <c r="H325" i="4" l="1"/>
  <c r="J325" i="4" s="1"/>
  <c r="K325" i="4" s="1"/>
  <c r="F326" i="4"/>
  <c r="H326" i="4" l="1"/>
  <c r="J326" i="4" s="1"/>
  <c r="K326" i="4" s="1"/>
  <c r="F327" i="4"/>
  <c r="H327" i="4" l="1"/>
  <c r="J327" i="4" s="1"/>
  <c r="K327" i="4" s="1"/>
  <c r="F328" i="4"/>
  <c r="H328" i="4" l="1"/>
  <c r="J328" i="4" s="1"/>
  <c r="K328" i="4" s="1"/>
  <c r="F329" i="4"/>
  <c r="H329" i="4" l="1"/>
  <c r="J329" i="4" s="1"/>
  <c r="K329" i="4" s="1"/>
  <c r="F330" i="4"/>
  <c r="H330" i="4" l="1"/>
  <c r="J330" i="4" s="1"/>
  <c r="K330" i="4" s="1"/>
  <c r="F331" i="4"/>
  <c r="H331" i="4" l="1"/>
  <c r="J331" i="4" s="1"/>
  <c r="K331" i="4" s="1"/>
  <c r="F332" i="4"/>
  <c r="H332" i="4" l="1"/>
  <c r="J332" i="4" s="1"/>
  <c r="K332" i="4" s="1"/>
  <c r="F333" i="4"/>
  <c r="H333" i="4" l="1"/>
  <c r="J333" i="4" s="1"/>
  <c r="K333" i="4" s="1"/>
  <c r="F334" i="4"/>
  <c r="H334" i="4" l="1"/>
  <c r="J334" i="4" s="1"/>
  <c r="K334" i="4" s="1"/>
  <c r="F335" i="4"/>
  <c r="H335" i="4" l="1"/>
  <c r="J335" i="4" s="1"/>
  <c r="K335" i="4" s="1"/>
  <c r="F336" i="4"/>
  <c r="H336" i="4" l="1"/>
  <c r="J336" i="4" s="1"/>
  <c r="K336" i="4" s="1"/>
  <c r="F337" i="4"/>
  <c r="H337" i="4" l="1"/>
  <c r="J337" i="4" s="1"/>
  <c r="K337" i="4" s="1"/>
  <c r="F338" i="4"/>
  <c r="H338" i="4" l="1"/>
  <c r="J338" i="4" s="1"/>
  <c r="K338" i="4" s="1"/>
  <c r="F339" i="4"/>
  <c r="H339" i="4" l="1"/>
  <c r="J339" i="4" s="1"/>
  <c r="K339" i="4" s="1"/>
  <c r="F340" i="4"/>
  <c r="H340" i="4" l="1"/>
  <c r="J340" i="4" s="1"/>
  <c r="K340" i="4" s="1"/>
  <c r="F341" i="4"/>
  <c r="H341" i="4" l="1"/>
  <c r="J341" i="4" s="1"/>
  <c r="K341" i="4" s="1"/>
  <c r="F342" i="4"/>
  <c r="H342" i="4" l="1"/>
  <c r="J342" i="4" s="1"/>
  <c r="K342" i="4" s="1"/>
  <c r="F343" i="4"/>
  <c r="H343" i="4" l="1"/>
  <c r="J343" i="4" s="1"/>
  <c r="K343" i="4" s="1"/>
  <c r="F344" i="4"/>
  <c r="H344" i="4" l="1"/>
  <c r="J344" i="4" s="1"/>
  <c r="K344" i="4" s="1"/>
  <c r="F345" i="4"/>
  <c r="H345" i="4" l="1"/>
  <c r="J345" i="4" s="1"/>
  <c r="K345" i="4" s="1"/>
  <c r="F346" i="4"/>
  <c r="H346" i="4" l="1"/>
  <c r="J346" i="4" s="1"/>
  <c r="K346" i="4" s="1"/>
  <c r="F347" i="4"/>
  <c r="H347" i="4" l="1"/>
  <c r="J347" i="4" s="1"/>
  <c r="K347" i="4" s="1"/>
  <c r="F348" i="4"/>
  <c r="H348" i="4" l="1"/>
  <c r="J348" i="4" s="1"/>
  <c r="K348" i="4" s="1"/>
  <c r="F349" i="4"/>
  <c r="H349" i="4" l="1"/>
  <c r="J349" i="4" s="1"/>
  <c r="K349" i="4" s="1"/>
  <c r="F350" i="4"/>
  <c r="H350" i="4" l="1"/>
  <c r="J350" i="4" s="1"/>
  <c r="K350" i="4" s="1"/>
  <c r="F351" i="4"/>
  <c r="H351" i="4" l="1"/>
  <c r="J351" i="4" s="1"/>
  <c r="K351" i="4" s="1"/>
  <c r="F352" i="4"/>
  <c r="H352" i="4" l="1"/>
  <c r="J352" i="4" s="1"/>
  <c r="K352" i="4" s="1"/>
  <c r="F353" i="4"/>
  <c r="H353" i="4" l="1"/>
  <c r="J353" i="4" s="1"/>
  <c r="K353" i="4" s="1"/>
  <c r="F354" i="4"/>
  <c r="H354" i="4" l="1"/>
  <c r="J354" i="4" s="1"/>
  <c r="K354" i="4" s="1"/>
  <c r="F355" i="4"/>
  <c r="H355" i="4" l="1"/>
  <c r="J355" i="4" s="1"/>
  <c r="K355" i="4" s="1"/>
  <c r="F356" i="4"/>
  <c r="H356" i="4" l="1"/>
  <c r="J356" i="4" s="1"/>
  <c r="K356" i="4" s="1"/>
  <c r="F357" i="4"/>
  <c r="H357" i="4" l="1"/>
  <c r="J357" i="4" s="1"/>
  <c r="K357" i="4" s="1"/>
  <c r="F358" i="4"/>
  <c r="H358" i="4" l="1"/>
  <c r="J358" i="4" s="1"/>
  <c r="K358" i="4" s="1"/>
  <c r="F359" i="4"/>
  <c r="H359" i="4" l="1"/>
  <c r="J359" i="4" s="1"/>
  <c r="K359" i="4" s="1"/>
  <c r="F360" i="4"/>
  <c r="H360" i="4" l="1"/>
  <c r="J360" i="4" s="1"/>
  <c r="K360" i="4" s="1"/>
  <c r="F361" i="4"/>
  <c r="H361" i="4" l="1"/>
  <c r="J361" i="4" s="1"/>
  <c r="K361" i="4" s="1"/>
  <c r="F362" i="4"/>
  <c r="H362" i="4" l="1"/>
  <c r="J362" i="4" s="1"/>
  <c r="K362" i="4" s="1"/>
  <c r="F363" i="4"/>
  <c r="H363" i="4" l="1"/>
  <c r="J363" i="4" s="1"/>
  <c r="K363" i="4" s="1"/>
  <c r="F364" i="4"/>
  <c r="H364" i="4" l="1"/>
  <c r="J364" i="4" s="1"/>
  <c r="K364" i="4" s="1"/>
  <c r="F365" i="4"/>
  <c r="H365" i="4" l="1"/>
  <c r="J365" i="4" s="1"/>
  <c r="K365" i="4" s="1"/>
  <c r="F366" i="4"/>
  <c r="H366" i="4" s="1"/>
  <c r="J366" i="4" s="1"/>
  <c r="K36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<sst xmlns="http://schemas.openxmlformats.org/spreadsheetml/2006/main" count="1172" uniqueCount="435">
  <si>
    <t>d</t>
  </si>
  <si>
    <t>date</t>
  </si>
  <si>
    <t>weekday</t>
  </si>
  <si>
    <t>wday</t>
  </si>
  <si>
    <t>month</t>
  </si>
  <si>
    <t>event_type_1</t>
  </si>
  <si>
    <t>snap_CA</t>
  </si>
  <si>
    <t>SKU1_Sales</t>
  </si>
  <si>
    <t>SKU2_Sales</t>
  </si>
  <si>
    <t>SKU3_Sales</t>
  </si>
  <si>
    <t>d_1</t>
  </si>
  <si>
    <t>Saturday</t>
  </si>
  <si>
    <t/>
  </si>
  <si>
    <t>d_2</t>
  </si>
  <si>
    <t>Sunday</t>
  </si>
  <si>
    <t>d_3</t>
  </si>
  <si>
    <t>Monday</t>
  </si>
  <si>
    <t>d_4</t>
  </si>
  <si>
    <t>Tuesday</t>
  </si>
  <si>
    <t>d_5</t>
  </si>
  <si>
    <t>Wednesday</t>
  </si>
  <si>
    <t>d_6</t>
  </si>
  <si>
    <t>Thursday</t>
  </si>
  <si>
    <t>d_7</t>
  </si>
  <si>
    <t>Friday</t>
  </si>
  <si>
    <t>d_8</t>
  </si>
  <si>
    <t>d_9</t>
  </si>
  <si>
    <t>Sporting</t>
  </si>
  <si>
    <t>d_10</t>
  </si>
  <si>
    <t>d_11</t>
  </si>
  <si>
    <t>d_12</t>
  </si>
  <si>
    <t>d_13</t>
  </si>
  <si>
    <t>d_14</t>
  </si>
  <si>
    <t>d_15</t>
  </si>
  <si>
    <t>d_16</t>
  </si>
  <si>
    <t>d_17</t>
  </si>
  <si>
    <t>Cultural</t>
  </si>
  <si>
    <t>d_18</t>
  </si>
  <si>
    <t>d_19</t>
  </si>
  <si>
    <t>d_20</t>
  </si>
  <si>
    <t>d_21</t>
  </si>
  <si>
    <t>d_22</t>
  </si>
  <si>
    <t>d_23</t>
  </si>
  <si>
    <t>d_24</t>
  </si>
  <si>
    <t>National</t>
  </si>
  <si>
    <t>d_25</t>
  </si>
  <si>
    <t>d_26</t>
  </si>
  <si>
    <t>d_27</t>
  </si>
  <si>
    <t>d_28</t>
  </si>
  <si>
    <t>d_29</t>
  </si>
  <si>
    <t>d_30</t>
  </si>
  <si>
    <t>d_31</t>
  </si>
  <si>
    <t>d_32</t>
  </si>
  <si>
    <t>d_33</t>
  </si>
  <si>
    <t>d_34</t>
  </si>
  <si>
    <t>d_35</t>
  </si>
  <si>
    <t>d_36</t>
  </si>
  <si>
    <t>d_37</t>
  </si>
  <si>
    <t>d_38</t>
  </si>
  <si>
    <t>d_39</t>
  </si>
  <si>
    <t>d_40</t>
  </si>
  <si>
    <t>Religious</t>
  </si>
  <si>
    <t>d_41</t>
  </si>
  <si>
    <t>d_42</t>
  </si>
  <si>
    <t>d_43</t>
  </si>
  <si>
    <t>d_44</t>
  </si>
  <si>
    <t>d_45</t>
  </si>
  <si>
    <t>d_46</t>
  </si>
  <si>
    <t>d_47</t>
  </si>
  <si>
    <t>d_48</t>
  </si>
  <si>
    <t>d_49</t>
  </si>
  <si>
    <t>d_50</t>
  </si>
  <si>
    <t>d_51</t>
  </si>
  <si>
    <t>d_52</t>
  </si>
  <si>
    <t>d_53</t>
  </si>
  <si>
    <t>d_54</t>
  </si>
  <si>
    <t>d_55</t>
  </si>
  <si>
    <t>d_56</t>
  </si>
  <si>
    <t>d_57</t>
  </si>
  <si>
    <t>d_58</t>
  </si>
  <si>
    <t>d_59</t>
  </si>
  <si>
    <t>d_60</t>
  </si>
  <si>
    <t>d_61</t>
  </si>
  <si>
    <t>d_62</t>
  </si>
  <si>
    <t>d_63</t>
  </si>
  <si>
    <t>d_64</t>
  </si>
  <si>
    <t>d_65</t>
  </si>
  <si>
    <t>d_66</t>
  </si>
  <si>
    <t>d_67</t>
  </si>
  <si>
    <t>d_68</t>
  </si>
  <si>
    <t>d_69</t>
  </si>
  <si>
    <t>d_70</t>
  </si>
  <si>
    <t>d_71</t>
  </si>
  <si>
    <t>d_72</t>
  </si>
  <si>
    <t>d_73</t>
  </si>
  <si>
    <t>d_74</t>
  </si>
  <si>
    <t>d_75</t>
  </si>
  <si>
    <t>d_76</t>
  </si>
  <si>
    <t>d_77</t>
  </si>
  <si>
    <t>d_78</t>
  </si>
  <si>
    <t>d_79</t>
  </si>
  <si>
    <t>d_80</t>
  </si>
  <si>
    <t>d_81</t>
  </si>
  <si>
    <t>d_82</t>
  </si>
  <si>
    <t>d_83</t>
  </si>
  <si>
    <t>d_84</t>
  </si>
  <si>
    <t>d_85</t>
  </si>
  <si>
    <t>d_86</t>
  </si>
  <si>
    <t>d_87</t>
  </si>
  <si>
    <t>d_88</t>
  </si>
  <si>
    <t>d_89</t>
  </si>
  <si>
    <t>d_90</t>
  </si>
  <si>
    <t>d_91</t>
  </si>
  <si>
    <t>d_92</t>
  </si>
  <si>
    <t>d_93</t>
  </si>
  <si>
    <t>d_94</t>
  </si>
  <si>
    <t>d_95</t>
  </si>
  <si>
    <t>d_96</t>
  </si>
  <si>
    <t>d_97</t>
  </si>
  <si>
    <t>d_98</t>
  </si>
  <si>
    <t>d_99</t>
  </si>
  <si>
    <t>d_100</t>
  </si>
  <si>
    <t>d_101</t>
  </si>
  <si>
    <t>d_102</t>
  </si>
  <si>
    <t>d_103</t>
  </si>
  <si>
    <t>d_104</t>
  </si>
  <si>
    <t>d_105</t>
  </si>
  <si>
    <t>d_106</t>
  </si>
  <si>
    <t>d_107</t>
  </si>
  <si>
    <t>d_108</t>
  </si>
  <si>
    <t>d_109</t>
  </si>
  <si>
    <t>d_110</t>
  </si>
  <si>
    <t>d_111</t>
  </si>
  <si>
    <t>d_112</t>
  </si>
  <si>
    <t>d_113</t>
  </si>
  <si>
    <t>d_114</t>
  </si>
  <si>
    <t>d_115</t>
  </si>
  <si>
    <t>d_116</t>
  </si>
  <si>
    <t>d_117</t>
  </si>
  <si>
    <t>d_118</t>
  </si>
  <si>
    <t>d_119</t>
  </si>
  <si>
    <t>d_120</t>
  </si>
  <si>
    <t>d_121</t>
  </si>
  <si>
    <t>d_122</t>
  </si>
  <si>
    <t>d_123</t>
  </si>
  <si>
    <t>d_124</t>
  </si>
  <si>
    <t>d_125</t>
  </si>
  <si>
    <t>d_126</t>
  </si>
  <si>
    <t>d_127</t>
  </si>
  <si>
    <t>d_128</t>
  </si>
  <si>
    <t>d_129</t>
  </si>
  <si>
    <t>d_130</t>
  </si>
  <si>
    <t>d_131</t>
  </si>
  <si>
    <t>d_132</t>
  </si>
  <si>
    <t>d_133</t>
  </si>
  <si>
    <t>d_134</t>
  </si>
  <si>
    <t>d_135</t>
  </si>
  <si>
    <t>d_136</t>
  </si>
  <si>
    <t>d_137</t>
  </si>
  <si>
    <t>d_138</t>
  </si>
  <si>
    <t>d_139</t>
  </si>
  <si>
    <t>d_140</t>
  </si>
  <si>
    <t>d_141</t>
  </si>
  <si>
    <t>d_142</t>
  </si>
  <si>
    <t>d_143</t>
  </si>
  <si>
    <t>d_144</t>
  </si>
  <si>
    <t>d_145</t>
  </si>
  <si>
    <t>d_146</t>
  </si>
  <si>
    <t>d_147</t>
  </si>
  <si>
    <t>d_148</t>
  </si>
  <si>
    <t>d_149</t>
  </si>
  <si>
    <t>d_150</t>
  </si>
  <si>
    <t>d_151</t>
  </si>
  <si>
    <t>d_152</t>
  </si>
  <si>
    <t>d_153</t>
  </si>
  <si>
    <t>d_154</t>
  </si>
  <si>
    <t>d_155</t>
  </si>
  <si>
    <t>d_156</t>
  </si>
  <si>
    <t>d_157</t>
  </si>
  <si>
    <t>d_158</t>
  </si>
  <si>
    <t>d_159</t>
  </si>
  <si>
    <t>d_160</t>
  </si>
  <si>
    <t>d_161</t>
  </si>
  <si>
    <t>d_162</t>
  </si>
  <si>
    <t>d_163</t>
  </si>
  <si>
    <t>d_164</t>
  </si>
  <si>
    <t>d_165</t>
  </si>
  <si>
    <t>d_166</t>
  </si>
  <si>
    <t>d_167</t>
  </si>
  <si>
    <t>d_168</t>
  </si>
  <si>
    <t>d_169</t>
  </si>
  <si>
    <t>d_170</t>
  </si>
  <si>
    <t>d_171</t>
  </si>
  <si>
    <t>d_172</t>
  </si>
  <si>
    <t>d_173</t>
  </si>
  <si>
    <t>d_174</t>
  </si>
  <si>
    <t>d_175</t>
  </si>
  <si>
    <t>d_176</t>
  </si>
  <si>
    <t>d_177</t>
  </si>
  <si>
    <t>d_178</t>
  </si>
  <si>
    <t>d_179</t>
  </si>
  <si>
    <t>d_180</t>
  </si>
  <si>
    <t>d_181</t>
  </si>
  <si>
    <t>d_182</t>
  </si>
  <si>
    <t>d_183</t>
  </si>
  <si>
    <t>d_184</t>
  </si>
  <si>
    <t>d_185</t>
  </si>
  <si>
    <t>d_186</t>
  </si>
  <si>
    <t>d_187</t>
  </si>
  <si>
    <t>d_188</t>
  </si>
  <si>
    <t>d_189</t>
  </si>
  <si>
    <t>d_190</t>
  </si>
  <si>
    <t>d_191</t>
  </si>
  <si>
    <t>d_192</t>
  </si>
  <si>
    <t>d_193</t>
  </si>
  <si>
    <t>d_194</t>
  </si>
  <si>
    <t>d_195</t>
  </si>
  <si>
    <t>d_196</t>
  </si>
  <si>
    <t>d_197</t>
  </si>
  <si>
    <t>d_198</t>
  </si>
  <si>
    <t>d_199</t>
  </si>
  <si>
    <t>d_200</t>
  </si>
  <si>
    <t>d_201</t>
  </si>
  <si>
    <t>d_202</t>
  </si>
  <si>
    <t>d_203</t>
  </si>
  <si>
    <t>d_204</t>
  </si>
  <si>
    <t>d_205</t>
  </si>
  <si>
    <t>d_206</t>
  </si>
  <si>
    <t>d_207</t>
  </si>
  <si>
    <t>d_208</t>
  </si>
  <si>
    <t>d_209</t>
  </si>
  <si>
    <t>d_210</t>
  </si>
  <si>
    <t>d_211</t>
  </si>
  <si>
    <t>d_212</t>
  </si>
  <si>
    <t>d_213</t>
  </si>
  <si>
    <t>d_214</t>
  </si>
  <si>
    <t>d_215</t>
  </si>
  <si>
    <t>d_216</t>
  </si>
  <si>
    <t>d_217</t>
  </si>
  <si>
    <t>d_218</t>
  </si>
  <si>
    <t>d_219</t>
  </si>
  <si>
    <t>d_220</t>
  </si>
  <si>
    <t>d_221</t>
  </si>
  <si>
    <t>d_222</t>
  </si>
  <si>
    <t>d_223</t>
  </si>
  <si>
    <t>d_224</t>
  </si>
  <si>
    <t>d_225</t>
  </si>
  <si>
    <t>d_226</t>
  </si>
  <si>
    <t>d_227</t>
  </si>
  <si>
    <t>d_228</t>
  </si>
  <si>
    <t>d_229</t>
  </si>
  <si>
    <t>d_230</t>
  </si>
  <si>
    <t>d_231</t>
  </si>
  <si>
    <t>d_232</t>
  </si>
  <si>
    <t>d_233</t>
  </si>
  <si>
    <t>d_234</t>
  </si>
  <si>
    <t>d_235</t>
  </si>
  <si>
    <t>d_236</t>
  </si>
  <si>
    <t>d_237</t>
  </si>
  <si>
    <t>d_238</t>
  </si>
  <si>
    <t>d_239</t>
  </si>
  <si>
    <t>d_240</t>
  </si>
  <si>
    <t>d_241</t>
  </si>
  <si>
    <t>d_242</t>
  </si>
  <si>
    <t>d_243</t>
  </si>
  <si>
    <t>d_244</t>
  </si>
  <si>
    <t>d_245</t>
  </si>
  <si>
    <t>d_246</t>
  </si>
  <si>
    <t>d_247</t>
  </si>
  <si>
    <t>d_248</t>
  </si>
  <si>
    <t>d_249</t>
  </si>
  <si>
    <t>d_250</t>
  </si>
  <si>
    <t>d_251</t>
  </si>
  <si>
    <t>d_252</t>
  </si>
  <si>
    <t>d_253</t>
  </si>
  <si>
    <t>d_254</t>
  </si>
  <si>
    <t>d_255</t>
  </si>
  <si>
    <t>d_256</t>
  </si>
  <si>
    <t>d_257</t>
  </si>
  <si>
    <t>d_258</t>
  </si>
  <si>
    <t>d_259</t>
  </si>
  <si>
    <t>d_260</t>
  </si>
  <si>
    <t>d_261</t>
  </si>
  <si>
    <t>d_262</t>
  </si>
  <si>
    <t>d_263</t>
  </si>
  <si>
    <t>d_264</t>
  </si>
  <si>
    <t>d_265</t>
  </si>
  <si>
    <t>d_266</t>
  </si>
  <si>
    <t>d_267</t>
  </si>
  <si>
    <t>d_268</t>
  </si>
  <si>
    <t>d_269</t>
  </si>
  <si>
    <t>d_270</t>
  </si>
  <si>
    <t>d_271</t>
  </si>
  <si>
    <t>d_272</t>
  </si>
  <si>
    <t>d_273</t>
  </si>
  <si>
    <t>d_274</t>
  </si>
  <si>
    <t>d_275</t>
  </si>
  <si>
    <t>d_276</t>
  </si>
  <si>
    <t>d_277</t>
  </si>
  <si>
    <t>d_278</t>
  </si>
  <si>
    <t>d_279</t>
  </si>
  <si>
    <t>d_280</t>
  </si>
  <si>
    <t>d_281</t>
  </si>
  <si>
    <t>d_282</t>
  </si>
  <si>
    <t>d_283</t>
  </si>
  <si>
    <t>d_284</t>
  </si>
  <si>
    <t>d_285</t>
  </si>
  <si>
    <t>d_286</t>
  </si>
  <si>
    <t>d_287</t>
  </si>
  <si>
    <t>d_288</t>
  </si>
  <si>
    <t>d_289</t>
  </si>
  <si>
    <t>d_290</t>
  </si>
  <si>
    <t>d_291</t>
  </si>
  <si>
    <t>d_292</t>
  </si>
  <si>
    <t>d_293</t>
  </si>
  <si>
    <t>d_294</t>
  </si>
  <si>
    <t>d_295</t>
  </si>
  <si>
    <t>d_296</t>
  </si>
  <si>
    <t>d_297</t>
  </si>
  <si>
    <t>d_298</t>
  </si>
  <si>
    <t>d_299</t>
  </si>
  <si>
    <t>d_300</t>
  </si>
  <si>
    <t>d_301</t>
  </si>
  <si>
    <t>d_302</t>
  </si>
  <si>
    <t>d_303</t>
  </si>
  <si>
    <t>d_304</t>
  </si>
  <si>
    <t>d_305</t>
  </si>
  <si>
    <t>d_306</t>
  </si>
  <si>
    <t>d_307</t>
  </si>
  <si>
    <t>d_308</t>
  </si>
  <si>
    <t>d_309</t>
  </si>
  <si>
    <t>d_310</t>
  </si>
  <si>
    <t>d_311</t>
  </si>
  <si>
    <t>d_312</t>
  </si>
  <si>
    <t>d_313</t>
  </si>
  <si>
    <t>d_314</t>
  </si>
  <si>
    <t>d_315</t>
  </si>
  <si>
    <t>d_316</t>
  </si>
  <si>
    <t>d_317</t>
  </si>
  <si>
    <t>d_318</t>
  </si>
  <si>
    <t>d_319</t>
  </si>
  <si>
    <t>d_320</t>
  </si>
  <si>
    <t>d_321</t>
  </si>
  <si>
    <t>d_322</t>
  </si>
  <si>
    <t>d_323</t>
  </si>
  <si>
    <t>d_324</t>
  </si>
  <si>
    <t>d_325</t>
  </si>
  <si>
    <t>d_326</t>
  </si>
  <si>
    <t>d_327</t>
  </si>
  <si>
    <t>d_328</t>
  </si>
  <si>
    <t>d_329</t>
  </si>
  <si>
    <t>d_330</t>
  </si>
  <si>
    <t>d_331</t>
  </si>
  <si>
    <t>d_332</t>
  </si>
  <si>
    <t>d_333</t>
  </si>
  <si>
    <t>d_334</t>
  </si>
  <si>
    <t>d_335</t>
  </si>
  <si>
    <t>d_336</t>
  </si>
  <si>
    <t>d_337</t>
  </si>
  <si>
    <t>d_338</t>
  </si>
  <si>
    <t>d_339</t>
  </si>
  <si>
    <t>d_340</t>
  </si>
  <si>
    <t>d_341</t>
  </si>
  <si>
    <t>d_342</t>
  </si>
  <si>
    <t>d_343</t>
  </si>
  <si>
    <t>d_344</t>
  </si>
  <si>
    <t>d_345</t>
  </si>
  <si>
    <t>d_346</t>
  </si>
  <si>
    <t>d_347</t>
  </si>
  <si>
    <t>d_348</t>
  </si>
  <si>
    <t>d_349</t>
  </si>
  <si>
    <t>d_350</t>
  </si>
  <si>
    <t>d_351</t>
  </si>
  <si>
    <t>d_352</t>
  </si>
  <si>
    <t>d_353</t>
  </si>
  <si>
    <t>d_354</t>
  </si>
  <si>
    <t>d_355</t>
  </si>
  <si>
    <t>d_356</t>
  </si>
  <si>
    <t>d_357</t>
  </si>
  <si>
    <t>d_358</t>
  </si>
  <si>
    <t>d_359</t>
  </si>
  <si>
    <t>d_360</t>
  </si>
  <si>
    <t>d_361</t>
  </si>
  <si>
    <t>d_362</t>
  </si>
  <si>
    <t>d_363</t>
  </si>
  <si>
    <t>d_364</t>
  </si>
  <si>
    <t>d_365</t>
  </si>
  <si>
    <t>Train_Val_Flag</t>
  </si>
  <si>
    <t>SKU1_Actual</t>
  </si>
  <si>
    <t>SKU2_Actual</t>
  </si>
  <si>
    <t>SKU3_Actual</t>
  </si>
  <si>
    <t>SKU1_7MA</t>
  </si>
  <si>
    <t>SKU2_7MA</t>
  </si>
  <si>
    <t>SKU3_7MA</t>
  </si>
  <si>
    <t>SKU1_14MA</t>
  </si>
  <si>
    <t>SKU2_14MA</t>
  </si>
  <si>
    <t>SKU3_14MA</t>
  </si>
  <si>
    <t>SKU1_28MA</t>
  </si>
  <si>
    <t>SKU2_28MA</t>
  </si>
  <si>
    <t>SKU3_28MA</t>
  </si>
  <si>
    <t>Metric</t>
  </si>
  <si>
    <t>7MA_SKU1</t>
  </si>
  <si>
    <t>14MA_SKU2</t>
  </si>
  <si>
    <t>28MA_SKU1</t>
  </si>
  <si>
    <t>14MA_SKU1</t>
  </si>
  <si>
    <t>MAE</t>
  </si>
  <si>
    <t>RMSE</t>
  </si>
  <si>
    <t>MAPE</t>
  </si>
  <si>
    <t>BIAS</t>
  </si>
  <si>
    <t>7MA_SKU2</t>
  </si>
  <si>
    <t>28MA_SKU2</t>
  </si>
  <si>
    <t>7MA_SKU3</t>
  </si>
  <si>
    <t>14MA_SKU3</t>
  </si>
  <si>
    <t>28MA_SKU3</t>
  </si>
  <si>
    <t>SKU1_Fcst</t>
  </si>
  <si>
    <t>SKU1_Error</t>
  </si>
  <si>
    <t>SKU1_AbsErr</t>
  </si>
  <si>
    <t>Alpha_SKU1</t>
  </si>
  <si>
    <t>Alpha_SKU2</t>
  </si>
  <si>
    <t>Alpha_SKU3</t>
  </si>
  <si>
    <t>demand_size_z</t>
  </si>
  <si>
    <t>interval_P</t>
  </si>
  <si>
    <t>forecast_z</t>
  </si>
  <si>
    <t>forecast_p</t>
  </si>
  <si>
    <t>croston_forecast</t>
  </si>
  <si>
    <t>alpha_croston</t>
  </si>
  <si>
    <t>error</t>
  </si>
  <si>
    <t>absError</t>
  </si>
  <si>
    <t>SBA_Adjustment</t>
  </si>
  <si>
    <t>Weekday</t>
  </si>
  <si>
    <t>SKU1_AvgSales</t>
  </si>
  <si>
    <t>SKU1_Index</t>
  </si>
  <si>
    <t>SKU2_Index</t>
  </si>
  <si>
    <t>SKU3_Index</t>
  </si>
  <si>
    <t>Overall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</si>
</sst>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30" formatCode="@"/>
    </dxf>
    <dxf>
      <numFmt numFmtId="19" formatCode="yyyy/mm/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</a:t>
            </a:r>
            <a:r>
              <a:rPr lang="en-US" baseline="0"/>
              <a:t> Vs Forecasted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'Croston &amp; SBA Method'!$C$1</c:f>
              <c:strCache>
                <c:ptCount val="1"/>
                <c:pt idx="0">
                  <c:v>SKU1_Actual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'Croston &amp; SBA Method'!$C$2:$C$366</c:f>
              <c:numCache>
                <c:formatCode>0</c:formatCode>
                <c:ptCount val="36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1</c:v>
                </c:pt>
                <c:pt idx="14">
                  <c:v>3</c:v>
                </c:pt>
                <c:pt idx="15">
                  <c:v>0</c:v>
                </c:pt>
                <c:pt idx="16">
                  <c:v>2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4</c:v>
                </c:pt>
                <c:pt idx="28">
                  <c:v>2</c:v>
                </c:pt>
                <c:pt idx="29">
                  <c:v>2</c:v>
                </c:pt>
                <c:pt idx="30">
                  <c:v>0</c:v>
                </c:pt>
                <c:pt idx="31">
                  <c:v>2</c:v>
                </c:pt>
                <c:pt idx="32">
                  <c:v>1</c:v>
                </c:pt>
                <c:pt idx="33">
                  <c:v>7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0</c:v>
                </c:pt>
                <c:pt idx="38">
                  <c:v>1</c:v>
                </c:pt>
                <c:pt idx="39">
                  <c:v>2</c:v>
                </c:pt>
                <c:pt idx="40">
                  <c:v>3</c:v>
                </c:pt>
                <c:pt idx="41">
                  <c:v>0</c:v>
                </c:pt>
                <c:pt idx="42">
                  <c:v>1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0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2</c:v>
                </c:pt>
                <c:pt idx="72">
                  <c:v>2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2</c:v>
                </c:pt>
                <c:pt idx="77">
                  <c:v>1</c:v>
                </c:pt>
                <c:pt idx="78">
                  <c:v>2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3</c:v>
                </c:pt>
                <c:pt idx="92">
                  <c:v>2</c:v>
                </c:pt>
                <c:pt idx="93">
                  <c:v>7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0</c:v>
                </c:pt>
                <c:pt idx="104">
                  <c:v>1</c:v>
                </c:pt>
                <c:pt idx="105">
                  <c:v>3</c:v>
                </c:pt>
                <c:pt idx="106">
                  <c:v>1</c:v>
                </c:pt>
                <c:pt idx="107">
                  <c:v>3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3</c:v>
                </c:pt>
                <c:pt idx="114">
                  <c:v>0</c:v>
                </c:pt>
                <c:pt idx="115">
                  <c:v>1</c:v>
                </c:pt>
                <c:pt idx="116">
                  <c:v>2</c:v>
                </c:pt>
                <c:pt idx="117">
                  <c:v>0</c:v>
                </c:pt>
                <c:pt idx="118">
                  <c:v>6</c:v>
                </c:pt>
                <c:pt idx="119">
                  <c:v>3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2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4</c:v>
                </c:pt>
                <c:pt idx="132">
                  <c:v>0</c:v>
                </c:pt>
                <c:pt idx="133">
                  <c:v>0</c:v>
                </c:pt>
                <c:pt idx="134">
                  <c:v>3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0</c:v>
                </c:pt>
                <c:pt idx="139">
                  <c:v>2</c:v>
                </c:pt>
                <c:pt idx="140">
                  <c:v>3</c:v>
                </c:pt>
                <c:pt idx="141">
                  <c:v>2</c:v>
                </c:pt>
                <c:pt idx="142">
                  <c:v>3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2</c:v>
                </c:pt>
                <c:pt idx="147">
                  <c:v>1</c:v>
                </c:pt>
                <c:pt idx="148">
                  <c:v>0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1</c:v>
                </c:pt>
                <c:pt idx="161">
                  <c:v>2</c:v>
                </c:pt>
                <c:pt idx="162">
                  <c:v>0</c:v>
                </c:pt>
                <c:pt idx="163">
                  <c:v>0</c:v>
                </c:pt>
                <c:pt idx="164">
                  <c:v>4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2</c:v>
                </c:pt>
                <c:pt idx="174">
                  <c:v>0</c:v>
                </c:pt>
                <c:pt idx="175">
                  <c:v>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2</c:v>
                </c:pt>
                <c:pt idx="182">
                  <c:v>0</c:v>
                </c:pt>
                <c:pt idx="183">
                  <c:v>1</c:v>
                </c:pt>
                <c:pt idx="184">
                  <c:v>0</c:v>
                </c:pt>
                <c:pt idx="185">
                  <c:v>0</c:v>
                </c:pt>
                <c:pt idx="186">
                  <c:v>1</c:v>
                </c:pt>
                <c:pt idx="187">
                  <c:v>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3</c:v>
                </c:pt>
                <c:pt idx="278">
                  <c:v>1</c:v>
                </c:pt>
                <c:pt idx="279">
                  <c:v>4</c:v>
                </c:pt>
                <c:pt idx="280">
                  <c:v>2</c:v>
                </c:pt>
                <c:pt idx="281">
                  <c:v>1</c:v>
                </c:pt>
                <c:pt idx="282">
                  <c:v>0</c:v>
                </c:pt>
                <c:pt idx="283">
                  <c:v>2</c:v>
                </c:pt>
                <c:pt idx="284">
                  <c:v>1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6</c:v>
                </c:pt>
                <c:pt idx="289">
                  <c:v>1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1</c:v>
                </c:pt>
                <c:pt idx="294">
                  <c:v>3</c:v>
                </c:pt>
                <c:pt idx="295">
                  <c:v>4</c:v>
                </c:pt>
                <c:pt idx="296">
                  <c:v>0</c:v>
                </c:pt>
                <c:pt idx="297">
                  <c:v>0</c:v>
                </c:pt>
                <c:pt idx="298">
                  <c:v>1</c:v>
                </c:pt>
                <c:pt idx="299">
                  <c:v>0</c:v>
                </c:pt>
                <c:pt idx="300">
                  <c:v>2</c:v>
                </c:pt>
                <c:pt idx="301">
                  <c:v>0</c:v>
                </c:pt>
                <c:pt idx="302">
                  <c:v>0</c:v>
                </c:pt>
                <c:pt idx="303">
                  <c:v>1</c:v>
                </c:pt>
                <c:pt idx="304">
                  <c:v>0</c:v>
                </c:pt>
                <c:pt idx="305">
                  <c:v>8</c:v>
                </c:pt>
                <c:pt idx="306">
                  <c:v>3</c:v>
                </c:pt>
                <c:pt idx="307">
                  <c:v>1</c:v>
                </c:pt>
                <c:pt idx="308">
                  <c:v>1</c:v>
                </c:pt>
                <c:pt idx="309">
                  <c:v>5</c:v>
                </c:pt>
                <c:pt idx="310">
                  <c:v>3</c:v>
                </c:pt>
                <c:pt idx="311">
                  <c:v>2</c:v>
                </c:pt>
                <c:pt idx="312">
                  <c:v>0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2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1</c:v>
                </c:pt>
                <c:pt idx="321">
                  <c:v>2</c:v>
                </c:pt>
                <c:pt idx="322">
                  <c:v>2</c:v>
                </c:pt>
                <c:pt idx="323">
                  <c:v>6</c:v>
                </c:pt>
                <c:pt idx="324">
                  <c:v>2</c:v>
                </c:pt>
                <c:pt idx="325">
                  <c:v>3</c:v>
                </c:pt>
                <c:pt idx="326">
                  <c:v>5</c:v>
                </c:pt>
                <c:pt idx="327">
                  <c:v>3</c:v>
                </c:pt>
                <c:pt idx="328">
                  <c:v>5</c:v>
                </c:pt>
                <c:pt idx="329">
                  <c:v>1</c:v>
                </c:pt>
                <c:pt idx="330">
                  <c:v>0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0</c:v>
                </c:pt>
                <c:pt idx="335">
                  <c:v>0</c:v>
                </c:pt>
                <c:pt idx="336">
                  <c:v>2</c:v>
                </c:pt>
                <c:pt idx="337">
                  <c:v>2</c:v>
                </c:pt>
                <c:pt idx="338">
                  <c:v>0</c:v>
                </c:pt>
                <c:pt idx="339">
                  <c:v>0</c:v>
                </c:pt>
                <c:pt idx="340">
                  <c:v>1</c:v>
                </c:pt>
                <c:pt idx="341">
                  <c:v>1</c:v>
                </c:pt>
                <c:pt idx="342">
                  <c:v>0</c:v>
                </c:pt>
                <c:pt idx="343">
                  <c:v>1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2</c:v>
                </c:pt>
                <c:pt idx="348">
                  <c:v>0</c:v>
                </c:pt>
                <c:pt idx="349">
                  <c:v>1</c:v>
                </c:pt>
                <c:pt idx="350">
                  <c:v>0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0</c:v>
                </c:pt>
                <c:pt idx="355">
                  <c:v>0</c:v>
                </c:pt>
                <c:pt idx="356">
                  <c:v>4</c:v>
                </c:pt>
                <c:pt idx="357">
                  <c:v>1</c:v>
                </c:pt>
                <c:pt idx="358">
                  <c:v>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FE-4B43-8AD5-6EE318E5221D}"/>
            </c:ext>
          </c:extLst>
        </c:ser>
        <c:ser>
          <c:idx val="1"/>
          <c:order val="1"/>
          <c:tx>
            <c:strRef>
              <c:f>'Croston &amp; SBA Method'!$H$1</c:f>
              <c:strCache>
                <c:ptCount val="1"/>
                <c:pt idx="0">
                  <c:v>croston_forecast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'Croston &amp; SBA Method'!$H$2:$H$366</c:f>
              <c:numCache>
                <c:formatCode>General</c:formatCode>
                <c:ptCount val="36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2.6000000000000005</c:v>
                </c:pt>
                <c:pt idx="4">
                  <c:v>2.8800000000000008</c:v>
                </c:pt>
                <c:pt idx="5">
                  <c:v>2.7040000000000006</c:v>
                </c:pt>
                <c:pt idx="6">
                  <c:v>2.7040000000000006</c:v>
                </c:pt>
                <c:pt idx="7">
                  <c:v>2.5632000000000006</c:v>
                </c:pt>
                <c:pt idx="8">
                  <c:v>2.5632000000000006</c:v>
                </c:pt>
                <c:pt idx="9">
                  <c:v>2.5632000000000006</c:v>
                </c:pt>
                <c:pt idx="10">
                  <c:v>2.5632000000000006</c:v>
                </c:pt>
                <c:pt idx="11">
                  <c:v>2.5632000000000006</c:v>
                </c:pt>
                <c:pt idx="12">
                  <c:v>2.6505600000000005</c:v>
                </c:pt>
                <c:pt idx="13">
                  <c:v>2.3204480000000007</c:v>
                </c:pt>
                <c:pt idx="14">
                  <c:v>2.4563584000000009</c:v>
                </c:pt>
                <c:pt idx="15">
                  <c:v>2.4563584000000009</c:v>
                </c:pt>
                <c:pt idx="16">
                  <c:v>2.3650867200000008</c:v>
                </c:pt>
                <c:pt idx="17">
                  <c:v>2.0920693760000009</c:v>
                </c:pt>
                <c:pt idx="18">
                  <c:v>2.0736555008000006</c:v>
                </c:pt>
                <c:pt idx="19">
                  <c:v>2.0736555008000006</c:v>
                </c:pt>
                <c:pt idx="20">
                  <c:v>2.0589244006400005</c:v>
                </c:pt>
                <c:pt idx="21">
                  <c:v>1.8471395205120005</c:v>
                </c:pt>
                <c:pt idx="22">
                  <c:v>1.8777116164096004</c:v>
                </c:pt>
                <c:pt idx="23">
                  <c:v>1.8777116164096004</c:v>
                </c:pt>
                <c:pt idx="24">
                  <c:v>1.9021692931276806</c:v>
                </c:pt>
                <c:pt idx="25">
                  <c:v>1.9217354345021445</c:v>
                </c:pt>
                <c:pt idx="26">
                  <c:v>1.9373883476017157</c:v>
                </c:pt>
                <c:pt idx="27">
                  <c:v>2.3499106780813728</c:v>
                </c:pt>
                <c:pt idx="28">
                  <c:v>2.2799285424650981</c:v>
                </c:pt>
                <c:pt idx="29">
                  <c:v>2.2239428339720786</c:v>
                </c:pt>
                <c:pt idx="30">
                  <c:v>2.2239428339720786</c:v>
                </c:pt>
                <c:pt idx="31">
                  <c:v>2.1791542671776631</c:v>
                </c:pt>
                <c:pt idx="32">
                  <c:v>1.9433234137421305</c:v>
                </c:pt>
                <c:pt idx="33">
                  <c:v>2.9546587309937049</c:v>
                </c:pt>
                <c:pt idx="34">
                  <c:v>2.5637269847949642</c:v>
                </c:pt>
                <c:pt idx="35">
                  <c:v>2.4509815878359715</c:v>
                </c:pt>
                <c:pt idx="36">
                  <c:v>2.5607852702687772</c:v>
                </c:pt>
                <c:pt idx="37">
                  <c:v>2.5607852702687772</c:v>
                </c:pt>
                <c:pt idx="38">
                  <c:v>2.248628216215022</c:v>
                </c:pt>
                <c:pt idx="39">
                  <c:v>2.1989025729720177</c:v>
                </c:pt>
                <c:pt idx="40">
                  <c:v>2.3591220583776145</c:v>
                </c:pt>
                <c:pt idx="41">
                  <c:v>2.3591220583776145</c:v>
                </c:pt>
                <c:pt idx="42">
                  <c:v>2.0872976467020918</c:v>
                </c:pt>
                <c:pt idx="43">
                  <c:v>2.6698381173616736</c:v>
                </c:pt>
                <c:pt idx="44">
                  <c:v>2.6698381173616736</c:v>
                </c:pt>
                <c:pt idx="45">
                  <c:v>2.6698381173616736</c:v>
                </c:pt>
                <c:pt idx="46">
                  <c:v>2.3358704938893391</c:v>
                </c:pt>
                <c:pt idx="47">
                  <c:v>2.3358704938893391</c:v>
                </c:pt>
                <c:pt idx="48">
                  <c:v>2.3358704938893391</c:v>
                </c:pt>
                <c:pt idx="49">
                  <c:v>2.0686963951114716</c:v>
                </c:pt>
                <c:pt idx="50">
                  <c:v>1.8549571160891773</c:v>
                </c:pt>
                <c:pt idx="51">
                  <c:v>1.683965692871342</c:v>
                </c:pt>
                <c:pt idx="52">
                  <c:v>1.5471725542970736</c:v>
                </c:pt>
                <c:pt idx="53">
                  <c:v>1.437738043437659</c:v>
                </c:pt>
                <c:pt idx="54">
                  <c:v>1.437738043437659</c:v>
                </c:pt>
                <c:pt idx="55">
                  <c:v>1.3501904347501272</c:v>
                </c:pt>
                <c:pt idx="56">
                  <c:v>1.480152347800102</c:v>
                </c:pt>
                <c:pt idx="57">
                  <c:v>1.5841218782400817</c:v>
                </c:pt>
                <c:pt idx="58">
                  <c:v>1.5841218782400817</c:v>
                </c:pt>
                <c:pt idx="59">
                  <c:v>1.4672975025920654</c:v>
                </c:pt>
                <c:pt idx="60">
                  <c:v>1.4672975025920654</c:v>
                </c:pt>
                <c:pt idx="61">
                  <c:v>1.4672975025920654</c:v>
                </c:pt>
                <c:pt idx="62">
                  <c:v>1.4672975025920654</c:v>
                </c:pt>
                <c:pt idx="63">
                  <c:v>1.4672975025920654</c:v>
                </c:pt>
                <c:pt idx="64">
                  <c:v>1.4672975025920654</c:v>
                </c:pt>
                <c:pt idx="65">
                  <c:v>1.9738380020736523</c:v>
                </c:pt>
                <c:pt idx="66">
                  <c:v>1.9738380020736523</c:v>
                </c:pt>
                <c:pt idx="67">
                  <c:v>1.7790704016589218</c:v>
                </c:pt>
                <c:pt idx="68">
                  <c:v>1.7790704016589218</c:v>
                </c:pt>
                <c:pt idx="69">
                  <c:v>1.6232563213271376</c:v>
                </c:pt>
                <c:pt idx="70">
                  <c:v>1.6232563213271376</c:v>
                </c:pt>
                <c:pt idx="71">
                  <c:v>1.6986050570617102</c:v>
                </c:pt>
                <c:pt idx="72">
                  <c:v>1.7588840456493684</c:v>
                </c:pt>
                <c:pt idx="73">
                  <c:v>1.6071072365194947</c:v>
                </c:pt>
                <c:pt idx="74">
                  <c:v>1.4856857892155959</c:v>
                </c:pt>
                <c:pt idx="75">
                  <c:v>1.4856857892155959</c:v>
                </c:pt>
                <c:pt idx="76">
                  <c:v>1.5885486313724768</c:v>
                </c:pt>
                <c:pt idx="77">
                  <c:v>1.4708389050979815</c:v>
                </c:pt>
                <c:pt idx="78">
                  <c:v>1.5766711240783855</c:v>
                </c:pt>
                <c:pt idx="79">
                  <c:v>1.5766711240783855</c:v>
                </c:pt>
                <c:pt idx="80">
                  <c:v>1.6613368992627087</c:v>
                </c:pt>
                <c:pt idx="81">
                  <c:v>1.6613368992627087</c:v>
                </c:pt>
                <c:pt idx="82">
                  <c:v>1.6613368992627087</c:v>
                </c:pt>
                <c:pt idx="83">
                  <c:v>1.6613368992627087</c:v>
                </c:pt>
                <c:pt idx="84">
                  <c:v>1.5290695194101669</c:v>
                </c:pt>
                <c:pt idx="85">
                  <c:v>1.5290695194101669</c:v>
                </c:pt>
                <c:pt idx="86">
                  <c:v>1.5290695194101669</c:v>
                </c:pt>
                <c:pt idx="87">
                  <c:v>1.5290695194101669</c:v>
                </c:pt>
                <c:pt idx="88">
                  <c:v>1.5290695194101669</c:v>
                </c:pt>
                <c:pt idx="89">
                  <c:v>1.5290695194101669</c:v>
                </c:pt>
                <c:pt idx="90">
                  <c:v>1.5290695194101669</c:v>
                </c:pt>
                <c:pt idx="91">
                  <c:v>1.8232556155281336</c:v>
                </c:pt>
                <c:pt idx="92">
                  <c:v>1.8586044924225069</c:v>
                </c:pt>
                <c:pt idx="93">
                  <c:v>2.8868835939380055</c:v>
                </c:pt>
                <c:pt idx="94">
                  <c:v>2.5095068751504046</c:v>
                </c:pt>
                <c:pt idx="95">
                  <c:v>2.5095068751504046</c:v>
                </c:pt>
                <c:pt idx="96">
                  <c:v>2.5095068751504046</c:v>
                </c:pt>
                <c:pt idx="97">
                  <c:v>3.8076055001203235</c:v>
                </c:pt>
                <c:pt idx="98">
                  <c:v>3.8076055001203235</c:v>
                </c:pt>
                <c:pt idx="99">
                  <c:v>3.8076055001203235</c:v>
                </c:pt>
                <c:pt idx="100">
                  <c:v>3.8076055001203235</c:v>
                </c:pt>
                <c:pt idx="101">
                  <c:v>3.246084400096259</c:v>
                </c:pt>
                <c:pt idx="102">
                  <c:v>2.9968675200770072</c:v>
                </c:pt>
                <c:pt idx="103">
                  <c:v>2.9968675200770072</c:v>
                </c:pt>
                <c:pt idx="104">
                  <c:v>2.597494016061606</c:v>
                </c:pt>
                <c:pt idx="105">
                  <c:v>2.677995212849285</c:v>
                </c:pt>
                <c:pt idx="106">
                  <c:v>2.3423961702794283</c:v>
                </c:pt>
                <c:pt idx="107">
                  <c:v>2.4739169362235427</c:v>
                </c:pt>
                <c:pt idx="108">
                  <c:v>2.4739169362235427</c:v>
                </c:pt>
                <c:pt idx="109">
                  <c:v>2.4739169362235427</c:v>
                </c:pt>
                <c:pt idx="110">
                  <c:v>2.1791335489788342</c:v>
                </c:pt>
                <c:pt idx="111">
                  <c:v>1.9433068391830675</c:v>
                </c:pt>
                <c:pt idx="112">
                  <c:v>1.7546454713464541</c:v>
                </c:pt>
                <c:pt idx="113">
                  <c:v>2.0037163770771635</c:v>
                </c:pt>
                <c:pt idx="114">
                  <c:v>2.0037163770771635</c:v>
                </c:pt>
                <c:pt idx="115">
                  <c:v>1.802973101661731</c:v>
                </c:pt>
                <c:pt idx="116">
                  <c:v>1.8423784813293849</c:v>
                </c:pt>
                <c:pt idx="117">
                  <c:v>1.8423784813293849</c:v>
                </c:pt>
                <c:pt idx="118">
                  <c:v>2.6739027850635084</c:v>
                </c:pt>
                <c:pt idx="119">
                  <c:v>2.7391222280508067</c:v>
                </c:pt>
                <c:pt idx="120">
                  <c:v>2.3912977824406458</c:v>
                </c:pt>
                <c:pt idx="121">
                  <c:v>2.3912977824406458</c:v>
                </c:pt>
                <c:pt idx="122">
                  <c:v>2.1130382259525167</c:v>
                </c:pt>
                <c:pt idx="123">
                  <c:v>2.1130382259525167</c:v>
                </c:pt>
                <c:pt idx="124">
                  <c:v>2.0904305807620136</c:v>
                </c:pt>
                <c:pt idx="125">
                  <c:v>2.0904305807620136</c:v>
                </c:pt>
                <c:pt idx="126">
                  <c:v>2.0904305807620136</c:v>
                </c:pt>
                <c:pt idx="127">
                  <c:v>2.0904305807620136</c:v>
                </c:pt>
                <c:pt idx="128">
                  <c:v>2.0904305807620136</c:v>
                </c:pt>
                <c:pt idx="129">
                  <c:v>2.0904305807620136</c:v>
                </c:pt>
                <c:pt idx="130">
                  <c:v>1.872344464609611</c:v>
                </c:pt>
                <c:pt idx="131">
                  <c:v>2.2978755716876886</c:v>
                </c:pt>
                <c:pt idx="132">
                  <c:v>2.2978755716876886</c:v>
                </c:pt>
                <c:pt idx="133">
                  <c:v>2.2978755716876886</c:v>
                </c:pt>
                <c:pt idx="134">
                  <c:v>2.438300457350151</c:v>
                </c:pt>
                <c:pt idx="135">
                  <c:v>2.438300457350151</c:v>
                </c:pt>
                <c:pt idx="136">
                  <c:v>2.150640365880121</c:v>
                </c:pt>
                <c:pt idx="137">
                  <c:v>1.9205122927040967</c:v>
                </c:pt>
                <c:pt idx="138">
                  <c:v>1.9205122927040967</c:v>
                </c:pt>
                <c:pt idx="139">
                  <c:v>1.9364098341632774</c:v>
                </c:pt>
                <c:pt idx="140">
                  <c:v>2.149127867330622</c:v>
                </c:pt>
                <c:pt idx="141">
                  <c:v>2.1193022938644979</c:v>
                </c:pt>
                <c:pt idx="142">
                  <c:v>2.2954418350915984</c:v>
                </c:pt>
                <c:pt idx="143">
                  <c:v>2.0363534680732789</c:v>
                </c:pt>
                <c:pt idx="144">
                  <c:v>1.8290827744586231</c:v>
                </c:pt>
                <c:pt idx="145">
                  <c:v>1.8290827744586231</c:v>
                </c:pt>
                <c:pt idx="146">
                  <c:v>1.8632662195668988</c:v>
                </c:pt>
                <c:pt idx="147">
                  <c:v>1.6906129756535191</c:v>
                </c:pt>
                <c:pt idx="148">
                  <c:v>1.6906129756535191</c:v>
                </c:pt>
                <c:pt idx="149">
                  <c:v>1.5524903805228154</c:v>
                </c:pt>
                <c:pt idx="150">
                  <c:v>1.5524903805228154</c:v>
                </c:pt>
                <c:pt idx="151">
                  <c:v>1.5524903805228154</c:v>
                </c:pt>
                <c:pt idx="152">
                  <c:v>1.5524903805228154</c:v>
                </c:pt>
                <c:pt idx="153">
                  <c:v>1.5524903805228154</c:v>
                </c:pt>
                <c:pt idx="154">
                  <c:v>1.8419923044182525</c:v>
                </c:pt>
                <c:pt idx="155">
                  <c:v>1.8419923044182525</c:v>
                </c:pt>
                <c:pt idx="156">
                  <c:v>1.6735938435346021</c:v>
                </c:pt>
                <c:pt idx="157">
                  <c:v>1.6735938435346021</c:v>
                </c:pt>
                <c:pt idx="158">
                  <c:v>1.5388750748276816</c:v>
                </c:pt>
                <c:pt idx="159">
                  <c:v>1.5388750748276816</c:v>
                </c:pt>
                <c:pt idx="160">
                  <c:v>1.4311000598621453</c:v>
                </c:pt>
                <c:pt idx="161">
                  <c:v>1.5448800478897162</c:v>
                </c:pt>
                <c:pt idx="162">
                  <c:v>1.5448800478897162</c:v>
                </c:pt>
                <c:pt idx="163">
                  <c:v>1.5448800478897162</c:v>
                </c:pt>
                <c:pt idx="164">
                  <c:v>2.0359040383117728</c:v>
                </c:pt>
                <c:pt idx="165">
                  <c:v>2.0359040383117728</c:v>
                </c:pt>
                <c:pt idx="166">
                  <c:v>1.8287232306494183</c:v>
                </c:pt>
                <c:pt idx="167">
                  <c:v>1.6629785845195346</c:v>
                </c:pt>
                <c:pt idx="168">
                  <c:v>1.5303828676156277</c:v>
                </c:pt>
                <c:pt idx="169">
                  <c:v>1.4243062940925022</c:v>
                </c:pt>
                <c:pt idx="170">
                  <c:v>1.3394450352740017</c:v>
                </c:pt>
                <c:pt idx="171">
                  <c:v>1.2715560282192013</c:v>
                </c:pt>
                <c:pt idx="172">
                  <c:v>1.2172448225753612</c:v>
                </c:pt>
                <c:pt idx="173">
                  <c:v>1.3737958580602889</c:v>
                </c:pt>
                <c:pt idx="174">
                  <c:v>1.3737958580602889</c:v>
                </c:pt>
                <c:pt idx="175">
                  <c:v>1.4990366864482314</c:v>
                </c:pt>
                <c:pt idx="176">
                  <c:v>1.4990366864482314</c:v>
                </c:pt>
                <c:pt idx="177">
                  <c:v>1.4990366864482314</c:v>
                </c:pt>
                <c:pt idx="178">
                  <c:v>1.4990366864482314</c:v>
                </c:pt>
                <c:pt idx="179">
                  <c:v>1.3992293491585852</c:v>
                </c:pt>
                <c:pt idx="180">
                  <c:v>1.3992293491585852</c:v>
                </c:pt>
                <c:pt idx="181">
                  <c:v>1.5193834793268683</c:v>
                </c:pt>
                <c:pt idx="182">
                  <c:v>1.5193834793268683</c:v>
                </c:pt>
                <c:pt idx="183">
                  <c:v>1.4155067834614947</c:v>
                </c:pt>
                <c:pt idx="184">
                  <c:v>1.4155067834614947</c:v>
                </c:pt>
                <c:pt idx="185">
                  <c:v>1.4155067834614947</c:v>
                </c:pt>
                <c:pt idx="186">
                  <c:v>1.3324054267691958</c:v>
                </c:pt>
                <c:pt idx="187">
                  <c:v>1.2659243414153567</c:v>
                </c:pt>
                <c:pt idx="188">
                  <c:v>1.2659243414153567</c:v>
                </c:pt>
                <c:pt idx="189">
                  <c:v>1.2659243414153567</c:v>
                </c:pt>
                <c:pt idx="190">
                  <c:v>1.2659243414153567</c:v>
                </c:pt>
                <c:pt idx="191">
                  <c:v>1.2659243414153567</c:v>
                </c:pt>
                <c:pt idx="192">
                  <c:v>1.2659243414153567</c:v>
                </c:pt>
                <c:pt idx="193">
                  <c:v>1.2659243414153567</c:v>
                </c:pt>
                <c:pt idx="194">
                  <c:v>1.2659243414153567</c:v>
                </c:pt>
                <c:pt idx="195">
                  <c:v>1.2659243414153567</c:v>
                </c:pt>
                <c:pt idx="196">
                  <c:v>1.2659243414153567</c:v>
                </c:pt>
                <c:pt idx="197">
                  <c:v>1.2659243414153567</c:v>
                </c:pt>
                <c:pt idx="198">
                  <c:v>1.2659243414153567</c:v>
                </c:pt>
                <c:pt idx="199">
                  <c:v>1.2659243414153567</c:v>
                </c:pt>
                <c:pt idx="200">
                  <c:v>1.2659243414153567</c:v>
                </c:pt>
                <c:pt idx="201">
                  <c:v>1.2659243414153567</c:v>
                </c:pt>
                <c:pt idx="202">
                  <c:v>1.2659243414153567</c:v>
                </c:pt>
                <c:pt idx="203">
                  <c:v>1.2659243414153567</c:v>
                </c:pt>
                <c:pt idx="204">
                  <c:v>1.2659243414153567</c:v>
                </c:pt>
                <c:pt idx="205">
                  <c:v>1.2659243414153567</c:v>
                </c:pt>
                <c:pt idx="206">
                  <c:v>1.2659243414153567</c:v>
                </c:pt>
                <c:pt idx="207">
                  <c:v>1.2659243414153567</c:v>
                </c:pt>
                <c:pt idx="208">
                  <c:v>1.2659243414153567</c:v>
                </c:pt>
                <c:pt idx="209">
                  <c:v>1.2659243414153567</c:v>
                </c:pt>
                <c:pt idx="210">
                  <c:v>1.2659243414153567</c:v>
                </c:pt>
                <c:pt idx="211">
                  <c:v>1.2659243414153567</c:v>
                </c:pt>
                <c:pt idx="212">
                  <c:v>1.2659243414153567</c:v>
                </c:pt>
                <c:pt idx="213">
                  <c:v>1.2659243414153567</c:v>
                </c:pt>
                <c:pt idx="214">
                  <c:v>1.2659243414153567</c:v>
                </c:pt>
                <c:pt idx="215">
                  <c:v>1.2659243414153567</c:v>
                </c:pt>
                <c:pt idx="216">
                  <c:v>1.2659243414153567</c:v>
                </c:pt>
                <c:pt idx="217">
                  <c:v>1.2659243414153567</c:v>
                </c:pt>
                <c:pt idx="218">
                  <c:v>1.2659243414153567</c:v>
                </c:pt>
                <c:pt idx="219">
                  <c:v>1.2659243414153567</c:v>
                </c:pt>
                <c:pt idx="220">
                  <c:v>1.2659243414153567</c:v>
                </c:pt>
                <c:pt idx="221">
                  <c:v>1.2659243414153567</c:v>
                </c:pt>
                <c:pt idx="222">
                  <c:v>1.2659243414153567</c:v>
                </c:pt>
                <c:pt idx="223">
                  <c:v>1.2659243414153567</c:v>
                </c:pt>
                <c:pt idx="224">
                  <c:v>1.2659243414153567</c:v>
                </c:pt>
                <c:pt idx="225">
                  <c:v>1.2659243414153567</c:v>
                </c:pt>
                <c:pt idx="226">
                  <c:v>1.2659243414153567</c:v>
                </c:pt>
                <c:pt idx="227">
                  <c:v>1.2659243414153567</c:v>
                </c:pt>
                <c:pt idx="228">
                  <c:v>1.2659243414153567</c:v>
                </c:pt>
                <c:pt idx="229">
                  <c:v>1.2659243414153567</c:v>
                </c:pt>
                <c:pt idx="230">
                  <c:v>1.2659243414153567</c:v>
                </c:pt>
                <c:pt idx="231">
                  <c:v>1.2659243414153567</c:v>
                </c:pt>
                <c:pt idx="232">
                  <c:v>1.2659243414153567</c:v>
                </c:pt>
                <c:pt idx="233">
                  <c:v>1.2659243414153567</c:v>
                </c:pt>
                <c:pt idx="234">
                  <c:v>1.2659243414153567</c:v>
                </c:pt>
                <c:pt idx="235">
                  <c:v>1.2659243414153567</c:v>
                </c:pt>
                <c:pt idx="236">
                  <c:v>1.2659243414153567</c:v>
                </c:pt>
                <c:pt idx="237">
                  <c:v>1.2659243414153567</c:v>
                </c:pt>
                <c:pt idx="238">
                  <c:v>1.2659243414153567</c:v>
                </c:pt>
                <c:pt idx="239">
                  <c:v>1.2659243414153567</c:v>
                </c:pt>
                <c:pt idx="240">
                  <c:v>1.2659243414153567</c:v>
                </c:pt>
                <c:pt idx="241">
                  <c:v>1.2659243414153567</c:v>
                </c:pt>
                <c:pt idx="242">
                  <c:v>1.2659243414153567</c:v>
                </c:pt>
                <c:pt idx="243">
                  <c:v>1.2659243414153567</c:v>
                </c:pt>
                <c:pt idx="244">
                  <c:v>1.2659243414153567</c:v>
                </c:pt>
                <c:pt idx="245">
                  <c:v>1.2659243414153567</c:v>
                </c:pt>
                <c:pt idx="246">
                  <c:v>1.2659243414153567</c:v>
                </c:pt>
                <c:pt idx="247">
                  <c:v>1.2659243414153567</c:v>
                </c:pt>
                <c:pt idx="248">
                  <c:v>1.2659243414153567</c:v>
                </c:pt>
                <c:pt idx="249">
                  <c:v>1.2659243414153567</c:v>
                </c:pt>
                <c:pt idx="250">
                  <c:v>1.2659243414153567</c:v>
                </c:pt>
                <c:pt idx="251">
                  <c:v>1.2659243414153567</c:v>
                </c:pt>
                <c:pt idx="252">
                  <c:v>1.2659243414153567</c:v>
                </c:pt>
                <c:pt idx="253">
                  <c:v>1.2659243414153567</c:v>
                </c:pt>
                <c:pt idx="254">
                  <c:v>1.2659243414153567</c:v>
                </c:pt>
                <c:pt idx="255">
                  <c:v>1.2659243414153567</c:v>
                </c:pt>
                <c:pt idx="256">
                  <c:v>1.2659243414153567</c:v>
                </c:pt>
                <c:pt idx="257">
                  <c:v>1.2659243414153567</c:v>
                </c:pt>
                <c:pt idx="258">
                  <c:v>1.2659243414153567</c:v>
                </c:pt>
                <c:pt idx="259">
                  <c:v>1.2659243414153567</c:v>
                </c:pt>
                <c:pt idx="260">
                  <c:v>1.2659243414153567</c:v>
                </c:pt>
                <c:pt idx="261">
                  <c:v>1.2659243414153567</c:v>
                </c:pt>
                <c:pt idx="262">
                  <c:v>1.2659243414153567</c:v>
                </c:pt>
                <c:pt idx="263">
                  <c:v>1.2659243414153567</c:v>
                </c:pt>
                <c:pt idx="264">
                  <c:v>1.2659243414153567</c:v>
                </c:pt>
                <c:pt idx="265">
                  <c:v>1.2659243414153567</c:v>
                </c:pt>
                <c:pt idx="266">
                  <c:v>1.2659243414153567</c:v>
                </c:pt>
                <c:pt idx="267">
                  <c:v>1.2659243414153567</c:v>
                </c:pt>
                <c:pt idx="268">
                  <c:v>1.2659243414153567</c:v>
                </c:pt>
                <c:pt idx="269">
                  <c:v>1.2659243414153567</c:v>
                </c:pt>
                <c:pt idx="270">
                  <c:v>1.2659243414153567</c:v>
                </c:pt>
                <c:pt idx="271">
                  <c:v>1.2659243414153567</c:v>
                </c:pt>
                <c:pt idx="272">
                  <c:v>1.2659243414153567</c:v>
                </c:pt>
                <c:pt idx="273">
                  <c:v>1.2659243414153567</c:v>
                </c:pt>
                <c:pt idx="274">
                  <c:v>1.2659243414153567</c:v>
                </c:pt>
                <c:pt idx="275">
                  <c:v>1.2659243414153567</c:v>
                </c:pt>
                <c:pt idx="276">
                  <c:v>1.2659243414153567</c:v>
                </c:pt>
                <c:pt idx="277">
                  <c:v>1.6127394731322855</c:v>
                </c:pt>
                <c:pt idx="278">
                  <c:v>1.4901915785058284</c:v>
                </c:pt>
                <c:pt idx="279">
                  <c:v>1.9921532628046628</c:v>
                </c:pt>
                <c:pt idx="280">
                  <c:v>1.9937226102437302</c:v>
                </c:pt>
                <c:pt idx="281">
                  <c:v>1.7949780881949842</c:v>
                </c:pt>
                <c:pt idx="282">
                  <c:v>1.7949780881949842</c:v>
                </c:pt>
                <c:pt idx="283">
                  <c:v>1.8359824705559875</c:v>
                </c:pt>
                <c:pt idx="284">
                  <c:v>1.6687859764447901</c:v>
                </c:pt>
                <c:pt idx="285">
                  <c:v>1.6687859764447901</c:v>
                </c:pt>
                <c:pt idx="286">
                  <c:v>1.5350287811558321</c:v>
                </c:pt>
                <c:pt idx="287">
                  <c:v>1.5350287811558321</c:v>
                </c:pt>
                <c:pt idx="288">
                  <c:v>2.4280230249246659</c:v>
                </c:pt>
                <c:pt idx="289">
                  <c:v>2.1424184199397329</c:v>
                </c:pt>
                <c:pt idx="290">
                  <c:v>2.1424184199397329</c:v>
                </c:pt>
                <c:pt idx="291">
                  <c:v>2.1424184199397329</c:v>
                </c:pt>
                <c:pt idx="292">
                  <c:v>2.1424184199397329</c:v>
                </c:pt>
                <c:pt idx="293">
                  <c:v>1.9139347359517864</c:v>
                </c:pt>
                <c:pt idx="294">
                  <c:v>2.1311477887614294</c:v>
                </c:pt>
                <c:pt idx="295">
                  <c:v>2.5049182310091433</c:v>
                </c:pt>
                <c:pt idx="296">
                  <c:v>2.5049182310091433</c:v>
                </c:pt>
                <c:pt idx="297">
                  <c:v>2.5049182310091433</c:v>
                </c:pt>
                <c:pt idx="298">
                  <c:v>2.2039345848073149</c:v>
                </c:pt>
                <c:pt idx="299">
                  <c:v>2.2039345848073149</c:v>
                </c:pt>
                <c:pt idx="300">
                  <c:v>2.1631476678458519</c:v>
                </c:pt>
                <c:pt idx="301">
                  <c:v>2.1631476678458519</c:v>
                </c:pt>
                <c:pt idx="302">
                  <c:v>2.1631476678458519</c:v>
                </c:pt>
                <c:pt idx="303">
                  <c:v>1.9305181342766815</c:v>
                </c:pt>
                <c:pt idx="304">
                  <c:v>1.9305181342766815</c:v>
                </c:pt>
                <c:pt idx="305">
                  <c:v>3.1444145074213452</c:v>
                </c:pt>
                <c:pt idx="306">
                  <c:v>3.1155316059370763</c:v>
                </c:pt>
                <c:pt idx="307">
                  <c:v>2.6924252847496613</c:v>
                </c:pt>
                <c:pt idx="308">
                  <c:v>2.3539402277997294</c:v>
                </c:pt>
                <c:pt idx="309">
                  <c:v>2.8831521822397836</c:v>
                </c:pt>
                <c:pt idx="310">
                  <c:v>2.9065217457918271</c:v>
                </c:pt>
                <c:pt idx="311">
                  <c:v>2.7252173966334619</c:v>
                </c:pt>
                <c:pt idx="312">
                  <c:v>2.7252173966334619</c:v>
                </c:pt>
                <c:pt idx="313">
                  <c:v>2.3801739173067697</c:v>
                </c:pt>
                <c:pt idx="314">
                  <c:v>2.3801739173067697</c:v>
                </c:pt>
                <c:pt idx="315">
                  <c:v>2.3801739173067697</c:v>
                </c:pt>
                <c:pt idx="316">
                  <c:v>2.3041391338454158</c:v>
                </c:pt>
                <c:pt idx="317">
                  <c:v>2.3041391338454158</c:v>
                </c:pt>
                <c:pt idx="318">
                  <c:v>2.0433113070763329</c:v>
                </c:pt>
                <c:pt idx="319">
                  <c:v>2.0433113070763329</c:v>
                </c:pt>
                <c:pt idx="320">
                  <c:v>1.8346490456610665</c:v>
                </c:pt>
                <c:pt idx="321">
                  <c:v>1.8677192365288531</c:v>
                </c:pt>
                <c:pt idx="322">
                  <c:v>1.8941753892230824</c:v>
                </c:pt>
                <c:pt idx="323">
                  <c:v>2.7153403113784664</c:v>
                </c:pt>
                <c:pt idx="324">
                  <c:v>2.572272249102773</c:v>
                </c:pt>
                <c:pt idx="325">
                  <c:v>2.6578177992822187</c:v>
                </c:pt>
                <c:pt idx="326">
                  <c:v>3.1262542394257751</c:v>
                </c:pt>
                <c:pt idx="327">
                  <c:v>3.1010033915406203</c:v>
                </c:pt>
                <c:pt idx="328">
                  <c:v>3.4808027132324963</c:v>
                </c:pt>
                <c:pt idx="329">
                  <c:v>2.9846421705859973</c:v>
                </c:pt>
                <c:pt idx="330">
                  <c:v>2.9846421705859973</c:v>
                </c:pt>
                <c:pt idx="331">
                  <c:v>2.5877137364687983</c:v>
                </c:pt>
                <c:pt idx="332">
                  <c:v>2.270170989175039</c:v>
                </c:pt>
                <c:pt idx="333">
                  <c:v>2.0161367913400312</c:v>
                </c:pt>
                <c:pt idx="334">
                  <c:v>2.0161367913400312</c:v>
                </c:pt>
                <c:pt idx="335">
                  <c:v>2.0161367913400312</c:v>
                </c:pt>
                <c:pt idx="336">
                  <c:v>2.012909433072025</c:v>
                </c:pt>
                <c:pt idx="337">
                  <c:v>2.0103275464576202</c:v>
                </c:pt>
                <c:pt idx="338">
                  <c:v>2.0103275464576202</c:v>
                </c:pt>
                <c:pt idx="339">
                  <c:v>2.0103275464576202</c:v>
                </c:pt>
                <c:pt idx="340">
                  <c:v>1.8082620371660962</c:v>
                </c:pt>
                <c:pt idx="341">
                  <c:v>1.6466096297328769</c:v>
                </c:pt>
                <c:pt idx="342">
                  <c:v>1.6466096297328769</c:v>
                </c:pt>
                <c:pt idx="343">
                  <c:v>1.5172877037863015</c:v>
                </c:pt>
                <c:pt idx="344">
                  <c:v>1.5172877037863015</c:v>
                </c:pt>
                <c:pt idx="345">
                  <c:v>1.5172877037863015</c:v>
                </c:pt>
                <c:pt idx="346">
                  <c:v>1.5172877037863015</c:v>
                </c:pt>
                <c:pt idx="347">
                  <c:v>1.6138301630290415</c:v>
                </c:pt>
                <c:pt idx="348">
                  <c:v>1.6138301630290415</c:v>
                </c:pt>
                <c:pt idx="349">
                  <c:v>1.4910641304232333</c:v>
                </c:pt>
                <c:pt idx="350">
                  <c:v>1.4910641304232333</c:v>
                </c:pt>
                <c:pt idx="351">
                  <c:v>1.3928513043385866</c:v>
                </c:pt>
                <c:pt idx="352">
                  <c:v>1.3142810434708694</c:v>
                </c:pt>
                <c:pt idx="353">
                  <c:v>1.2514248347766954</c:v>
                </c:pt>
                <c:pt idx="354">
                  <c:v>1.2514248347766954</c:v>
                </c:pt>
                <c:pt idx="355">
                  <c:v>1.2514248347766954</c:v>
                </c:pt>
                <c:pt idx="356">
                  <c:v>1.8011398678213564</c:v>
                </c:pt>
                <c:pt idx="357">
                  <c:v>1.6409118942570851</c:v>
                </c:pt>
                <c:pt idx="358">
                  <c:v>1.5127295154056681</c:v>
                </c:pt>
                <c:pt idx="359">
                  <c:v>1.5127295154056681</c:v>
                </c:pt>
                <c:pt idx="360">
                  <c:v>1.5127295154056681</c:v>
                </c:pt>
                <c:pt idx="361">
                  <c:v>1.5127295154056681</c:v>
                </c:pt>
                <c:pt idx="362">
                  <c:v>1.5127295154056681</c:v>
                </c:pt>
                <c:pt idx="363">
                  <c:v>1.5127295154056681</c:v>
                </c:pt>
                <c:pt idx="364">
                  <c:v>1.6101836123245348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FE-4B43-8AD5-6EE318E5221D}"/>
            </c:ext>
          </c:extLst>
        </c:ser>
        <c:ser>
          <c:idx val="2"/>
          <c:order val="2"/>
          <c:tx>
            <c:strRef>
              <c:f>'Croston &amp; SBA Method'!$I$1</c:f>
              <c:strCache>
                <c:ptCount val="1"/>
                <c:pt idx="0">
                  <c:v>SBA_Adjustment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'Croston &amp; SBA Method'!$I$2:$I$366</c:f>
              <c:numCache>
                <c:formatCode>General</c:formatCode>
                <c:ptCount val="365"/>
                <c:pt idx="0">
                  <c:v>2.7</c:v>
                </c:pt>
                <c:pt idx="1">
                  <c:v>2.7</c:v>
                </c:pt>
                <c:pt idx="2">
                  <c:v>2.7</c:v>
                </c:pt>
                <c:pt idx="3">
                  <c:v>2.3400000000000007</c:v>
                </c:pt>
                <c:pt idx="4">
                  <c:v>2.592000000000001</c:v>
                </c:pt>
                <c:pt idx="5">
                  <c:v>2.4336000000000007</c:v>
                </c:pt>
                <c:pt idx="6">
                  <c:v>2.4336000000000007</c:v>
                </c:pt>
                <c:pt idx="7">
                  <c:v>2.3068800000000005</c:v>
                </c:pt>
                <c:pt idx="8">
                  <c:v>2.3068800000000005</c:v>
                </c:pt>
                <c:pt idx="9">
                  <c:v>2.3068800000000005</c:v>
                </c:pt>
                <c:pt idx="10">
                  <c:v>2.3068800000000005</c:v>
                </c:pt>
                <c:pt idx="11">
                  <c:v>2.3068800000000005</c:v>
                </c:pt>
                <c:pt idx="12">
                  <c:v>2.3855040000000005</c:v>
                </c:pt>
                <c:pt idx="13">
                  <c:v>2.0884032000000006</c:v>
                </c:pt>
                <c:pt idx="14">
                  <c:v>2.2107225600000011</c:v>
                </c:pt>
                <c:pt idx="15">
                  <c:v>2.2107225600000011</c:v>
                </c:pt>
                <c:pt idx="16">
                  <c:v>2.1285780480000009</c:v>
                </c:pt>
                <c:pt idx="17">
                  <c:v>1.8828624384000008</c:v>
                </c:pt>
                <c:pt idx="18">
                  <c:v>1.8662899507200006</c:v>
                </c:pt>
                <c:pt idx="19">
                  <c:v>1.8662899507200006</c:v>
                </c:pt>
                <c:pt idx="20">
                  <c:v>1.8530319605760004</c:v>
                </c:pt>
                <c:pt idx="21">
                  <c:v>1.6624255684608005</c:v>
                </c:pt>
                <c:pt idx="22">
                  <c:v>1.6899404547686403</c:v>
                </c:pt>
                <c:pt idx="23">
                  <c:v>1.6899404547686403</c:v>
                </c:pt>
                <c:pt idx="24">
                  <c:v>1.7119523638149126</c:v>
                </c:pt>
                <c:pt idx="25">
                  <c:v>1.7295618910519301</c:v>
                </c:pt>
                <c:pt idx="26">
                  <c:v>1.7436495128415441</c:v>
                </c:pt>
                <c:pt idx="27">
                  <c:v>2.1149196102732355</c:v>
                </c:pt>
                <c:pt idx="28">
                  <c:v>2.0519356882185882</c:v>
                </c:pt>
                <c:pt idx="29">
                  <c:v>2.0015485505748707</c:v>
                </c:pt>
                <c:pt idx="30">
                  <c:v>2.0015485505748707</c:v>
                </c:pt>
                <c:pt idx="31">
                  <c:v>1.9612388404598968</c:v>
                </c:pt>
                <c:pt idx="32">
                  <c:v>1.7489910723679174</c:v>
                </c:pt>
                <c:pt idx="33">
                  <c:v>2.6591928578943347</c:v>
                </c:pt>
                <c:pt idx="34">
                  <c:v>2.3073542863154679</c:v>
                </c:pt>
                <c:pt idx="35">
                  <c:v>2.2058834290523746</c:v>
                </c:pt>
                <c:pt idx="36">
                  <c:v>2.3047067432418995</c:v>
                </c:pt>
                <c:pt idx="37">
                  <c:v>2.3047067432418995</c:v>
                </c:pt>
                <c:pt idx="38">
                  <c:v>2.0237653945935197</c:v>
                </c:pt>
                <c:pt idx="39">
                  <c:v>1.9790123156748161</c:v>
                </c:pt>
                <c:pt idx="40">
                  <c:v>2.1232098525398531</c:v>
                </c:pt>
                <c:pt idx="41">
                  <c:v>2.1232098525398531</c:v>
                </c:pt>
                <c:pt idx="42">
                  <c:v>1.8785678820318827</c:v>
                </c:pt>
                <c:pt idx="43">
                  <c:v>2.4028543056255063</c:v>
                </c:pt>
                <c:pt idx="44">
                  <c:v>2.4028543056255063</c:v>
                </c:pt>
                <c:pt idx="45">
                  <c:v>2.4028543056255063</c:v>
                </c:pt>
                <c:pt idx="46">
                  <c:v>2.1022834445004053</c:v>
                </c:pt>
                <c:pt idx="47">
                  <c:v>2.1022834445004053</c:v>
                </c:pt>
                <c:pt idx="48">
                  <c:v>2.1022834445004053</c:v>
                </c:pt>
                <c:pt idx="49">
                  <c:v>1.8618267556003245</c:v>
                </c:pt>
                <c:pt idx="50">
                  <c:v>1.6694614044802596</c:v>
                </c:pt>
                <c:pt idx="51">
                  <c:v>1.5155691235842079</c:v>
                </c:pt>
                <c:pt idx="52">
                  <c:v>1.3924552988673662</c:v>
                </c:pt>
                <c:pt idx="53">
                  <c:v>1.293964239093893</c:v>
                </c:pt>
                <c:pt idx="54">
                  <c:v>1.293964239093893</c:v>
                </c:pt>
                <c:pt idx="55">
                  <c:v>1.2151713912751145</c:v>
                </c:pt>
                <c:pt idx="56">
                  <c:v>1.3321371130200919</c:v>
                </c:pt>
                <c:pt idx="57">
                  <c:v>1.4257096904160735</c:v>
                </c:pt>
                <c:pt idx="58">
                  <c:v>1.4257096904160735</c:v>
                </c:pt>
                <c:pt idx="59">
                  <c:v>1.3205677523328589</c:v>
                </c:pt>
                <c:pt idx="60">
                  <c:v>1.3205677523328589</c:v>
                </c:pt>
                <c:pt idx="61">
                  <c:v>1.3205677523328589</c:v>
                </c:pt>
                <c:pt idx="62">
                  <c:v>1.3205677523328589</c:v>
                </c:pt>
                <c:pt idx="63">
                  <c:v>1.3205677523328589</c:v>
                </c:pt>
                <c:pt idx="64">
                  <c:v>1.3205677523328589</c:v>
                </c:pt>
                <c:pt idx="65">
                  <c:v>1.7764542018662872</c:v>
                </c:pt>
                <c:pt idx="66">
                  <c:v>1.7764542018662872</c:v>
                </c:pt>
                <c:pt idx="67">
                  <c:v>1.6011633614930296</c:v>
                </c:pt>
                <c:pt idx="68">
                  <c:v>1.6011633614930296</c:v>
                </c:pt>
                <c:pt idx="69">
                  <c:v>1.4609306891944238</c:v>
                </c:pt>
                <c:pt idx="70">
                  <c:v>1.4609306891944238</c:v>
                </c:pt>
                <c:pt idx="71">
                  <c:v>1.5287445513555391</c:v>
                </c:pt>
                <c:pt idx="72">
                  <c:v>1.5829956410844317</c:v>
                </c:pt>
                <c:pt idx="73">
                  <c:v>1.4463965128675453</c:v>
                </c:pt>
                <c:pt idx="74">
                  <c:v>1.3371172102940363</c:v>
                </c:pt>
                <c:pt idx="75">
                  <c:v>1.3371172102940363</c:v>
                </c:pt>
                <c:pt idx="76">
                  <c:v>1.4296937682352291</c:v>
                </c:pt>
                <c:pt idx="77">
                  <c:v>1.3237550145881833</c:v>
                </c:pt>
                <c:pt idx="78">
                  <c:v>1.4190040116705469</c:v>
                </c:pt>
                <c:pt idx="79">
                  <c:v>1.4190040116705469</c:v>
                </c:pt>
                <c:pt idx="80">
                  <c:v>1.4952032093364378</c:v>
                </c:pt>
                <c:pt idx="81">
                  <c:v>1.4952032093364378</c:v>
                </c:pt>
                <c:pt idx="82">
                  <c:v>1.4952032093364378</c:v>
                </c:pt>
                <c:pt idx="83">
                  <c:v>1.4952032093364378</c:v>
                </c:pt>
                <c:pt idx="84">
                  <c:v>1.3761625674691502</c:v>
                </c:pt>
                <c:pt idx="85">
                  <c:v>1.3761625674691502</c:v>
                </c:pt>
                <c:pt idx="86">
                  <c:v>1.3761625674691502</c:v>
                </c:pt>
                <c:pt idx="87">
                  <c:v>1.3761625674691502</c:v>
                </c:pt>
                <c:pt idx="88">
                  <c:v>1.3761625674691502</c:v>
                </c:pt>
                <c:pt idx="89">
                  <c:v>1.3761625674691502</c:v>
                </c:pt>
                <c:pt idx="90">
                  <c:v>1.3761625674691502</c:v>
                </c:pt>
                <c:pt idx="91">
                  <c:v>1.6409300539753202</c:v>
                </c:pt>
                <c:pt idx="92">
                  <c:v>1.6727440431802563</c:v>
                </c:pt>
                <c:pt idx="93">
                  <c:v>2.598195234544205</c:v>
                </c:pt>
                <c:pt idx="94">
                  <c:v>2.2585561876353641</c:v>
                </c:pt>
                <c:pt idx="95">
                  <c:v>2.2585561876353641</c:v>
                </c:pt>
                <c:pt idx="96">
                  <c:v>2.2585561876353641</c:v>
                </c:pt>
                <c:pt idx="97">
                  <c:v>3.4268449501082912</c:v>
                </c:pt>
                <c:pt idx="98">
                  <c:v>3.4268449501082912</c:v>
                </c:pt>
                <c:pt idx="99">
                  <c:v>3.4268449501082912</c:v>
                </c:pt>
                <c:pt idx="100">
                  <c:v>3.4268449501082912</c:v>
                </c:pt>
                <c:pt idx="101">
                  <c:v>2.9214759600866333</c:v>
                </c:pt>
                <c:pt idx="102">
                  <c:v>2.6971807680693067</c:v>
                </c:pt>
                <c:pt idx="103">
                  <c:v>2.6971807680693067</c:v>
                </c:pt>
                <c:pt idx="104">
                  <c:v>2.3377446144554455</c:v>
                </c:pt>
                <c:pt idx="105">
                  <c:v>2.4101956915643568</c:v>
                </c:pt>
                <c:pt idx="106">
                  <c:v>2.1081565532514857</c:v>
                </c:pt>
                <c:pt idx="107">
                  <c:v>2.2265252426011886</c:v>
                </c:pt>
                <c:pt idx="108">
                  <c:v>2.2265252426011886</c:v>
                </c:pt>
                <c:pt idx="109">
                  <c:v>2.2265252426011886</c:v>
                </c:pt>
                <c:pt idx="110">
                  <c:v>1.9612201940809508</c:v>
                </c:pt>
                <c:pt idx="111">
                  <c:v>1.7489761552647607</c:v>
                </c:pt>
                <c:pt idx="112">
                  <c:v>1.5791809242118087</c:v>
                </c:pt>
                <c:pt idx="113">
                  <c:v>1.8033447393694473</c:v>
                </c:pt>
                <c:pt idx="114">
                  <c:v>1.8033447393694473</c:v>
                </c:pt>
                <c:pt idx="115">
                  <c:v>1.6226757914955579</c:v>
                </c:pt>
                <c:pt idx="116">
                  <c:v>1.6581406331964463</c:v>
                </c:pt>
                <c:pt idx="117">
                  <c:v>1.6581406331964463</c:v>
                </c:pt>
                <c:pt idx="118">
                  <c:v>2.4065125065571578</c:v>
                </c:pt>
                <c:pt idx="119">
                  <c:v>2.465210005245726</c:v>
                </c:pt>
                <c:pt idx="120">
                  <c:v>2.1521680041965814</c:v>
                </c:pt>
                <c:pt idx="121">
                  <c:v>2.1521680041965814</c:v>
                </c:pt>
                <c:pt idx="122">
                  <c:v>1.901734403357265</c:v>
                </c:pt>
                <c:pt idx="123">
                  <c:v>1.901734403357265</c:v>
                </c:pt>
                <c:pt idx="124">
                  <c:v>1.8813875226858123</c:v>
                </c:pt>
                <c:pt idx="125">
                  <c:v>1.8813875226858123</c:v>
                </c:pt>
                <c:pt idx="126">
                  <c:v>1.8813875226858123</c:v>
                </c:pt>
                <c:pt idx="127">
                  <c:v>1.8813875226858123</c:v>
                </c:pt>
                <c:pt idx="128">
                  <c:v>1.8813875226858123</c:v>
                </c:pt>
                <c:pt idx="129">
                  <c:v>1.8813875226858123</c:v>
                </c:pt>
                <c:pt idx="130">
                  <c:v>1.68511001814865</c:v>
                </c:pt>
                <c:pt idx="131">
                  <c:v>2.0680880145189198</c:v>
                </c:pt>
                <c:pt idx="132">
                  <c:v>2.0680880145189198</c:v>
                </c:pt>
                <c:pt idx="133">
                  <c:v>2.0680880145189198</c:v>
                </c:pt>
                <c:pt idx="134">
                  <c:v>2.1944704116151361</c:v>
                </c:pt>
                <c:pt idx="135">
                  <c:v>2.1944704116151361</c:v>
                </c:pt>
                <c:pt idx="136">
                  <c:v>1.9355763292921089</c:v>
                </c:pt>
                <c:pt idx="137">
                  <c:v>1.728461063433687</c:v>
                </c:pt>
                <c:pt idx="138">
                  <c:v>1.728461063433687</c:v>
                </c:pt>
                <c:pt idx="139">
                  <c:v>1.7427688507469496</c:v>
                </c:pt>
                <c:pt idx="140">
                  <c:v>1.9342150805975598</c:v>
                </c:pt>
                <c:pt idx="141">
                  <c:v>1.9073720644780481</c:v>
                </c:pt>
                <c:pt idx="142">
                  <c:v>2.0658976515824388</c:v>
                </c:pt>
                <c:pt idx="143">
                  <c:v>1.8327181212659511</c:v>
                </c:pt>
                <c:pt idx="144">
                  <c:v>1.6461744970127608</c:v>
                </c:pt>
                <c:pt idx="145">
                  <c:v>1.6461744970127608</c:v>
                </c:pt>
                <c:pt idx="146">
                  <c:v>1.6769395976102088</c:v>
                </c:pt>
                <c:pt idx="147">
                  <c:v>1.5215516780881673</c:v>
                </c:pt>
                <c:pt idx="148">
                  <c:v>1.5215516780881673</c:v>
                </c:pt>
                <c:pt idx="149">
                  <c:v>1.3972413424705339</c:v>
                </c:pt>
                <c:pt idx="150">
                  <c:v>1.3972413424705339</c:v>
                </c:pt>
                <c:pt idx="151">
                  <c:v>1.3972413424705339</c:v>
                </c:pt>
                <c:pt idx="152">
                  <c:v>1.3972413424705339</c:v>
                </c:pt>
                <c:pt idx="153">
                  <c:v>1.3972413424705339</c:v>
                </c:pt>
                <c:pt idx="154">
                  <c:v>1.6577930739764273</c:v>
                </c:pt>
                <c:pt idx="155">
                  <c:v>1.6577930739764273</c:v>
                </c:pt>
                <c:pt idx="156">
                  <c:v>1.5062344591811418</c:v>
                </c:pt>
                <c:pt idx="157">
                  <c:v>1.5062344591811418</c:v>
                </c:pt>
                <c:pt idx="158">
                  <c:v>1.3849875673449135</c:v>
                </c:pt>
                <c:pt idx="159">
                  <c:v>1.3849875673449135</c:v>
                </c:pt>
                <c:pt idx="160">
                  <c:v>1.2879900538759308</c:v>
                </c:pt>
                <c:pt idx="161">
                  <c:v>1.3903920431007446</c:v>
                </c:pt>
                <c:pt idx="162">
                  <c:v>1.3903920431007446</c:v>
                </c:pt>
                <c:pt idx="163">
                  <c:v>1.3903920431007446</c:v>
                </c:pt>
                <c:pt idx="164">
                  <c:v>1.8323136344805955</c:v>
                </c:pt>
                <c:pt idx="165">
                  <c:v>1.8323136344805955</c:v>
                </c:pt>
                <c:pt idx="166">
                  <c:v>1.6458509075844765</c:v>
                </c:pt>
                <c:pt idx="167">
                  <c:v>1.4966807260675812</c:v>
                </c:pt>
                <c:pt idx="168">
                  <c:v>1.377344580854065</c:v>
                </c:pt>
                <c:pt idx="169">
                  <c:v>1.2818756646832521</c:v>
                </c:pt>
                <c:pt idx="170">
                  <c:v>1.2055005317466017</c:v>
                </c:pt>
                <c:pt idx="171">
                  <c:v>1.1444004253972813</c:v>
                </c:pt>
                <c:pt idx="172">
                  <c:v>1.0955203403178251</c:v>
                </c:pt>
                <c:pt idx="173">
                  <c:v>1.23641627225426</c:v>
                </c:pt>
                <c:pt idx="174">
                  <c:v>1.23641627225426</c:v>
                </c:pt>
                <c:pt idx="175">
                  <c:v>1.3491330178034082</c:v>
                </c:pt>
                <c:pt idx="176">
                  <c:v>1.3491330178034082</c:v>
                </c:pt>
                <c:pt idx="177">
                  <c:v>1.3491330178034082</c:v>
                </c:pt>
                <c:pt idx="178">
                  <c:v>1.3491330178034082</c:v>
                </c:pt>
                <c:pt idx="179">
                  <c:v>1.2593064142427268</c:v>
                </c:pt>
                <c:pt idx="180">
                  <c:v>1.2593064142427268</c:v>
                </c:pt>
                <c:pt idx="181">
                  <c:v>1.3674451313941816</c:v>
                </c:pt>
                <c:pt idx="182">
                  <c:v>1.3674451313941816</c:v>
                </c:pt>
                <c:pt idx="183">
                  <c:v>1.2739561051153452</c:v>
                </c:pt>
                <c:pt idx="184">
                  <c:v>1.2739561051153452</c:v>
                </c:pt>
                <c:pt idx="185">
                  <c:v>1.2739561051153452</c:v>
                </c:pt>
                <c:pt idx="186">
                  <c:v>1.1991648840922762</c:v>
                </c:pt>
                <c:pt idx="187">
                  <c:v>1.1393319072738211</c:v>
                </c:pt>
                <c:pt idx="188">
                  <c:v>1.1393319072738211</c:v>
                </c:pt>
                <c:pt idx="189">
                  <c:v>1.1393319072738211</c:v>
                </c:pt>
                <c:pt idx="190">
                  <c:v>1.1393319072738211</c:v>
                </c:pt>
                <c:pt idx="191">
                  <c:v>1.1393319072738211</c:v>
                </c:pt>
                <c:pt idx="192">
                  <c:v>1.1393319072738211</c:v>
                </c:pt>
                <c:pt idx="193">
                  <c:v>1.1393319072738211</c:v>
                </c:pt>
                <c:pt idx="194">
                  <c:v>1.1393319072738211</c:v>
                </c:pt>
                <c:pt idx="195">
                  <c:v>1.1393319072738211</c:v>
                </c:pt>
                <c:pt idx="196">
                  <c:v>1.1393319072738211</c:v>
                </c:pt>
                <c:pt idx="197">
                  <c:v>1.1393319072738211</c:v>
                </c:pt>
                <c:pt idx="198">
                  <c:v>1.1393319072738211</c:v>
                </c:pt>
                <c:pt idx="199">
                  <c:v>1.1393319072738211</c:v>
                </c:pt>
                <c:pt idx="200">
                  <c:v>1.1393319072738211</c:v>
                </c:pt>
                <c:pt idx="201">
                  <c:v>1.1393319072738211</c:v>
                </c:pt>
                <c:pt idx="202">
                  <c:v>1.1393319072738211</c:v>
                </c:pt>
                <c:pt idx="203">
                  <c:v>1.1393319072738211</c:v>
                </c:pt>
                <c:pt idx="204">
                  <c:v>1.1393319072738211</c:v>
                </c:pt>
                <c:pt idx="205">
                  <c:v>1.1393319072738211</c:v>
                </c:pt>
                <c:pt idx="206">
                  <c:v>1.1393319072738211</c:v>
                </c:pt>
                <c:pt idx="207">
                  <c:v>1.1393319072738211</c:v>
                </c:pt>
                <c:pt idx="208">
                  <c:v>1.1393319072738211</c:v>
                </c:pt>
                <c:pt idx="209">
                  <c:v>1.1393319072738211</c:v>
                </c:pt>
                <c:pt idx="210">
                  <c:v>1.1393319072738211</c:v>
                </c:pt>
                <c:pt idx="211">
                  <c:v>1.1393319072738211</c:v>
                </c:pt>
                <c:pt idx="212">
                  <c:v>1.1393319072738211</c:v>
                </c:pt>
                <c:pt idx="213">
                  <c:v>1.1393319072738211</c:v>
                </c:pt>
                <c:pt idx="214">
                  <c:v>1.1393319072738211</c:v>
                </c:pt>
                <c:pt idx="215">
                  <c:v>1.1393319072738211</c:v>
                </c:pt>
                <c:pt idx="216">
                  <c:v>1.1393319072738211</c:v>
                </c:pt>
                <c:pt idx="217">
                  <c:v>1.1393319072738211</c:v>
                </c:pt>
                <c:pt idx="218">
                  <c:v>1.1393319072738211</c:v>
                </c:pt>
                <c:pt idx="219">
                  <c:v>1.1393319072738211</c:v>
                </c:pt>
                <c:pt idx="220">
                  <c:v>1.1393319072738211</c:v>
                </c:pt>
                <c:pt idx="221">
                  <c:v>1.1393319072738211</c:v>
                </c:pt>
                <c:pt idx="222">
                  <c:v>1.1393319072738211</c:v>
                </c:pt>
                <c:pt idx="223">
                  <c:v>1.1393319072738211</c:v>
                </c:pt>
                <c:pt idx="224">
                  <c:v>1.1393319072738211</c:v>
                </c:pt>
                <c:pt idx="225">
                  <c:v>1.1393319072738211</c:v>
                </c:pt>
                <c:pt idx="226">
                  <c:v>1.1393319072738211</c:v>
                </c:pt>
                <c:pt idx="227">
                  <c:v>1.1393319072738211</c:v>
                </c:pt>
                <c:pt idx="228">
                  <c:v>1.1393319072738211</c:v>
                </c:pt>
                <c:pt idx="229">
                  <c:v>1.1393319072738211</c:v>
                </c:pt>
                <c:pt idx="230">
                  <c:v>1.1393319072738211</c:v>
                </c:pt>
                <c:pt idx="231">
                  <c:v>1.1393319072738211</c:v>
                </c:pt>
                <c:pt idx="232">
                  <c:v>1.1393319072738211</c:v>
                </c:pt>
                <c:pt idx="233">
                  <c:v>1.1393319072738211</c:v>
                </c:pt>
                <c:pt idx="234">
                  <c:v>1.1393319072738211</c:v>
                </c:pt>
                <c:pt idx="235">
                  <c:v>1.1393319072738211</c:v>
                </c:pt>
                <c:pt idx="236">
                  <c:v>1.1393319072738211</c:v>
                </c:pt>
                <c:pt idx="237">
                  <c:v>1.1393319072738211</c:v>
                </c:pt>
                <c:pt idx="238">
                  <c:v>1.1393319072738211</c:v>
                </c:pt>
                <c:pt idx="239">
                  <c:v>1.1393319072738211</c:v>
                </c:pt>
                <c:pt idx="240">
                  <c:v>1.1393319072738211</c:v>
                </c:pt>
                <c:pt idx="241">
                  <c:v>1.1393319072738211</c:v>
                </c:pt>
                <c:pt idx="242">
                  <c:v>1.1393319072738211</c:v>
                </c:pt>
                <c:pt idx="243">
                  <c:v>1.1393319072738211</c:v>
                </c:pt>
                <c:pt idx="244">
                  <c:v>1.1393319072738211</c:v>
                </c:pt>
                <c:pt idx="245">
                  <c:v>1.1393319072738211</c:v>
                </c:pt>
                <c:pt idx="246">
                  <c:v>1.1393319072738211</c:v>
                </c:pt>
                <c:pt idx="247">
                  <c:v>1.1393319072738211</c:v>
                </c:pt>
                <c:pt idx="248">
                  <c:v>1.1393319072738211</c:v>
                </c:pt>
                <c:pt idx="249">
                  <c:v>1.1393319072738211</c:v>
                </c:pt>
                <c:pt idx="250">
                  <c:v>1.1393319072738211</c:v>
                </c:pt>
                <c:pt idx="251">
                  <c:v>1.1393319072738211</c:v>
                </c:pt>
                <c:pt idx="252">
                  <c:v>1.1393319072738211</c:v>
                </c:pt>
                <c:pt idx="253">
                  <c:v>1.1393319072738211</c:v>
                </c:pt>
                <c:pt idx="254">
                  <c:v>1.1393319072738211</c:v>
                </c:pt>
                <c:pt idx="255">
                  <c:v>1.1393319072738211</c:v>
                </c:pt>
                <c:pt idx="256">
                  <c:v>1.1393319072738211</c:v>
                </c:pt>
                <c:pt idx="257">
                  <c:v>1.1393319072738211</c:v>
                </c:pt>
                <c:pt idx="258">
                  <c:v>1.1393319072738211</c:v>
                </c:pt>
                <c:pt idx="259">
                  <c:v>1.1393319072738211</c:v>
                </c:pt>
                <c:pt idx="260">
                  <c:v>1.1393319072738211</c:v>
                </c:pt>
                <c:pt idx="261">
                  <c:v>1.1393319072738211</c:v>
                </c:pt>
                <c:pt idx="262">
                  <c:v>1.1393319072738211</c:v>
                </c:pt>
                <c:pt idx="263">
                  <c:v>1.1393319072738211</c:v>
                </c:pt>
                <c:pt idx="264">
                  <c:v>1.1393319072738211</c:v>
                </c:pt>
                <c:pt idx="265">
                  <c:v>1.1393319072738211</c:v>
                </c:pt>
                <c:pt idx="266">
                  <c:v>1.1393319072738211</c:v>
                </c:pt>
                <c:pt idx="267">
                  <c:v>1.1393319072738211</c:v>
                </c:pt>
                <c:pt idx="268">
                  <c:v>1.1393319072738211</c:v>
                </c:pt>
                <c:pt idx="269">
                  <c:v>1.1393319072738211</c:v>
                </c:pt>
                <c:pt idx="270">
                  <c:v>1.1393319072738211</c:v>
                </c:pt>
                <c:pt idx="271">
                  <c:v>1.1393319072738211</c:v>
                </c:pt>
                <c:pt idx="272">
                  <c:v>1.1393319072738211</c:v>
                </c:pt>
                <c:pt idx="273">
                  <c:v>1.1393319072738211</c:v>
                </c:pt>
                <c:pt idx="274">
                  <c:v>1.1393319072738211</c:v>
                </c:pt>
                <c:pt idx="275">
                  <c:v>1.1393319072738211</c:v>
                </c:pt>
                <c:pt idx="276">
                  <c:v>1.1393319072738211</c:v>
                </c:pt>
                <c:pt idx="277">
                  <c:v>1.451465525819057</c:v>
                </c:pt>
                <c:pt idx="278">
                  <c:v>1.3411724206552456</c:v>
                </c:pt>
                <c:pt idx="279">
                  <c:v>1.7929379365241964</c:v>
                </c:pt>
                <c:pt idx="280">
                  <c:v>1.7943503492193573</c:v>
                </c:pt>
                <c:pt idx="281">
                  <c:v>1.6154802793754859</c:v>
                </c:pt>
                <c:pt idx="282">
                  <c:v>1.6154802793754859</c:v>
                </c:pt>
                <c:pt idx="283">
                  <c:v>1.6523842235003887</c:v>
                </c:pt>
                <c:pt idx="284">
                  <c:v>1.5019073788003112</c:v>
                </c:pt>
                <c:pt idx="285">
                  <c:v>1.5019073788003112</c:v>
                </c:pt>
                <c:pt idx="286">
                  <c:v>1.3815259030402489</c:v>
                </c:pt>
                <c:pt idx="287">
                  <c:v>1.3815259030402489</c:v>
                </c:pt>
                <c:pt idx="288">
                  <c:v>2.1852207224321996</c:v>
                </c:pt>
                <c:pt idx="289">
                  <c:v>1.9281765779457596</c:v>
                </c:pt>
                <c:pt idx="290">
                  <c:v>1.9281765779457596</c:v>
                </c:pt>
                <c:pt idx="291">
                  <c:v>1.9281765779457596</c:v>
                </c:pt>
                <c:pt idx="292">
                  <c:v>1.9281765779457596</c:v>
                </c:pt>
                <c:pt idx="293">
                  <c:v>1.7225412623566079</c:v>
                </c:pt>
                <c:pt idx="294">
                  <c:v>1.9180330098852865</c:v>
                </c:pt>
                <c:pt idx="295">
                  <c:v>2.254426407908229</c:v>
                </c:pt>
                <c:pt idx="296">
                  <c:v>2.254426407908229</c:v>
                </c:pt>
                <c:pt idx="297">
                  <c:v>2.254426407908229</c:v>
                </c:pt>
                <c:pt idx="298">
                  <c:v>1.9835411263265834</c:v>
                </c:pt>
                <c:pt idx="299">
                  <c:v>1.9835411263265834</c:v>
                </c:pt>
                <c:pt idx="300">
                  <c:v>1.9468329010612668</c:v>
                </c:pt>
                <c:pt idx="301">
                  <c:v>1.9468329010612668</c:v>
                </c:pt>
                <c:pt idx="302">
                  <c:v>1.9468329010612668</c:v>
                </c:pt>
                <c:pt idx="303">
                  <c:v>1.7374663208490133</c:v>
                </c:pt>
                <c:pt idx="304">
                  <c:v>1.7374663208490133</c:v>
                </c:pt>
                <c:pt idx="305">
                  <c:v>2.829973056679211</c:v>
                </c:pt>
                <c:pt idx="306">
                  <c:v>2.8039784453433687</c:v>
                </c:pt>
                <c:pt idx="307">
                  <c:v>2.423182756274695</c:v>
                </c:pt>
                <c:pt idx="308">
                  <c:v>2.1185462050197565</c:v>
                </c:pt>
                <c:pt idx="309">
                  <c:v>2.5948369640158053</c:v>
                </c:pt>
                <c:pt idx="310">
                  <c:v>2.6158695712126443</c:v>
                </c:pt>
                <c:pt idx="311">
                  <c:v>2.4526956569701159</c:v>
                </c:pt>
                <c:pt idx="312">
                  <c:v>2.4526956569701159</c:v>
                </c:pt>
                <c:pt idx="313">
                  <c:v>2.1421565255760928</c:v>
                </c:pt>
                <c:pt idx="314">
                  <c:v>2.1421565255760928</c:v>
                </c:pt>
                <c:pt idx="315">
                  <c:v>2.1421565255760928</c:v>
                </c:pt>
                <c:pt idx="316">
                  <c:v>2.0737252204608745</c:v>
                </c:pt>
                <c:pt idx="317">
                  <c:v>2.0737252204608745</c:v>
                </c:pt>
                <c:pt idx="318">
                  <c:v>1.8389801763686997</c:v>
                </c:pt>
                <c:pt idx="319">
                  <c:v>1.8389801763686997</c:v>
                </c:pt>
                <c:pt idx="320">
                  <c:v>1.6511841410949599</c:v>
                </c:pt>
                <c:pt idx="321">
                  <c:v>1.6809473128759678</c:v>
                </c:pt>
                <c:pt idx="322">
                  <c:v>1.7047578503007741</c:v>
                </c:pt>
                <c:pt idx="323">
                  <c:v>2.44380628024062</c:v>
                </c:pt>
                <c:pt idx="324">
                  <c:v>2.3150450241924956</c:v>
                </c:pt>
                <c:pt idx="325">
                  <c:v>2.3920360193539971</c:v>
                </c:pt>
                <c:pt idx="326">
                  <c:v>2.8136288154831974</c:v>
                </c:pt>
                <c:pt idx="327">
                  <c:v>2.7909030523865583</c:v>
                </c:pt>
                <c:pt idx="328">
                  <c:v>3.1327224419092468</c:v>
                </c:pt>
                <c:pt idx="329">
                  <c:v>2.6861779535273977</c:v>
                </c:pt>
                <c:pt idx="330">
                  <c:v>2.6861779535273977</c:v>
                </c:pt>
                <c:pt idx="331">
                  <c:v>2.3289423628219184</c:v>
                </c:pt>
                <c:pt idx="332">
                  <c:v>2.043153890257535</c:v>
                </c:pt>
                <c:pt idx="333">
                  <c:v>1.8145231122060281</c:v>
                </c:pt>
                <c:pt idx="334">
                  <c:v>1.8145231122060281</c:v>
                </c:pt>
                <c:pt idx="335">
                  <c:v>1.8145231122060281</c:v>
                </c:pt>
                <c:pt idx="336">
                  <c:v>1.8116184897648224</c:v>
                </c:pt>
                <c:pt idx="337">
                  <c:v>1.8092947918118583</c:v>
                </c:pt>
                <c:pt idx="338">
                  <c:v>1.8092947918118583</c:v>
                </c:pt>
                <c:pt idx="339">
                  <c:v>1.8092947918118583</c:v>
                </c:pt>
                <c:pt idx="340">
                  <c:v>1.6274358334494867</c:v>
                </c:pt>
                <c:pt idx="341">
                  <c:v>1.4819486667595894</c:v>
                </c:pt>
                <c:pt idx="342">
                  <c:v>1.4819486667595894</c:v>
                </c:pt>
                <c:pt idx="343">
                  <c:v>1.3655589334076714</c:v>
                </c:pt>
                <c:pt idx="344">
                  <c:v>1.3655589334076714</c:v>
                </c:pt>
                <c:pt idx="345">
                  <c:v>1.3655589334076714</c:v>
                </c:pt>
                <c:pt idx="346">
                  <c:v>1.3655589334076714</c:v>
                </c:pt>
                <c:pt idx="347">
                  <c:v>1.4524471467261373</c:v>
                </c:pt>
                <c:pt idx="348">
                  <c:v>1.4524471467261373</c:v>
                </c:pt>
                <c:pt idx="349">
                  <c:v>1.3419577173809101</c:v>
                </c:pt>
                <c:pt idx="350">
                  <c:v>1.3419577173809101</c:v>
                </c:pt>
                <c:pt idx="351">
                  <c:v>1.2535661739047279</c:v>
                </c:pt>
                <c:pt idx="352">
                  <c:v>1.1828529391237825</c:v>
                </c:pt>
                <c:pt idx="353">
                  <c:v>1.1262823512990259</c:v>
                </c:pt>
                <c:pt idx="354">
                  <c:v>1.1262823512990259</c:v>
                </c:pt>
                <c:pt idx="355">
                  <c:v>1.1262823512990259</c:v>
                </c:pt>
                <c:pt idx="356">
                  <c:v>1.6210258810392209</c:v>
                </c:pt>
                <c:pt idx="357">
                  <c:v>1.4768207048313766</c:v>
                </c:pt>
                <c:pt idx="358">
                  <c:v>1.3614565638651013</c:v>
                </c:pt>
                <c:pt idx="359">
                  <c:v>1.3614565638651013</c:v>
                </c:pt>
                <c:pt idx="360">
                  <c:v>1.3614565638651013</c:v>
                </c:pt>
                <c:pt idx="361">
                  <c:v>1.3614565638651013</c:v>
                </c:pt>
                <c:pt idx="362">
                  <c:v>1.3614565638651013</c:v>
                </c:pt>
                <c:pt idx="363">
                  <c:v>1.3614565638651013</c:v>
                </c:pt>
                <c:pt idx="364">
                  <c:v>1.4491652510920814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FE-4B43-8AD5-6EE318E52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070607"/>
        <c:axId val="1023184687"/>
      </c:lineChart>
      <c:catAx>
        <c:axId val="10230706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184687"/>
        <c:crosses val="autoZero"/>
        <c:auto val="1"/>
        <c:lblAlgn val="ctr"/>
        <c:lblOffset val="100"/>
        <c:noMultiLvlLbl val="0"/>
      </c:catAx>
      <c:valAx>
        <c:axId val="102318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07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209550</xdr:colOff>
      <xdr:row>14</xdr:row>
      <xdr:rowOff>101600</xdr:rowOff>
    </xdr:from>
    <xdr:to>
      <xdr:col>23</xdr:col>
      <xdr:colOff>673100</xdr:colOff>
      <xdr:row>40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CF3824-D889-76E8-EA4B-C811B933A9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94813-5DFB-0148-9E6D-F8E5B7A0DDF2}" name="Table2" displayName="Table2" ref="A1:K366" totalsRowShown="0" headerRowDxfId="3">
  <autoFilter ref="A1:K366" xr:uid="{EB194813-5DFB-0148-9E6D-F8E5B7A0DDF2}"/>
  <tableColumns count="11">
    <tableColumn id="1" xr3:uid="{D3F4CA90-4B3D-9E46-BEBE-7A1D4D94B32E}" name="d"/>
    <tableColumn id="2" xr3:uid="{39610352-F918-7841-87AA-079EB1331F0B}" name="date" dataDxfId="2"/>
    <tableColumn id="4" xr3:uid="{1B357B0E-EDAD-7244-B171-5797599382CE}" name="weekday" dataDxfId="1"/>
    <tableColumn id="5" xr3:uid="{BB84EC6A-7A69-5747-9A87-BEC32AF22C7D}" name="wday"/>
    <tableColumn id="6" xr3:uid="{E854B7C8-0327-CB47-98BA-40293EBB3775}" name="month"/>
    <tableColumn id="9" xr3:uid="{9EF1C199-4462-A74F-9EF9-BE21BFC8E537}" name="event_type_1"/>
    <tableColumn id="12" xr3:uid="{3B178B19-6C26-A24A-BD71-DA67D14E8789}" name="snap_CA"/>
    <tableColumn id="13" xr3:uid="{72A1FD5A-E6FB-F444-B410-348432A709A2}" name="SKU1_Sales"/>
    <tableColumn id="14" xr3:uid="{DB9E0BCF-277E-114F-A785-41034A0BEF12}" name="SKU2_Sales"/>
    <tableColumn id="15" xr3:uid="{51513610-E43C-EC43-9776-7B4D3824F8DF}" name="SKU3_Sales"/>
    <tableColumn id="3" xr3:uid="{360048B6-1FB3-484D-AD9A-AB0DF028C525}" name="Train_Val_Flag" dataDxfId="0">
      <calculatedColumnFormula>IF(ROW()-1&lt;=300,"Train","Validation")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54251-FEB2-E445-8A10-53039E8CD1AA}">
  <dimension ref="A1:K366"/>
  <sheetViews>
    <sheetView topLeftCell="A300" workbookViewId="0">
      <selection activeCell="C2" sqref="C2"/>
    </sheetView>
  </sheetViews>
  <sheetFormatPr baseColWidth="10" defaultRowHeight="16" x14ac:dyDescent="0.2"/>
  <cols>
    <col min="11" max="11" width="13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387</v>
      </c>
    </row>
    <row r="2" spans="1:11" x14ac:dyDescent="0.2">
      <c r="A2" t="s">
        <v>10</v>
      </c>
      <c r="B2" s="2">
        <v>40572</v>
      </c>
      <c r="C2" s="3" t="s">
        <v>11</v>
      </c>
      <c r="D2">
        <v>1</v>
      </c>
      <c r="E2">
        <v>1</v>
      </c>
      <c r="F2" t="s">
        <v>12</v>
      </c>
      <c r="G2">
        <v>0</v>
      </c>
      <c r="H2">
        <v>3</v>
      </c>
      <c r="I2">
        <v>0</v>
      </c>
      <c r="J2">
        <v>0</v>
      </c>
      <c r="K2" t="str">
        <f t="shared" ref="K2:K65" si="0">IF(ROW()-1&lt;=300,"Train","Validation")</f>
        <v>Train</v>
      </c>
    </row>
    <row r="3" spans="1:11" x14ac:dyDescent="0.2">
      <c r="A3" t="s">
        <v>13</v>
      </c>
      <c r="B3" s="2">
        <v>40573</v>
      </c>
      <c r="C3" s="3" t="s">
        <v>14</v>
      </c>
      <c r="D3">
        <v>2</v>
      </c>
      <c r="E3">
        <v>1</v>
      </c>
      <c r="F3" t="s">
        <v>12</v>
      </c>
      <c r="G3">
        <v>0</v>
      </c>
      <c r="H3">
        <v>0</v>
      </c>
      <c r="I3">
        <v>1</v>
      </c>
      <c r="J3">
        <v>0</v>
      </c>
      <c r="K3" t="str">
        <f t="shared" si="0"/>
        <v>Train</v>
      </c>
    </row>
    <row r="4" spans="1:11" x14ac:dyDescent="0.2">
      <c r="A4" t="s">
        <v>15</v>
      </c>
      <c r="B4" s="2">
        <v>40574</v>
      </c>
      <c r="C4" s="3" t="s">
        <v>16</v>
      </c>
      <c r="D4">
        <v>3</v>
      </c>
      <c r="E4">
        <v>1</v>
      </c>
      <c r="F4" t="s">
        <v>12</v>
      </c>
      <c r="G4">
        <v>0</v>
      </c>
      <c r="H4">
        <v>0</v>
      </c>
      <c r="I4">
        <v>0</v>
      </c>
      <c r="J4">
        <v>0</v>
      </c>
      <c r="K4" t="str">
        <f t="shared" si="0"/>
        <v>Train</v>
      </c>
    </row>
    <row r="5" spans="1:11" x14ac:dyDescent="0.2">
      <c r="A5" t="s">
        <v>17</v>
      </c>
      <c r="B5" s="2">
        <v>40575</v>
      </c>
      <c r="C5" s="3" t="s">
        <v>18</v>
      </c>
      <c r="D5">
        <v>4</v>
      </c>
      <c r="E5">
        <v>2</v>
      </c>
      <c r="F5" t="s">
        <v>12</v>
      </c>
      <c r="G5">
        <v>1</v>
      </c>
      <c r="H5">
        <v>1</v>
      </c>
      <c r="I5">
        <v>1</v>
      </c>
      <c r="J5">
        <v>0</v>
      </c>
      <c r="K5" t="str">
        <f t="shared" si="0"/>
        <v>Train</v>
      </c>
    </row>
    <row r="6" spans="1:11" x14ac:dyDescent="0.2">
      <c r="A6" t="s">
        <v>19</v>
      </c>
      <c r="B6" s="2">
        <v>40576</v>
      </c>
      <c r="C6" s="3" t="s">
        <v>20</v>
      </c>
      <c r="D6">
        <v>5</v>
      </c>
      <c r="E6">
        <v>2</v>
      </c>
      <c r="F6" t="s">
        <v>12</v>
      </c>
      <c r="G6">
        <v>1</v>
      </c>
      <c r="H6">
        <v>4</v>
      </c>
      <c r="I6">
        <v>1</v>
      </c>
      <c r="J6">
        <v>1</v>
      </c>
      <c r="K6" t="str">
        <f t="shared" si="0"/>
        <v>Train</v>
      </c>
    </row>
    <row r="7" spans="1:11" x14ac:dyDescent="0.2">
      <c r="A7" t="s">
        <v>21</v>
      </c>
      <c r="B7" s="2">
        <v>40577</v>
      </c>
      <c r="C7" s="3" t="s">
        <v>22</v>
      </c>
      <c r="D7">
        <v>6</v>
      </c>
      <c r="E7">
        <v>2</v>
      </c>
      <c r="F7" t="s">
        <v>12</v>
      </c>
      <c r="G7">
        <v>1</v>
      </c>
      <c r="H7">
        <v>2</v>
      </c>
      <c r="I7">
        <v>1</v>
      </c>
      <c r="J7">
        <v>3</v>
      </c>
      <c r="K7" t="str">
        <f t="shared" si="0"/>
        <v>Train</v>
      </c>
    </row>
    <row r="8" spans="1:11" x14ac:dyDescent="0.2">
      <c r="A8" t="s">
        <v>23</v>
      </c>
      <c r="B8" s="2">
        <v>40578</v>
      </c>
      <c r="C8" s="3" t="s">
        <v>24</v>
      </c>
      <c r="D8">
        <v>7</v>
      </c>
      <c r="E8">
        <v>2</v>
      </c>
      <c r="F8" t="s">
        <v>12</v>
      </c>
      <c r="G8">
        <v>1</v>
      </c>
      <c r="H8">
        <v>0</v>
      </c>
      <c r="I8">
        <v>0</v>
      </c>
      <c r="J8">
        <v>1</v>
      </c>
      <c r="K8" t="str">
        <f t="shared" si="0"/>
        <v>Train</v>
      </c>
    </row>
    <row r="9" spans="1:11" x14ac:dyDescent="0.2">
      <c r="A9" t="s">
        <v>25</v>
      </c>
      <c r="B9" s="2">
        <v>40579</v>
      </c>
      <c r="C9" s="3" t="s">
        <v>11</v>
      </c>
      <c r="D9">
        <v>1</v>
      </c>
      <c r="E9">
        <v>2</v>
      </c>
      <c r="F9" t="s">
        <v>12</v>
      </c>
      <c r="G9">
        <v>1</v>
      </c>
      <c r="H9">
        <v>2</v>
      </c>
      <c r="I9">
        <v>0</v>
      </c>
      <c r="J9">
        <v>1</v>
      </c>
      <c r="K9" t="str">
        <f t="shared" si="0"/>
        <v>Train</v>
      </c>
    </row>
    <row r="10" spans="1:11" x14ac:dyDescent="0.2">
      <c r="A10" t="s">
        <v>26</v>
      </c>
      <c r="B10" s="2">
        <v>40580</v>
      </c>
      <c r="C10" s="3" t="s">
        <v>14</v>
      </c>
      <c r="D10">
        <v>2</v>
      </c>
      <c r="E10">
        <v>2</v>
      </c>
      <c r="F10" t="s">
        <v>27</v>
      </c>
      <c r="G10">
        <v>1</v>
      </c>
      <c r="H10">
        <v>0</v>
      </c>
      <c r="I10">
        <v>0</v>
      </c>
      <c r="J10">
        <v>1</v>
      </c>
      <c r="K10" t="str">
        <f t="shared" si="0"/>
        <v>Train</v>
      </c>
    </row>
    <row r="11" spans="1:11" x14ac:dyDescent="0.2">
      <c r="A11" t="s">
        <v>28</v>
      </c>
      <c r="B11" s="2">
        <v>40581</v>
      </c>
      <c r="C11" s="3" t="s">
        <v>16</v>
      </c>
      <c r="D11">
        <v>3</v>
      </c>
      <c r="E11">
        <v>2</v>
      </c>
      <c r="F11" t="s">
        <v>12</v>
      </c>
      <c r="G11">
        <v>1</v>
      </c>
      <c r="H11">
        <v>0</v>
      </c>
      <c r="I11">
        <v>0</v>
      </c>
      <c r="J11">
        <v>0</v>
      </c>
      <c r="K11" t="str">
        <f t="shared" si="0"/>
        <v>Train</v>
      </c>
    </row>
    <row r="12" spans="1:11" x14ac:dyDescent="0.2">
      <c r="A12" t="s">
        <v>29</v>
      </c>
      <c r="B12" s="2">
        <v>40582</v>
      </c>
      <c r="C12" s="3" t="s">
        <v>18</v>
      </c>
      <c r="D12">
        <v>4</v>
      </c>
      <c r="E12">
        <v>2</v>
      </c>
      <c r="F12" t="s">
        <v>12</v>
      </c>
      <c r="G12">
        <v>1</v>
      </c>
      <c r="H12">
        <v>0</v>
      </c>
      <c r="I12">
        <v>1</v>
      </c>
      <c r="J12">
        <v>1</v>
      </c>
      <c r="K12" t="str">
        <f t="shared" si="0"/>
        <v>Train</v>
      </c>
    </row>
    <row r="13" spans="1:11" x14ac:dyDescent="0.2">
      <c r="A13" t="s">
        <v>30</v>
      </c>
      <c r="B13" s="2">
        <v>40583</v>
      </c>
      <c r="C13" s="3" t="s">
        <v>20</v>
      </c>
      <c r="D13">
        <v>5</v>
      </c>
      <c r="E13">
        <v>2</v>
      </c>
      <c r="F13" t="s">
        <v>12</v>
      </c>
      <c r="G13">
        <v>1</v>
      </c>
      <c r="H13">
        <v>0</v>
      </c>
      <c r="I13">
        <v>1</v>
      </c>
      <c r="J13">
        <v>0</v>
      </c>
      <c r="K13" t="str">
        <f t="shared" si="0"/>
        <v>Train</v>
      </c>
    </row>
    <row r="14" spans="1:11" x14ac:dyDescent="0.2">
      <c r="A14" t="s">
        <v>31</v>
      </c>
      <c r="B14" s="2">
        <v>40584</v>
      </c>
      <c r="C14" s="3" t="s">
        <v>22</v>
      </c>
      <c r="D14">
        <v>6</v>
      </c>
      <c r="E14">
        <v>2</v>
      </c>
      <c r="F14" t="s">
        <v>12</v>
      </c>
      <c r="G14">
        <v>1</v>
      </c>
      <c r="H14">
        <v>3</v>
      </c>
      <c r="I14">
        <v>0</v>
      </c>
      <c r="J14">
        <v>0</v>
      </c>
      <c r="K14" t="str">
        <f t="shared" si="0"/>
        <v>Train</v>
      </c>
    </row>
    <row r="15" spans="1:11" x14ac:dyDescent="0.2">
      <c r="A15" t="s">
        <v>32</v>
      </c>
      <c r="B15" s="2">
        <v>40585</v>
      </c>
      <c r="C15" s="3" t="s">
        <v>24</v>
      </c>
      <c r="D15">
        <v>7</v>
      </c>
      <c r="E15">
        <v>2</v>
      </c>
      <c r="F15" t="s">
        <v>12</v>
      </c>
      <c r="G15">
        <v>0</v>
      </c>
      <c r="H15">
        <v>1</v>
      </c>
      <c r="I15">
        <v>2</v>
      </c>
      <c r="J15">
        <v>2</v>
      </c>
      <c r="K15" t="str">
        <f t="shared" si="0"/>
        <v>Train</v>
      </c>
    </row>
    <row r="16" spans="1:11" x14ac:dyDescent="0.2">
      <c r="A16" t="s">
        <v>33</v>
      </c>
      <c r="B16" s="2">
        <v>40586</v>
      </c>
      <c r="C16" s="3" t="s">
        <v>11</v>
      </c>
      <c r="D16">
        <v>1</v>
      </c>
      <c r="E16">
        <v>2</v>
      </c>
      <c r="F16" t="s">
        <v>12</v>
      </c>
      <c r="G16">
        <v>0</v>
      </c>
      <c r="H16">
        <v>3</v>
      </c>
      <c r="I16">
        <v>0</v>
      </c>
      <c r="J16">
        <v>1</v>
      </c>
      <c r="K16" t="str">
        <f t="shared" si="0"/>
        <v>Train</v>
      </c>
    </row>
    <row r="17" spans="1:11" x14ac:dyDescent="0.2">
      <c r="A17" t="s">
        <v>34</v>
      </c>
      <c r="B17" s="2">
        <v>40587</v>
      </c>
      <c r="C17" s="3" t="s">
        <v>14</v>
      </c>
      <c r="D17">
        <v>2</v>
      </c>
      <c r="E17">
        <v>2</v>
      </c>
      <c r="F17" t="s">
        <v>12</v>
      </c>
      <c r="G17">
        <v>0</v>
      </c>
      <c r="H17">
        <v>0</v>
      </c>
      <c r="I17">
        <v>1</v>
      </c>
      <c r="J17">
        <v>1</v>
      </c>
      <c r="K17" t="str">
        <f t="shared" si="0"/>
        <v>Train</v>
      </c>
    </row>
    <row r="18" spans="1:11" x14ac:dyDescent="0.2">
      <c r="A18" t="s">
        <v>35</v>
      </c>
      <c r="B18" s="2">
        <v>40588</v>
      </c>
      <c r="C18" s="3" t="s">
        <v>16</v>
      </c>
      <c r="D18">
        <v>3</v>
      </c>
      <c r="E18">
        <v>2</v>
      </c>
      <c r="F18" t="s">
        <v>36</v>
      </c>
      <c r="G18">
        <v>0</v>
      </c>
      <c r="H18">
        <v>2</v>
      </c>
      <c r="I18">
        <v>0</v>
      </c>
      <c r="J18">
        <v>1</v>
      </c>
      <c r="K18" t="str">
        <f t="shared" si="0"/>
        <v>Train</v>
      </c>
    </row>
    <row r="19" spans="1:11" x14ac:dyDescent="0.2">
      <c r="A19" t="s">
        <v>37</v>
      </c>
      <c r="B19" s="2">
        <v>40589</v>
      </c>
      <c r="C19" s="3" t="s">
        <v>18</v>
      </c>
      <c r="D19">
        <v>4</v>
      </c>
      <c r="E19">
        <v>2</v>
      </c>
      <c r="F19" t="s">
        <v>12</v>
      </c>
      <c r="G19">
        <v>0</v>
      </c>
      <c r="H19">
        <v>1</v>
      </c>
      <c r="I19">
        <v>0</v>
      </c>
      <c r="J19">
        <v>0</v>
      </c>
      <c r="K19" t="str">
        <f t="shared" si="0"/>
        <v>Train</v>
      </c>
    </row>
    <row r="20" spans="1:11" x14ac:dyDescent="0.2">
      <c r="A20" t="s">
        <v>38</v>
      </c>
      <c r="B20" s="2">
        <v>40590</v>
      </c>
      <c r="C20" s="3" t="s">
        <v>20</v>
      </c>
      <c r="D20">
        <v>5</v>
      </c>
      <c r="E20">
        <v>2</v>
      </c>
      <c r="F20" t="s">
        <v>12</v>
      </c>
      <c r="G20">
        <v>0</v>
      </c>
      <c r="H20">
        <v>2</v>
      </c>
      <c r="I20">
        <v>0</v>
      </c>
      <c r="J20">
        <v>0</v>
      </c>
      <c r="K20" t="str">
        <f t="shared" si="0"/>
        <v>Train</v>
      </c>
    </row>
    <row r="21" spans="1:11" x14ac:dyDescent="0.2">
      <c r="A21" t="s">
        <v>39</v>
      </c>
      <c r="B21" s="2">
        <v>40591</v>
      </c>
      <c r="C21" s="3" t="s">
        <v>22</v>
      </c>
      <c r="D21">
        <v>6</v>
      </c>
      <c r="E21">
        <v>2</v>
      </c>
      <c r="F21" t="s">
        <v>12</v>
      </c>
      <c r="G21">
        <v>0</v>
      </c>
      <c r="H21">
        <v>0</v>
      </c>
      <c r="I21">
        <v>0</v>
      </c>
      <c r="J21">
        <v>1</v>
      </c>
      <c r="K21" t="str">
        <f t="shared" si="0"/>
        <v>Train</v>
      </c>
    </row>
    <row r="22" spans="1:11" x14ac:dyDescent="0.2">
      <c r="A22" t="s">
        <v>40</v>
      </c>
      <c r="B22" s="2">
        <v>40592</v>
      </c>
      <c r="C22" s="3" t="s">
        <v>24</v>
      </c>
      <c r="D22">
        <v>7</v>
      </c>
      <c r="E22">
        <v>2</v>
      </c>
      <c r="F22" t="s">
        <v>12</v>
      </c>
      <c r="G22">
        <v>0</v>
      </c>
      <c r="H22">
        <v>2</v>
      </c>
      <c r="I22">
        <v>0</v>
      </c>
      <c r="J22">
        <v>0</v>
      </c>
      <c r="K22" t="str">
        <f t="shared" si="0"/>
        <v>Train</v>
      </c>
    </row>
    <row r="23" spans="1:11" x14ac:dyDescent="0.2">
      <c r="A23" t="s">
        <v>41</v>
      </c>
      <c r="B23" s="2">
        <v>40593</v>
      </c>
      <c r="C23" s="3" t="s">
        <v>11</v>
      </c>
      <c r="D23">
        <v>1</v>
      </c>
      <c r="E23">
        <v>2</v>
      </c>
      <c r="F23" t="s">
        <v>12</v>
      </c>
      <c r="G23">
        <v>0</v>
      </c>
      <c r="H23">
        <v>1</v>
      </c>
      <c r="I23">
        <v>0</v>
      </c>
      <c r="J23">
        <v>2</v>
      </c>
      <c r="K23" t="str">
        <f t="shared" si="0"/>
        <v>Train</v>
      </c>
    </row>
    <row r="24" spans="1:11" x14ac:dyDescent="0.2">
      <c r="A24" t="s">
        <v>42</v>
      </c>
      <c r="B24" s="2">
        <v>40594</v>
      </c>
      <c r="C24" s="3" t="s">
        <v>14</v>
      </c>
      <c r="D24">
        <v>2</v>
      </c>
      <c r="E24">
        <v>2</v>
      </c>
      <c r="F24" t="s">
        <v>12</v>
      </c>
      <c r="G24">
        <v>0</v>
      </c>
      <c r="H24">
        <v>2</v>
      </c>
      <c r="I24">
        <v>0</v>
      </c>
      <c r="J24">
        <v>4</v>
      </c>
      <c r="K24" t="str">
        <f t="shared" si="0"/>
        <v>Train</v>
      </c>
    </row>
    <row r="25" spans="1:11" x14ac:dyDescent="0.2">
      <c r="A25" t="s">
        <v>43</v>
      </c>
      <c r="B25" s="2">
        <v>40595</v>
      </c>
      <c r="C25" s="3" t="s">
        <v>16</v>
      </c>
      <c r="D25">
        <v>3</v>
      </c>
      <c r="E25">
        <v>2</v>
      </c>
      <c r="F25" t="s">
        <v>44</v>
      </c>
      <c r="G25">
        <v>0</v>
      </c>
      <c r="H25">
        <v>0</v>
      </c>
      <c r="I25">
        <v>0</v>
      </c>
      <c r="J25">
        <v>1</v>
      </c>
      <c r="K25" t="str">
        <f t="shared" si="0"/>
        <v>Train</v>
      </c>
    </row>
    <row r="26" spans="1:11" x14ac:dyDescent="0.2">
      <c r="A26" t="s">
        <v>45</v>
      </c>
      <c r="B26" s="2">
        <v>40596</v>
      </c>
      <c r="C26" s="3" t="s">
        <v>18</v>
      </c>
      <c r="D26">
        <v>4</v>
      </c>
      <c r="E26">
        <v>2</v>
      </c>
      <c r="F26" t="s">
        <v>12</v>
      </c>
      <c r="G26">
        <v>0</v>
      </c>
      <c r="H26">
        <v>2</v>
      </c>
      <c r="I26">
        <v>0</v>
      </c>
      <c r="J26">
        <v>1</v>
      </c>
      <c r="K26" t="str">
        <f t="shared" si="0"/>
        <v>Train</v>
      </c>
    </row>
    <row r="27" spans="1:11" x14ac:dyDescent="0.2">
      <c r="A27" t="s">
        <v>46</v>
      </c>
      <c r="B27" s="2">
        <v>40597</v>
      </c>
      <c r="C27" s="3" t="s">
        <v>20</v>
      </c>
      <c r="D27">
        <v>5</v>
      </c>
      <c r="E27">
        <v>2</v>
      </c>
      <c r="F27" t="s">
        <v>12</v>
      </c>
      <c r="G27">
        <v>0</v>
      </c>
      <c r="H27">
        <v>2</v>
      </c>
      <c r="I27">
        <v>0</v>
      </c>
      <c r="J27">
        <v>2</v>
      </c>
      <c r="K27" t="str">
        <f t="shared" si="0"/>
        <v>Train</v>
      </c>
    </row>
    <row r="28" spans="1:11" x14ac:dyDescent="0.2">
      <c r="A28" t="s">
        <v>47</v>
      </c>
      <c r="B28" s="2">
        <v>40598</v>
      </c>
      <c r="C28" s="3" t="s">
        <v>22</v>
      </c>
      <c r="D28">
        <v>6</v>
      </c>
      <c r="E28">
        <v>2</v>
      </c>
      <c r="F28" t="s">
        <v>12</v>
      </c>
      <c r="G28">
        <v>0</v>
      </c>
      <c r="H28">
        <v>2</v>
      </c>
      <c r="I28">
        <v>0</v>
      </c>
      <c r="J28">
        <v>1</v>
      </c>
      <c r="K28" t="str">
        <f t="shared" si="0"/>
        <v>Train</v>
      </c>
    </row>
    <row r="29" spans="1:11" x14ac:dyDescent="0.2">
      <c r="A29" t="s">
        <v>48</v>
      </c>
      <c r="B29" s="2">
        <v>40599</v>
      </c>
      <c r="C29" s="3" t="s">
        <v>24</v>
      </c>
      <c r="D29">
        <v>7</v>
      </c>
      <c r="E29">
        <v>2</v>
      </c>
      <c r="F29" t="s">
        <v>12</v>
      </c>
      <c r="G29">
        <v>0</v>
      </c>
      <c r="H29">
        <v>4</v>
      </c>
      <c r="I29">
        <v>0</v>
      </c>
      <c r="J29">
        <v>0</v>
      </c>
      <c r="K29" t="str">
        <f t="shared" si="0"/>
        <v>Train</v>
      </c>
    </row>
    <row r="30" spans="1:11" x14ac:dyDescent="0.2">
      <c r="A30" t="s">
        <v>49</v>
      </c>
      <c r="B30" s="2">
        <v>40600</v>
      </c>
      <c r="C30" s="3" t="s">
        <v>11</v>
      </c>
      <c r="D30">
        <v>1</v>
      </c>
      <c r="E30">
        <v>2</v>
      </c>
      <c r="F30" t="s">
        <v>12</v>
      </c>
      <c r="G30">
        <v>0</v>
      </c>
      <c r="H30">
        <v>2</v>
      </c>
      <c r="I30">
        <v>1</v>
      </c>
      <c r="J30">
        <v>1</v>
      </c>
      <c r="K30" t="str">
        <f t="shared" si="0"/>
        <v>Train</v>
      </c>
    </row>
    <row r="31" spans="1:11" x14ac:dyDescent="0.2">
      <c r="A31" t="s">
        <v>50</v>
      </c>
      <c r="B31" s="2">
        <v>40601</v>
      </c>
      <c r="C31" s="3" t="s">
        <v>14</v>
      </c>
      <c r="D31">
        <v>2</v>
      </c>
      <c r="E31">
        <v>2</v>
      </c>
      <c r="F31" t="s">
        <v>12</v>
      </c>
      <c r="G31">
        <v>0</v>
      </c>
      <c r="H31">
        <v>2</v>
      </c>
      <c r="I31">
        <v>0</v>
      </c>
      <c r="J31">
        <v>0</v>
      </c>
      <c r="K31" t="str">
        <f t="shared" si="0"/>
        <v>Train</v>
      </c>
    </row>
    <row r="32" spans="1:11" x14ac:dyDescent="0.2">
      <c r="A32" t="s">
        <v>51</v>
      </c>
      <c r="B32" s="2">
        <v>40602</v>
      </c>
      <c r="C32" s="3" t="s">
        <v>16</v>
      </c>
      <c r="D32">
        <v>3</v>
      </c>
      <c r="E32">
        <v>2</v>
      </c>
      <c r="F32" t="s">
        <v>12</v>
      </c>
      <c r="G32">
        <v>0</v>
      </c>
      <c r="H32">
        <v>0</v>
      </c>
      <c r="I32">
        <v>0</v>
      </c>
      <c r="J32">
        <v>1</v>
      </c>
      <c r="K32" t="str">
        <f t="shared" si="0"/>
        <v>Train</v>
      </c>
    </row>
    <row r="33" spans="1:11" x14ac:dyDescent="0.2">
      <c r="A33" t="s">
        <v>52</v>
      </c>
      <c r="B33" s="2">
        <v>40603</v>
      </c>
      <c r="C33" s="3" t="s">
        <v>18</v>
      </c>
      <c r="D33">
        <v>4</v>
      </c>
      <c r="E33">
        <v>3</v>
      </c>
      <c r="F33" t="s">
        <v>12</v>
      </c>
      <c r="G33">
        <v>1</v>
      </c>
      <c r="H33">
        <v>2</v>
      </c>
      <c r="I33">
        <v>1</v>
      </c>
      <c r="J33">
        <v>0</v>
      </c>
      <c r="K33" t="str">
        <f t="shared" si="0"/>
        <v>Train</v>
      </c>
    </row>
    <row r="34" spans="1:11" x14ac:dyDescent="0.2">
      <c r="A34" t="s">
        <v>53</v>
      </c>
      <c r="B34" s="2">
        <v>40604</v>
      </c>
      <c r="C34" s="3" t="s">
        <v>20</v>
      </c>
      <c r="D34">
        <v>5</v>
      </c>
      <c r="E34">
        <v>3</v>
      </c>
      <c r="F34" t="s">
        <v>12</v>
      </c>
      <c r="G34">
        <v>1</v>
      </c>
      <c r="H34">
        <v>1</v>
      </c>
      <c r="I34">
        <v>1</v>
      </c>
      <c r="J34">
        <v>1</v>
      </c>
      <c r="K34" t="str">
        <f t="shared" si="0"/>
        <v>Train</v>
      </c>
    </row>
    <row r="35" spans="1:11" x14ac:dyDescent="0.2">
      <c r="A35" t="s">
        <v>54</v>
      </c>
      <c r="B35" s="2">
        <v>40605</v>
      </c>
      <c r="C35" s="3" t="s">
        <v>22</v>
      </c>
      <c r="D35">
        <v>6</v>
      </c>
      <c r="E35">
        <v>3</v>
      </c>
      <c r="F35" t="s">
        <v>12</v>
      </c>
      <c r="G35">
        <v>1</v>
      </c>
      <c r="H35">
        <v>7</v>
      </c>
      <c r="I35">
        <v>0</v>
      </c>
      <c r="J35">
        <v>1</v>
      </c>
      <c r="K35" t="str">
        <f t="shared" si="0"/>
        <v>Train</v>
      </c>
    </row>
    <row r="36" spans="1:11" x14ac:dyDescent="0.2">
      <c r="A36" t="s">
        <v>55</v>
      </c>
      <c r="B36" s="2">
        <v>40606</v>
      </c>
      <c r="C36" s="3" t="s">
        <v>24</v>
      </c>
      <c r="D36">
        <v>7</v>
      </c>
      <c r="E36">
        <v>3</v>
      </c>
      <c r="F36" t="s">
        <v>12</v>
      </c>
      <c r="G36">
        <v>1</v>
      </c>
      <c r="H36">
        <v>1</v>
      </c>
      <c r="I36">
        <v>1</v>
      </c>
      <c r="J36">
        <v>2</v>
      </c>
      <c r="K36" t="str">
        <f t="shared" si="0"/>
        <v>Train</v>
      </c>
    </row>
    <row r="37" spans="1:11" x14ac:dyDescent="0.2">
      <c r="A37" t="s">
        <v>56</v>
      </c>
      <c r="B37" s="2">
        <v>40607</v>
      </c>
      <c r="C37" s="3" t="s">
        <v>11</v>
      </c>
      <c r="D37">
        <v>1</v>
      </c>
      <c r="E37">
        <v>3</v>
      </c>
      <c r="F37" t="s">
        <v>12</v>
      </c>
      <c r="G37">
        <v>1</v>
      </c>
      <c r="H37">
        <v>2</v>
      </c>
      <c r="I37">
        <v>1</v>
      </c>
      <c r="J37">
        <v>3</v>
      </c>
      <c r="K37" t="str">
        <f t="shared" si="0"/>
        <v>Train</v>
      </c>
    </row>
    <row r="38" spans="1:11" x14ac:dyDescent="0.2">
      <c r="A38" t="s">
        <v>57</v>
      </c>
      <c r="B38" s="2">
        <v>40608</v>
      </c>
      <c r="C38" s="3" t="s">
        <v>14</v>
      </c>
      <c r="D38">
        <v>2</v>
      </c>
      <c r="E38">
        <v>3</v>
      </c>
      <c r="F38" t="s">
        <v>12</v>
      </c>
      <c r="G38">
        <v>1</v>
      </c>
      <c r="H38">
        <v>3</v>
      </c>
      <c r="I38">
        <v>3</v>
      </c>
      <c r="J38">
        <v>1</v>
      </c>
      <c r="K38" t="str">
        <f t="shared" si="0"/>
        <v>Train</v>
      </c>
    </row>
    <row r="39" spans="1:11" x14ac:dyDescent="0.2">
      <c r="A39" t="s">
        <v>58</v>
      </c>
      <c r="B39" s="2">
        <v>40609</v>
      </c>
      <c r="C39" s="3" t="s">
        <v>16</v>
      </c>
      <c r="D39">
        <v>3</v>
      </c>
      <c r="E39">
        <v>3</v>
      </c>
      <c r="F39" t="s">
        <v>12</v>
      </c>
      <c r="G39">
        <v>1</v>
      </c>
      <c r="H39">
        <v>0</v>
      </c>
      <c r="I39">
        <v>0</v>
      </c>
      <c r="J39">
        <v>0</v>
      </c>
      <c r="K39" t="str">
        <f t="shared" si="0"/>
        <v>Train</v>
      </c>
    </row>
    <row r="40" spans="1:11" x14ac:dyDescent="0.2">
      <c r="A40" t="s">
        <v>59</v>
      </c>
      <c r="B40" s="2">
        <v>40610</v>
      </c>
      <c r="C40" s="3" t="s">
        <v>18</v>
      </c>
      <c r="D40">
        <v>4</v>
      </c>
      <c r="E40">
        <v>3</v>
      </c>
      <c r="F40" t="s">
        <v>12</v>
      </c>
      <c r="G40">
        <v>1</v>
      </c>
      <c r="H40">
        <v>1</v>
      </c>
      <c r="I40">
        <v>0</v>
      </c>
      <c r="J40">
        <v>0</v>
      </c>
      <c r="K40" t="str">
        <f t="shared" si="0"/>
        <v>Train</v>
      </c>
    </row>
    <row r="41" spans="1:11" x14ac:dyDescent="0.2">
      <c r="A41" t="s">
        <v>60</v>
      </c>
      <c r="B41" s="2">
        <v>40611</v>
      </c>
      <c r="C41" s="3" t="s">
        <v>20</v>
      </c>
      <c r="D41">
        <v>5</v>
      </c>
      <c r="E41">
        <v>3</v>
      </c>
      <c r="F41" t="s">
        <v>61</v>
      </c>
      <c r="G41">
        <v>1</v>
      </c>
      <c r="H41">
        <v>2</v>
      </c>
      <c r="I41">
        <v>0</v>
      </c>
      <c r="J41">
        <v>0</v>
      </c>
      <c r="K41" t="str">
        <f t="shared" si="0"/>
        <v>Train</v>
      </c>
    </row>
    <row r="42" spans="1:11" x14ac:dyDescent="0.2">
      <c r="A42" t="s">
        <v>62</v>
      </c>
      <c r="B42" s="2">
        <v>40612</v>
      </c>
      <c r="C42" s="3" t="s">
        <v>22</v>
      </c>
      <c r="D42">
        <v>6</v>
      </c>
      <c r="E42">
        <v>3</v>
      </c>
      <c r="F42" t="s">
        <v>12</v>
      </c>
      <c r="G42">
        <v>1</v>
      </c>
      <c r="H42">
        <v>3</v>
      </c>
      <c r="I42">
        <v>0</v>
      </c>
      <c r="J42">
        <v>2</v>
      </c>
      <c r="K42" t="str">
        <f t="shared" si="0"/>
        <v>Train</v>
      </c>
    </row>
    <row r="43" spans="1:11" x14ac:dyDescent="0.2">
      <c r="A43" t="s">
        <v>63</v>
      </c>
      <c r="B43" s="2">
        <v>40613</v>
      </c>
      <c r="C43" s="3" t="s">
        <v>24</v>
      </c>
      <c r="D43">
        <v>7</v>
      </c>
      <c r="E43">
        <v>3</v>
      </c>
      <c r="F43" t="s">
        <v>12</v>
      </c>
      <c r="G43">
        <v>0</v>
      </c>
      <c r="H43">
        <v>0</v>
      </c>
      <c r="I43">
        <v>0</v>
      </c>
      <c r="J43">
        <v>0</v>
      </c>
      <c r="K43" t="str">
        <f t="shared" si="0"/>
        <v>Train</v>
      </c>
    </row>
    <row r="44" spans="1:11" x14ac:dyDescent="0.2">
      <c r="A44" t="s">
        <v>64</v>
      </c>
      <c r="B44" s="2">
        <v>40614</v>
      </c>
      <c r="C44" s="3" t="s">
        <v>11</v>
      </c>
      <c r="D44">
        <v>1</v>
      </c>
      <c r="E44">
        <v>3</v>
      </c>
      <c r="F44" t="s">
        <v>12</v>
      </c>
      <c r="G44">
        <v>0</v>
      </c>
      <c r="H44">
        <v>1</v>
      </c>
      <c r="I44">
        <v>0</v>
      </c>
      <c r="J44">
        <v>0</v>
      </c>
      <c r="K44" t="str">
        <f t="shared" si="0"/>
        <v>Train</v>
      </c>
    </row>
    <row r="45" spans="1:11" x14ac:dyDescent="0.2">
      <c r="A45" t="s">
        <v>65</v>
      </c>
      <c r="B45" s="2">
        <v>40615</v>
      </c>
      <c r="C45" s="3" t="s">
        <v>14</v>
      </c>
      <c r="D45">
        <v>2</v>
      </c>
      <c r="E45">
        <v>3</v>
      </c>
      <c r="F45" t="s">
        <v>12</v>
      </c>
      <c r="G45">
        <v>0</v>
      </c>
      <c r="H45">
        <v>5</v>
      </c>
      <c r="I45">
        <v>0</v>
      </c>
      <c r="J45">
        <v>0</v>
      </c>
      <c r="K45" t="str">
        <f t="shared" si="0"/>
        <v>Train</v>
      </c>
    </row>
    <row r="46" spans="1:11" x14ac:dyDescent="0.2">
      <c r="A46" t="s">
        <v>66</v>
      </c>
      <c r="B46" s="2">
        <v>40616</v>
      </c>
      <c r="C46" s="3" t="s">
        <v>16</v>
      </c>
      <c r="D46">
        <v>3</v>
      </c>
      <c r="E46">
        <v>3</v>
      </c>
      <c r="F46" t="s">
        <v>12</v>
      </c>
      <c r="G46">
        <v>0</v>
      </c>
      <c r="H46">
        <v>0</v>
      </c>
      <c r="I46">
        <v>0</v>
      </c>
      <c r="J46">
        <v>0</v>
      </c>
      <c r="K46" t="str">
        <f t="shared" si="0"/>
        <v>Train</v>
      </c>
    </row>
    <row r="47" spans="1:11" x14ac:dyDescent="0.2">
      <c r="A47" t="s">
        <v>67</v>
      </c>
      <c r="B47" s="2">
        <v>40617</v>
      </c>
      <c r="C47" s="3" t="s">
        <v>18</v>
      </c>
      <c r="D47">
        <v>4</v>
      </c>
      <c r="E47">
        <v>3</v>
      </c>
      <c r="F47" t="s">
        <v>12</v>
      </c>
      <c r="G47">
        <v>0</v>
      </c>
      <c r="H47">
        <v>0</v>
      </c>
      <c r="I47">
        <v>0</v>
      </c>
      <c r="J47">
        <v>2</v>
      </c>
      <c r="K47" t="str">
        <f t="shared" si="0"/>
        <v>Train</v>
      </c>
    </row>
    <row r="48" spans="1:11" x14ac:dyDescent="0.2">
      <c r="A48" t="s">
        <v>68</v>
      </c>
      <c r="B48" s="2">
        <v>40618</v>
      </c>
      <c r="C48" s="3" t="s">
        <v>20</v>
      </c>
      <c r="D48">
        <v>5</v>
      </c>
      <c r="E48">
        <v>3</v>
      </c>
      <c r="F48" t="s">
        <v>61</v>
      </c>
      <c r="G48">
        <v>0</v>
      </c>
      <c r="H48">
        <v>1</v>
      </c>
      <c r="I48">
        <v>0</v>
      </c>
      <c r="J48">
        <v>2</v>
      </c>
      <c r="K48" t="str">
        <f t="shared" si="0"/>
        <v>Train</v>
      </c>
    </row>
    <row r="49" spans="1:11" x14ac:dyDescent="0.2">
      <c r="A49" t="s">
        <v>69</v>
      </c>
      <c r="B49" s="2">
        <v>40619</v>
      </c>
      <c r="C49" s="3" t="s">
        <v>22</v>
      </c>
      <c r="D49">
        <v>6</v>
      </c>
      <c r="E49">
        <v>3</v>
      </c>
      <c r="F49" t="s">
        <v>36</v>
      </c>
      <c r="G49">
        <v>0</v>
      </c>
      <c r="H49">
        <v>0</v>
      </c>
      <c r="I49">
        <v>0</v>
      </c>
      <c r="J49">
        <v>1</v>
      </c>
      <c r="K49" t="str">
        <f t="shared" si="0"/>
        <v>Train</v>
      </c>
    </row>
    <row r="50" spans="1:11" x14ac:dyDescent="0.2">
      <c r="A50" t="s">
        <v>70</v>
      </c>
      <c r="B50" s="2">
        <v>40620</v>
      </c>
      <c r="C50" s="3" t="s">
        <v>24</v>
      </c>
      <c r="D50">
        <v>7</v>
      </c>
      <c r="E50">
        <v>3</v>
      </c>
      <c r="F50" t="s">
        <v>12</v>
      </c>
      <c r="G50">
        <v>0</v>
      </c>
      <c r="H50">
        <v>0</v>
      </c>
      <c r="I50">
        <v>2</v>
      </c>
      <c r="J50">
        <v>0</v>
      </c>
      <c r="K50" t="str">
        <f t="shared" si="0"/>
        <v>Train</v>
      </c>
    </row>
    <row r="51" spans="1:11" x14ac:dyDescent="0.2">
      <c r="A51" t="s">
        <v>71</v>
      </c>
      <c r="B51" s="2">
        <v>40621</v>
      </c>
      <c r="C51" s="3" t="s">
        <v>11</v>
      </c>
      <c r="D51">
        <v>1</v>
      </c>
      <c r="E51">
        <v>3</v>
      </c>
      <c r="F51" t="s">
        <v>12</v>
      </c>
      <c r="G51">
        <v>0</v>
      </c>
      <c r="H51">
        <v>1</v>
      </c>
      <c r="I51">
        <v>1</v>
      </c>
      <c r="J51">
        <v>3</v>
      </c>
      <c r="K51" t="str">
        <f t="shared" si="0"/>
        <v>Train</v>
      </c>
    </row>
    <row r="52" spans="1:11" x14ac:dyDescent="0.2">
      <c r="A52" t="s">
        <v>72</v>
      </c>
      <c r="B52" s="2">
        <v>40622</v>
      </c>
      <c r="C52" s="3" t="s">
        <v>14</v>
      </c>
      <c r="D52">
        <v>2</v>
      </c>
      <c r="E52">
        <v>3</v>
      </c>
      <c r="F52" t="s">
        <v>61</v>
      </c>
      <c r="G52">
        <v>0</v>
      </c>
      <c r="H52">
        <v>1</v>
      </c>
      <c r="I52">
        <v>0</v>
      </c>
      <c r="J52">
        <v>2</v>
      </c>
      <c r="K52" t="str">
        <f t="shared" si="0"/>
        <v>Train</v>
      </c>
    </row>
    <row r="53" spans="1:11" x14ac:dyDescent="0.2">
      <c r="A53" t="s">
        <v>73</v>
      </c>
      <c r="B53" s="2">
        <v>40623</v>
      </c>
      <c r="C53" s="3" t="s">
        <v>16</v>
      </c>
      <c r="D53">
        <v>3</v>
      </c>
      <c r="E53">
        <v>3</v>
      </c>
      <c r="F53" t="s">
        <v>12</v>
      </c>
      <c r="G53">
        <v>0</v>
      </c>
      <c r="H53">
        <v>1</v>
      </c>
      <c r="I53">
        <v>1</v>
      </c>
      <c r="J53">
        <v>1</v>
      </c>
      <c r="K53" t="str">
        <f t="shared" si="0"/>
        <v>Train</v>
      </c>
    </row>
    <row r="54" spans="1:11" x14ac:dyDescent="0.2">
      <c r="A54" t="s">
        <v>74</v>
      </c>
      <c r="B54" s="2">
        <v>40624</v>
      </c>
      <c r="C54" s="3" t="s">
        <v>18</v>
      </c>
      <c r="D54">
        <v>4</v>
      </c>
      <c r="E54">
        <v>3</v>
      </c>
      <c r="F54" t="s">
        <v>12</v>
      </c>
      <c r="G54">
        <v>0</v>
      </c>
      <c r="H54">
        <v>1</v>
      </c>
      <c r="I54">
        <v>0</v>
      </c>
      <c r="J54">
        <v>0</v>
      </c>
      <c r="K54" t="str">
        <f t="shared" si="0"/>
        <v>Train</v>
      </c>
    </row>
    <row r="55" spans="1:11" x14ac:dyDescent="0.2">
      <c r="A55" t="s">
        <v>75</v>
      </c>
      <c r="B55" s="2">
        <v>40625</v>
      </c>
      <c r="C55" s="3" t="s">
        <v>20</v>
      </c>
      <c r="D55">
        <v>5</v>
      </c>
      <c r="E55">
        <v>3</v>
      </c>
      <c r="F55" t="s">
        <v>12</v>
      </c>
      <c r="G55">
        <v>0</v>
      </c>
      <c r="H55">
        <v>1</v>
      </c>
      <c r="I55">
        <v>0</v>
      </c>
      <c r="J55">
        <v>0</v>
      </c>
      <c r="K55" t="str">
        <f t="shared" si="0"/>
        <v>Train</v>
      </c>
    </row>
    <row r="56" spans="1:11" x14ac:dyDescent="0.2">
      <c r="A56" t="s">
        <v>76</v>
      </c>
      <c r="B56" s="2">
        <v>40626</v>
      </c>
      <c r="C56" s="3" t="s">
        <v>22</v>
      </c>
      <c r="D56">
        <v>6</v>
      </c>
      <c r="E56">
        <v>3</v>
      </c>
      <c r="F56" t="s">
        <v>12</v>
      </c>
      <c r="G56">
        <v>0</v>
      </c>
      <c r="H56">
        <v>0</v>
      </c>
      <c r="I56">
        <v>0</v>
      </c>
      <c r="J56">
        <v>0</v>
      </c>
      <c r="K56" t="str">
        <f t="shared" si="0"/>
        <v>Train</v>
      </c>
    </row>
    <row r="57" spans="1:11" x14ac:dyDescent="0.2">
      <c r="A57" t="s">
        <v>77</v>
      </c>
      <c r="B57" s="2">
        <v>40627</v>
      </c>
      <c r="C57" s="3" t="s">
        <v>24</v>
      </c>
      <c r="D57">
        <v>7</v>
      </c>
      <c r="E57">
        <v>3</v>
      </c>
      <c r="F57" t="s">
        <v>12</v>
      </c>
      <c r="G57">
        <v>0</v>
      </c>
      <c r="H57">
        <v>1</v>
      </c>
      <c r="I57">
        <v>0</v>
      </c>
      <c r="J57">
        <v>1</v>
      </c>
      <c r="K57" t="str">
        <f t="shared" si="0"/>
        <v>Train</v>
      </c>
    </row>
    <row r="58" spans="1:11" x14ac:dyDescent="0.2">
      <c r="A58" t="s">
        <v>78</v>
      </c>
      <c r="B58" s="2">
        <v>40628</v>
      </c>
      <c r="C58" s="3" t="s">
        <v>11</v>
      </c>
      <c r="D58">
        <v>1</v>
      </c>
      <c r="E58">
        <v>3</v>
      </c>
      <c r="F58" t="s">
        <v>12</v>
      </c>
      <c r="G58">
        <v>0</v>
      </c>
      <c r="H58">
        <v>2</v>
      </c>
      <c r="I58">
        <v>0</v>
      </c>
      <c r="J58">
        <v>0</v>
      </c>
      <c r="K58" t="str">
        <f t="shared" si="0"/>
        <v>Train</v>
      </c>
    </row>
    <row r="59" spans="1:11" x14ac:dyDescent="0.2">
      <c r="A59" t="s">
        <v>79</v>
      </c>
      <c r="B59" s="2">
        <v>40629</v>
      </c>
      <c r="C59" s="3" t="s">
        <v>14</v>
      </c>
      <c r="D59">
        <v>2</v>
      </c>
      <c r="E59">
        <v>3</v>
      </c>
      <c r="F59" t="s">
        <v>12</v>
      </c>
      <c r="G59">
        <v>0</v>
      </c>
      <c r="H59">
        <v>2</v>
      </c>
      <c r="I59">
        <v>1</v>
      </c>
      <c r="J59">
        <v>3</v>
      </c>
      <c r="K59" t="str">
        <f t="shared" si="0"/>
        <v>Train</v>
      </c>
    </row>
    <row r="60" spans="1:11" x14ac:dyDescent="0.2">
      <c r="A60" t="s">
        <v>80</v>
      </c>
      <c r="B60" s="2">
        <v>40630</v>
      </c>
      <c r="C60" s="3" t="s">
        <v>16</v>
      </c>
      <c r="D60">
        <v>3</v>
      </c>
      <c r="E60">
        <v>3</v>
      </c>
      <c r="F60" t="s">
        <v>12</v>
      </c>
      <c r="G60">
        <v>0</v>
      </c>
      <c r="H60">
        <v>0</v>
      </c>
      <c r="I60">
        <v>2</v>
      </c>
      <c r="J60">
        <v>0</v>
      </c>
      <c r="K60" t="str">
        <f t="shared" si="0"/>
        <v>Train</v>
      </c>
    </row>
    <row r="61" spans="1:11" x14ac:dyDescent="0.2">
      <c r="A61" t="s">
        <v>81</v>
      </c>
      <c r="B61" s="2">
        <v>40631</v>
      </c>
      <c r="C61" s="3" t="s">
        <v>18</v>
      </c>
      <c r="D61">
        <v>4</v>
      </c>
      <c r="E61">
        <v>3</v>
      </c>
      <c r="F61" t="s">
        <v>12</v>
      </c>
      <c r="G61">
        <v>0</v>
      </c>
      <c r="H61">
        <v>1</v>
      </c>
      <c r="I61">
        <v>0</v>
      </c>
      <c r="J61">
        <v>2</v>
      </c>
      <c r="K61" t="str">
        <f t="shared" si="0"/>
        <v>Train</v>
      </c>
    </row>
    <row r="62" spans="1:11" x14ac:dyDescent="0.2">
      <c r="A62" t="s">
        <v>82</v>
      </c>
      <c r="B62" s="2">
        <v>40632</v>
      </c>
      <c r="C62" s="3" t="s">
        <v>20</v>
      </c>
      <c r="D62">
        <v>5</v>
      </c>
      <c r="E62">
        <v>3</v>
      </c>
      <c r="F62" t="s">
        <v>12</v>
      </c>
      <c r="G62">
        <v>0</v>
      </c>
      <c r="H62">
        <v>0</v>
      </c>
      <c r="I62">
        <v>0</v>
      </c>
      <c r="J62">
        <v>0</v>
      </c>
      <c r="K62" t="str">
        <f t="shared" si="0"/>
        <v>Train</v>
      </c>
    </row>
    <row r="63" spans="1:11" x14ac:dyDescent="0.2">
      <c r="A63" t="s">
        <v>83</v>
      </c>
      <c r="B63" s="2">
        <v>40633</v>
      </c>
      <c r="C63" s="3" t="s">
        <v>22</v>
      </c>
      <c r="D63">
        <v>6</v>
      </c>
      <c r="E63">
        <v>3</v>
      </c>
      <c r="F63" t="s">
        <v>12</v>
      </c>
      <c r="G63">
        <v>0</v>
      </c>
      <c r="H63">
        <v>0</v>
      </c>
      <c r="I63">
        <v>0</v>
      </c>
      <c r="J63">
        <v>2</v>
      </c>
      <c r="K63" t="str">
        <f t="shared" si="0"/>
        <v>Train</v>
      </c>
    </row>
    <row r="64" spans="1:11" x14ac:dyDescent="0.2">
      <c r="A64" t="s">
        <v>84</v>
      </c>
      <c r="B64" s="2">
        <v>40634</v>
      </c>
      <c r="C64" s="3" t="s">
        <v>24</v>
      </c>
      <c r="D64">
        <v>7</v>
      </c>
      <c r="E64">
        <v>4</v>
      </c>
      <c r="F64" t="s">
        <v>12</v>
      </c>
      <c r="G64">
        <v>1</v>
      </c>
      <c r="H64">
        <v>0</v>
      </c>
      <c r="I64">
        <v>0</v>
      </c>
      <c r="J64">
        <v>2</v>
      </c>
      <c r="K64" t="str">
        <f t="shared" si="0"/>
        <v>Train</v>
      </c>
    </row>
    <row r="65" spans="1:11" x14ac:dyDescent="0.2">
      <c r="A65" t="s">
        <v>85</v>
      </c>
      <c r="B65" s="2">
        <v>40635</v>
      </c>
      <c r="C65" s="3" t="s">
        <v>11</v>
      </c>
      <c r="D65">
        <v>1</v>
      </c>
      <c r="E65">
        <v>4</v>
      </c>
      <c r="F65" t="s">
        <v>12</v>
      </c>
      <c r="G65">
        <v>1</v>
      </c>
      <c r="H65">
        <v>0</v>
      </c>
      <c r="I65">
        <v>0</v>
      </c>
      <c r="J65">
        <v>1</v>
      </c>
      <c r="K65" t="str">
        <f t="shared" si="0"/>
        <v>Train</v>
      </c>
    </row>
    <row r="66" spans="1:11" x14ac:dyDescent="0.2">
      <c r="A66" t="s">
        <v>86</v>
      </c>
      <c r="B66" s="2">
        <v>40636</v>
      </c>
      <c r="C66" s="3" t="s">
        <v>14</v>
      </c>
      <c r="D66">
        <v>2</v>
      </c>
      <c r="E66">
        <v>4</v>
      </c>
      <c r="F66" t="s">
        <v>12</v>
      </c>
      <c r="G66">
        <v>1</v>
      </c>
      <c r="H66">
        <v>0</v>
      </c>
      <c r="I66">
        <v>1</v>
      </c>
      <c r="J66">
        <v>0</v>
      </c>
      <c r="K66" t="str">
        <f t="shared" ref="K66:K129" si="1">IF(ROW()-1&lt;=300,"Train","Validation")</f>
        <v>Train</v>
      </c>
    </row>
    <row r="67" spans="1:11" x14ac:dyDescent="0.2">
      <c r="A67" t="s">
        <v>87</v>
      </c>
      <c r="B67" s="2">
        <v>40637</v>
      </c>
      <c r="C67" s="3" t="s">
        <v>16</v>
      </c>
      <c r="D67">
        <v>3</v>
      </c>
      <c r="E67">
        <v>4</v>
      </c>
      <c r="F67" t="s">
        <v>12</v>
      </c>
      <c r="G67">
        <v>1</v>
      </c>
      <c r="H67">
        <v>4</v>
      </c>
      <c r="I67">
        <v>0</v>
      </c>
      <c r="J67">
        <v>1</v>
      </c>
      <c r="K67" t="str">
        <f t="shared" si="1"/>
        <v>Train</v>
      </c>
    </row>
    <row r="68" spans="1:11" x14ac:dyDescent="0.2">
      <c r="A68" t="s">
        <v>88</v>
      </c>
      <c r="B68" s="2">
        <v>40638</v>
      </c>
      <c r="C68" s="3" t="s">
        <v>18</v>
      </c>
      <c r="D68">
        <v>4</v>
      </c>
      <c r="E68">
        <v>4</v>
      </c>
      <c r="F68" t="s">
        <v>12</v>
      </c>
      <c r="G68">
        <v>1</v>
      </c>
      <c r="H68">
        <v>0</v>
      </c>
      <c r="I68">
        <v>0</v>
      </c>
      <c r="J68">
        <v>0</v>
      </c>
      <c r="K68" t="str">
        <f t="shared" si="1"/>
        <v>Train</v>
      </c>
    </row>
    <row r="69" spans="1:11" x14ac:dyDescent="0.2">
      <c r="A69" t="s">
        <v>89</v>
      </c>
      <c r="B69" s="2">
        <v>40639</v>
      </c>
      <c r="C69" s="3" t="s">
        <v>20</v>
      </c>
      <c r="D69">
        <v>5</v>
      </c>
      <c r="E69">
        <v>4</v>
      </c>
      <c r="F69" t="s">
        <v>12</v>
      </c>
      <c r="G69">
        <v>1</v>
      </c>
      <c r="H69">
        <v>1</v>
      </c>
      <c r="I69">
        <v>2</v>
      </c>
      <c r="J69">
        <v>0</v>
      </c>
      <c r="K69" t="str">
        <f t="shared" si="1"/>
        <v>Train</v>
      </c>
    </row>
    <row r="70" spans="1:11" x14ac:dyDescent="0.2">
      <c r="A70" t="s">
        <v>90</v>
      </c>
      <c r="B70" s="2">
        <v>40640</v>
      </c>
      <c r="C70" s="3" t="s">
        <v>22</v>
      </c>
      <c r="D70">
        <v>6</v>
      </c>
      <c r="E70">
        <v>4</v>
      </c>
      <c r="F70" t="s">
        <v>12</v>
      </c>
      <c r="G70">
        <v>1</v>
      </c>
      <c r="H70">
        <v>0</v>
      </c>
      <c r="I70">
        <v>0</v>
      </c>
      <c r="J70">
        <v>0</v>
      </c>
      <c r="K70" t="str">
        <f t="shared" si="1"/>
        <v>Train</v>
      </c>
    </row>
    <row r="71" spans="1:11" x14ac:dyDescent="0.2">
      <c r="A71" t="s">
        <v>91</v>
      </c>
      <c r="B71" s="2">
        <v>40641</v>
      </c>
      <c r="C71" s="3" t="s">
        <v>24</v>
      </c>
      <c r="D71">
        <v>7</v>
      </c>
      <c r="E71">
        <v>4</v>
      </c>
      <c r="F71" t="s">
        <v>12</v>
      </c>
      <c r="G71">
        <v>1</v>
      </c>
      <c r="H71">
        <v>1</v>
      </c>
      <c r="I71">
        <v>0</v>
      </c>
      <c r="J71">
        <v>0</v>
      </c>
      <c r="K71" t="str">
        <f t="shared" si="1"/>
        <v>Train</v>
      </c>
    </row>
    <row r="72" spans="1:11" x14ac:dyDescent="0.2">
      <c r="A72" t="s">
        <v>92</v>
      </c>
      <c r="B72" s="2">
        <v>40642</v>
      </c>
      <c r="C72" s="3" t="s">
        <v>11</v>
      </c>
      <c r="D72">
        <v>1</v>
      </c>
      <c r="E72">
        <v>4</v>
      </c>
      <c r="F72" t="s">
        <v>12</v>
      </c>
      <c r="G72">
        <v>1</v>
      </c>
      <c r="H72">
        <v>0</v>
      </c>
      <c r="I72">
        <v>1</v>
      </c>
      <c r="J72">
        <v>2</v>
      </c>
      <c r="K72" t="str">
        <f t="shared" si="1"/>
        <v>Train</v>
      </c>
    </row>
    <row r="73" spans="1:11" x14ac:dyDescent="0.2">
      <c r="A73" t="s">
        <v>93</v>
      </c>
      <c r="B73" s="2">
        <v>40643</v>
      </c>
      <c r="C73" s="3" t="s">
        <v>14</v>
      </c>
      <c r="D73">
        <v>2</v>
      </c>
      <c r="E73">
        <v>4</v>
      </c>
      <c r="F73" t="s">
        <v>12</v>
      </c>
      <c r="G73">
        <v>1</v>
      </c>
      <c r="H73">
        <v>2</v>
      </c>
      <c r="I73">
        <v>0</v>
      </c>
      <c r="J73">
        <v>3</v>
      </c>
      <c r="K73" t="str">
        <f t="shared" si="1"/>
        <v>Train</v>
      </c>
    </row>
    <row r="74" spans="1:11" x14ac:dyDescent="0.2">
      <c r="A74" t="s">
        <v>94</v>
      </c>
      <c r="B74" s="2">
        <v>40644</v>
      </c>
      <c r="C74" s="3" t="s">
        <v>16</v>
      </c>
      <c r="D74">
        <v>3</v>
      </c>
      <c r="E74">
        <v>4</v>
      </c>
      <c r="F74" t="s">
        <v>12</v>
      </c>
      <c r="G74">
        <v>0</v>
      </c>
      <c r="H74">
        <v>2</v>
      </c>
      <c r="I74">
        <v>0</v>
      </c>
      <c r="J74">
        <v>1</v>
      </c>
      <c r="K74" t="str">
        <f t="shared" si="1"/>
        <v>Train</v>
      </c>
    </row>
    <row r="75" spans="1:11" x14ac:dyDescent="0.2">
      <c r="A75" t="s">
        <v>95</v>
      </c>
      <c r="B75" s="2">
        <v>40645</v>
      </c>
      <c r="C75" s="3" t="s">
        <v>18</v>
      </c>
      <c r="D75">
        <v>4</v>
      </c>
      <c r="E75">
        <v>4</v>
      </c>
      <c r="F75" t="s">
        <v>12</v>
      </c>
      <c r="G75">
        <v>0</v>
      </c>
      <c r="H75">
        <v>1</v>
      </c>
      <c r="I75">
        <v>0</v>
      </c>
      <c r="J75">
        <v>1</v>
      </c>
      <c r="K75" t="str">
        <f t="shared" si="1"/>
        <v>Train</v>
      </c>
    </row>
    <row r="76" spans="1:11" x14ac:dyDescent="0.2">
      <c r="A76" t="s">
        <v>96</v>
      </c>
      <c r="B76" s="2">
        <v>40646</v>
      </c>
      <c r="C76" s="3" t="s">
        <v>20</v>
      </c>
      <c r="D76">
        <v>5</v>
      </c>
      <c r="E76">
        <v>4</v>
      </c>
      <c r="F76" t="s">
        <v>12</v>
      </c>
      <c r="G76">
        <v>0</v>
      </c>
      <c r="H76">
        <v>1</v>
      </c>
      <c r="I76">
        <v>0</v>
      </c>
      <c r="J76">
        <v>0</v>
      </c>
      <c r="K76" t="str">
        <f t="shared" si="1"/>
        <v>Train</v>
      </c>
    </row>
    <row r="77" spans="1:11" x14ac:dyDescent="0.2">
      <c r="A77" t="s">
        <v>97</v>
      </c>
      <c r="B77" s="2">
        <v>40647</v>
      </c>
      <c r="C77" s="3" t="s">
        <v>22</v>
      </c>
      <c r="D77">
        <v>6</v>
      </c>
      <c r="E77">
        <v>4</v>
      </c>
      <c r="F77" t="s">
        <v>12</v>
      </c>
      <c r="G77">
        <v>0</v>
      </c>
      <c r="H77">
        <v>0</v>
      </c>
      <c r="I77">
        <v>0</v>
      </c>
      <c r="J77">
        <v>0</v>
      </c>
      <c r="K77" t="str">
        <f t="shared" si="1"/>
        <v>Train</v>
      </c>
    </row>
    <row r="78" spans="1:11" x14ac:dyDescent="0.2">
      <c r="A78" t="s">
        <v>98</v>
      </c>
      <c r="B78" s="2">
        <v>40648</v>
      </c>
      <c r="C78" s="3" t="s">
        <v>24</v>
      </c>
      <c r="D78">
        <v>7</v>
      </c>
      <c r="E78">
        <v>4</v>
      </c>
      <c r="F78" t="s">
        <v>12</v>
      </c>
      <c r="G78">
        <v>0</v>
      </c>
      <c r="H78">
        <v>2</v>
      </c>
      <c r="I78">
        <v>4</v>
      </c>
      <c r="J78">
        <v>3</v>
      </c>
      <c r="K78" t="str">
        <f t="shared" si="1"/>
        <v>Train</v>
      </c>
    </row>
    <row r="79" spans="1:11" x14ac:dyDescent="0.2">
      <c r="A79" t="s">
        <v>99</v>
      </c>
      <c r="B79" s="2">
        <v>40649</v>
      </c>
      <c r="C79" s="3" t="s">
        <v>11</v>
      </c>
      <c r="D79">
        <v>1</v>
      </c>
      <c r="E79">
        <v>4</v>
      </c>
      <c r="F79" t="s">
        <v>12</v>
      </c>
      <c r="G79">
        <v>0</v>
      </c>
      <c r="H79">
        <v>1</v>
      </c>
      <c r="I79">
        <v>0</v>
      </c>
      <c r="J79">
        <v>2</v>
      </c>
      <c r="K79" t="str">
        <f t="shared" si="1"/>
        <v>Train</v>
      </c>
    </row>
    <row r="80" spans="1:11" x14ac:dyDescent="0.2">
      <c r="A80" t="s">
        <v>100</v>
      </c>
      <c r="B80" s="2">
        <v>40650</v>
      </c>
      <c r="C80" s="3" t="s">
        <v>14</v>
      </c>
      <c r="D80">
        <v>2</v>
      </c>
      <c r="E80">
        <v>4</v>
      </c>
      <c r="F80" t="s">
        <v>12</v>
      </c>
      <c r="G80">
        <v>0</v>
      </c>
      <c r="H80">
        <v>2</v>
      </c>
      <c r="I80">
        <v>0</v>
      </c>
      <c r="J80">
        <v>2</v>
      </c>
      <c r="K80" t="str">
        <f t="shared" si="1"/>
        <v>Train</v>
      </c>
    </row>
    <row r="81" spans="1:11" x14ac:dyDescent="0.2">
      <c r="A81" t="s">
        <v>101</v>
      </c>
      <c r="B81" s="2">
        <v>40651</v>
      </c>
      <c r="C81" s="3" t="s">
        <v>16</v>
      </c>
      <c r="D81">
        <v>3</v>
      </c>
      <c r="E81">
        <v>4</v>
      </c>
      <c r="F81" t="s">
        <v>12</v>
      </c>
      <c r="G81">
        <v>0</v>
      </c>
      <c r="H81">
        <v>0</v>
      </c>
      <c r="I81">
        <v>0</v>
      </c>
      <c r="J81">
        <v>0</v>
      </c>
      <c r="K81" t="str">
        <f t="shared" si="1"/>
        <v>Train</v>
      </c>
    </row>
    <row r="82" spans="1:11" x14ac:dyDescent="0.2">
      <c r="A82" t="s">
        <v>102</v>
      </c>
      <c r="B82" s="2">
        <v>40652</v>
      </c>
      <c r="C82" s="3" t="s">
        <v>18</v>
      </c>
      <c r="D82">
        <v>4</v>
      </c>
      <c r="E82">
        <v>4</v>
      </c>
      <c r="F82" t="s">
        <v>12</v>
      </c>
      <c r="G82">
        <v>0</v>
      </c>
      <c r="H82">
        <v>2</v>
      </c>
      <c r="I82">
        <v>0</v>
      </c>
      <c r="J82">
        <v>1</v>
      </c>
      <c r="K82" t="str">
        <f t="shared" si="1"/>
        <v>Train</v>
      </c>
    </row>
    <row r="83" spans="1:11" x14ac:dyDescent="0.2">
      <c r="A83" t="s">
        <v>103</v>
      </c>
      <c r="B83" s="2">
        <v>40653</v>
      </c>
      <c r="C83" s="3" t="s">
        <v>20</v>
      </c>
      <c r="D83">
        <v>5</v>
      </c>
      <c r="E83">
        <v>4</v>
      </c>
      <c r="F83" t="s">
        <v>12</v>
      </c>
      <c r="G83">
        <v>0</v>
      </c>
      <c r="H83">
        <v>0</v>
      </c>
      <c r="I83">
        <v>3</v>
      </c>
      <c r="J83">
        <v>0</v>
      </c>
      <c r="K83" t="str">
        <f t="shared" si="1"/>
        <v>Train</v>
      </c>
    </row>
    <row r="84" spans="1:11" x14ac:dyDescent="0.2">
      <c r="A84" t="s">
        <v>104</v>
      </c>
      <c r="B84" s="2">
        <v>40654</v>
      </c>
      <c r="C84" s="3" t="s">
        <v>22</v>
      </c>
      <c r="D84">
        <v>6</v>
      </c>
      <c r="E84">
        <v>4</v>
      </c>
      <c r="F84" t="s">
        <v>12</v>
      </c>
      <c r="G84">
        <v>0</v>
      </c>
      <c r="H84">
        <v>0</v>
      </c>
      <c r="I84">
        <v>0</v>
      </c>
      <c r="J84">
        <v>3</v>
      </c>
      <c r="K84" t="str">
        <f t="shared" si="1"/>
        <v>Train</v>
      </c>
    </row>
    <row r="85" spans="1:11" x14ac:dyDescent="0.2">
      <c r="A85" t="s">
        <v>105</v>
      </c>
      <c r="B85" s="2">
        <v>40655</v>
      </c>
      <c r="C85" s="3" t="s">
        <v>24</v>
      </c>
      <c r="D85">
        <v>7</v>
      </c>
      <c r="E85">
        <v>4</v>
      </c>
      <c r="F85" t="s">
        <v>12</v>
      </c>
      <c r="G85">
        <v>0</v>
      </c>
      <c r="H85">
        <v>0</v>
      </c>
      <c r="I85">
        <v>1</v>
      </c>
      <c r="J85">
        <v>1</v>
      </c>
      <c r="K85" t="str">
        <f t="shared" si="1"/>
        <v>Train</v>
      </c>
    </row>
    <row r="86" spans="1:11" x14ac:dyDescent="0.2">
      <c r="A86" t="s">
        <v>106</v>
      </c>
      <c r="B86" s="2">
        <v>40656</v>
      </c>
      <c r="C86" s="3" t="s">
        <v>11</v>
      </c>
      <c r="D86">
        <v>1</v>
      </c>
      <c r="E86">
        <v>4</v>
      </c>
      <c r="F86" t="s">
        <v>12</v>
      </c>
      <c r="G86">
        <v>0</v>
      </c>
      <c r="H86">
        <v>1</v>
      </c>
      <c r="I86">
        <v>0</v>
      </c>
      <c r="J86">
        <v>0</v>
      </c>
      <c r="K86" t="str">
        <f t="shared" si="1"/>
        <v>Train</v>
      </c>
    </row>
    <row r="87" spans="1:11" x14ac:dyDescent="0.2">
      <c r="A87" t="s">
        <v>107</v>
      </c>
      <c r="B87" s="2">
        <v>40657</v>
      </c>
      <c r="C87" s="3" t="s">
        <v>14</v>
      </c>
      <c r="D87">
        <v>2</v>
      </c>
      <c r="E87">
        <v>4</v>
      </c>
      <c r="F87" t="s">
        <v>61</v>
      </c>
      <c r="G87">
        <v>0</v>
      </c>
      <c r="H87">
        <v>0</v>
      </c>
      <c r="I87">
        <v>1</v>
      </c>
      <c r="J87">
        <v>0</v>
      </c>
      <c r="K87" t="str">
        <f t="shared" si="1"/>
        <v>Train</v>
      </c>
    </row>
    <row r="88" spans="1:11" x14ac:dyDescent="0.2">
      <c r="A88" t="s">
        <v>108</v>
      </c>
      <c r="B88" s="2">
        <v>40658</v>
      </c>
      <c r="C88" s="3" t="s">
        <v>16</v>
      </c>
      <c r="D88">
        <v>3</v>
      </c>
      <c r="E88">
        <v>4</v>
      </c>
      <c r="F88" t="s">
        <v>12</v>
      </c>
      <c r="G88">
        <v>0</v>
      </c>
      <c r="H88">
        <v>0</v>
      </c>
      <c r="I88">
        <v>1</v>
      </c>
      <c r="J88">
        <v>0</v>
      </c>
      <c r="K88" t="str">
        <f t="shared" si="1"/>
        <v>Train</v>
      </c>
    </row>
    <row r="89" spans="1:11" x14ac:dyDescent="0.2">
      <c r="A89" t="s">
        <v>109</v>
      </c>
      <c r="B89" s="2">
        <v>40659</v>
      </c>
      <c r="C89" s="3" t="s">
        <v>18</v>
      </c>
      <c r="D89">
        <v>4</v>
      </c>
      <c r="E89">
        <v>4</v>
      </c>
      <c r="F89" t="s">
        <v>61</v>
      </c>
      <c r="G89">
        <v>0</v>
      </c>
      <c r="H89">
        <v>0</v>
      </c>
      <c r="I89">
        <v>1</v>
      </c>
      <c r="J89">
        <v>2</v>
      </c>
      <c r="K89" t="str">
        <f t="shared" si="1"/>
        <v>Train</v>
      </c>
    </row>
    <row r="90" spans="1:11" x14ac:dyDescent="0.2">
      <c r="A90" t="s">
        <v>110</v>
      </c>
      <c r="B90" s="2">
        <v>40660</v>
      </c>
      <c r="C90" s="3" t="s">
        <v>20</v>
      </c>
      <c r="D90">
        <v>5</v>
      </c>
      <c r="E90">
        <v>4</v>
      </c>
      <c r="F90" t="s">
        <v>12</v>
      </c>
      <c r="G90">
        <v>0</v>
      </c>
      <c r="H90">
        <v>0</v>
      </c>
      <c r="I90">
        <v>1</v>
      </c>
      <c r="J90">
        <v>0</v>
      </c>
      <c r="K90" t="str">
        <f t="shared" si="1"/>
        <v>Train</v>
      </c>
    </row>
    <row r="91" spans="1:11" x14ac:dyDescent="0.2">
      <c r="A91" t="s">
        <v>111</v>
      </c>
      <c r="B91" s="2">
        <v>40661</v>
      </c>
      <c r="C91" s="3" t="s">
        <v>22</v>
      </c>
      <c r="D91">
        <v>6</v>
      </c>
      <c r="E91">
        <v>4</v>
      </c>
      <c r="F91" t="s">
        <v>12</v>
      </c>
      <c r="G91">
        <v>0</v>
      </c>
      <c r="H91">
        <v>0</v>
      </c>
      <c r="I91">
        <v>1</v>
      </c>
      <c r="J91">
        <v>2</v>
      </c>
      <c r="K91" t="str">
        <f t="shared" si="1"/>
        <v>Train</v>
      </c>
    </row>
    <row r="92" spans="1:11" x14ac:dyDescent="0.2">
      <c r="A92" t="s">
        <v>112</v>
      </c>
      <c r="B92" s="2">
        <v>40662</v>
      </c>
      <c r="C92" s="3" t="s">
        <v>24</v>
      </c>
      <c r="D92">
        <v>7</v>
      </c>
      <c r="E92">
        <v>4</v>
      </c>
      <c r="F92" t="s">
        <v>12</v>
      </c>
      <c r="G92">
        <v>0</v>
      </c>
      <c r="H92">
        <v>0</v>
      </c>
      <c r="I92">
        <v>1</v>
      </c>
      <c r="J92">
        <v>1</v>
      </c>
      <c r="K92" t="str">
        <f t="shared" si="1"/>
        <v>Train</v>
      </c>
    </row>
    <row r="93" spans="1:11" x14ac:dyDescent="0.2">
      <c r="A93" t="s">
        <v>113</v>
      </c>
      <c r="B93" s="2">
        <v>40663</v>
      </c>
      <c r="C93" s="3" t="s">
        <v>11</v>
      </c>
      <c r="D93">
        <v>1</v>
      </c>
      <c r="E93">
        <v>4</v>
      </c>
      <c r="F93" t="s">
        <v>12</v>
      </c>
      <c r="G93">
        <v>0</v>
      </c>
      <c r="H93">
        <v>3</v>
      </c>
      <c r="I93">
        <v>3</v>
      </c>
      <c r="J93">
        <v>1</v>
      </c>
      <c r="K93" t="str">
        <f t="shared" si="1"/>
        <v>Train</v>
      </c>
    </row>
    <row r="94" spans="1:11" x14ac:dyDescent="0.2">
      <c r="A94" t="s">
        <v>114</v>
      </c>
      <c r="B94" s="2">
        <v>40664</v>
      </c>
      <c r="C94" s="3" t="s">
        <v>14</v>
      </c>
      <c r="D94">
        <v>2</v>
      </c>
      <c r="E94">
        <v>5</v>
      </c>
      <c r="F94" t="s">
        <v>12</v>
      </c>
      <c r="G94">
        <v>1</v>
      </c>
      <c r="H94">
        <v>2</v>
      </c>
      <c r="I94">
        <v>0</v>
      </c>
      <c r="J94">
        <v>1</v>
      </c>
      <c r="K94" t="str">
        <f t="shared" si="1"/>
        <v>Train</v>
      </c>
    </row>
    <row r="95" spans="1:11" x14ac:dyDescent="0.2">
      <c r="A95" t="s">
        <v>115</v>
      </c>
      <c r="B95" s="2">
        <v>40665</v>
      </c>
      <c r="C95" s="3" t="s">
        <v>16</v>
      </c>
      <c r="D95">
        <v>3</v>
      </c>
      <c r="E95">
        <v>5</v>
      </c>
      <c r="F95" t="s">
        <v>12</v>
      </c>
      <c r="G95">
        <v>1</v>
      </c>
      <c r="H95">
        <v>7</v>
      </c>
      <c r="I95">
        <v>2</v>
      </c>
      <c r="J95">
        <v>3</v>
      </c>
      <c r="K95" t="str">
        <f t="shared" si="1"/>
        <v>Train</v>
      </c>
    </row>
    <row r="96" spans="1:11" x14ac:dyDescent="0.2">
      <c r="A96" t="s">
        <v>116</v>
      </c>
      <c r="B96" s="2">
        <v>40666</v>
      </c>
      <c r="C96" s="3" t="s">
        <v>18</v>
      </c>
      <c r="D96">
        <v>4</v>
      </c>
      <c r="E96">
        <v>5</v>
      </c>
      <c r="F96" t="s">
        <v>12</v>
      </c>
      <c r="G96">
        <v>1</v>
      </c>
      <c r="H96">
        <v>1</v>
      </c>
      <c r="I96">
        <v>1</v>
      </c>
      <c r="J96">
        <v>4</v>
      </c>
      <c r="K96" t="str">
        <f t="shared" si="1"/>
        <v>Train</v>
      </c>
    </row>
    <row r="97" spans="1:11" x14ac:dyDescent="0.2">
      <c r="A97" t="s">
        <v>117</v>
      </c>
      <c r="B97" s="2">
        <v>40667</v>
      </c>
      <c r="C97" s="3" t="s">
        <v>20</v>
      </c>
      <c r="D97">
        <v>5</v>
      </c>
      <c r="E97">
        <v>5</v>
      </c>
      <c r="F97" t="s">
        <v>12</v>
      </c>
      <c r="G97">
        <v>1</v>
      </c>
      <c r="H97">
        <v>0</v>
      </c>
      <c r="I97">
        <v>1</v>
      </c>
      <c r="J97">
        <v>0</v>
      </c>
      <c r="K97" t="str">
        <f t="shared" si="1"/>
        <v>Train</v>
      </c>
    </row>
    <row r="98" spans="1:11" x14ac:dyDescent="0.2">
      <c r="A98" t="s">
        <v>118</v>
      </c>
      <c r="B98" s="2">
        <v>40668</v>
      </c>
      <c r="C98" s="3" t="s">
        <v>22</v>
      </c>
      <c r="D98">
        <v>6</v>
      </c>
      <c r="E98">
        <v>5</v>
      </c>
      <c r="F98" t="s">
        <v>36</v>
      </c>
      <c r="G98">
        <v>1</v>
      </c>
      <c r="H98">
        <v>0</v>
      </c>
      <c r="I98">
        <v>0</v>
      </c>
      <c r="J98">
        <v>3</v>
      </c>
      <c r="K98" t="str">
        <f t="shared" si="1"/>
        <v>Train</v>
      </c>
    </row>
    <row r="99" spans="1:11" x14ac:dyDescent="0.2">
      <c r="A99" t="s">
        <v>119</v>
      </c>
      <c r="B99" s="2">
        <v>40669</v>
      </c>
      <c r="C99" s="3" t="s">
        <v>24</v>
      </c>
      <c r="D99">
        <v>7</v>
      </c>
      <c r="E99">
        <v>5</v>
      </c>
      <c r="F99" t="s">
        <v>12</v>
      </c>
      <c r="G99">
        <v>1</v>
      </c>
      <c r="H99">
        <v>9</v>
      </c>
      <c r="I99">
        <v>1</v>
      </c>
      <c r="J99">
        <v>7</v>
      </c>
      <c r="K99" t="str">
        <f t="shared" si="1"/>
        <v>Train</v>
      </c>
    </row>
    <row r="100" spans="1:11" x14ac:dyDescent="0.2">
      <c r="A100" t="s">
        <v>120</v>
      </c>
      <c r="B100" s="2">
        <v>40670</v>
      </c>
      <c r="C100" s="3" t="s">
        <v>11</v>
      </c>
      <c r="D100">
        <v>1</v>
      </c>
      <c r="E100">
        <v>5</v>
      </c>
      <c r="F100" t="s">
        <v>12</v>
      </c>
      <c r="G100">
        <v>1</v>
      </c>
      <c r="H100">
        <v>0</v>
      </c>
      <c r="I100">
        <v>3</v>
      </c>
      <c r="J100">
        <v>2</v>
      </c>
      <c r="K100" t="str">
        <f t="shared" si="1"/>
        <v>Train</v>
      </c>
    </row>
    <row r="101" spans="1:11" x14ac:dyDescent="0.2">
      <c r="A101" t="s">
        <v>121</v>
      </c>
      <c r="B101" s="2">
        <v>40671</v>
      </c>
      <c r="C101" s="3" t="s">
        <v>14</v>
      </c>
      <c r="D101">
        <v>2</v>
      </c>
      <c r="E101">
        <v>5</v>
      </c>
      <c r="F101" t="s">
        <v>36</v>
      </c>
      <c r="G101">
        <v>1</v>
      </c>
      <c r="H101">
        <v>0</v>
      </c>
      <c r="I101">
        <v>1</v>
      </c>
      <c r="J101">
        <v>0</v>
      </c>
      <c r="K101" t="str">
        <f t="shared" si="1"/>
        <v>Train</v>
      </c>
    </row>
    <row r="102" spans="1:11" x14ac:dyDescent="0.2">
      <c r="A102" t="s">
        <v>122</v>
      </c>
      <c r="B102" s="2">
        <v>40672</v>
      </c>
      <c r="C102" s="3" t="s">
        <v>16</v>
      </c>
      <c r="D102">
        <v>3</v>
      </c>
      <c r="E102">
        <v>5</v>
      </c>
      <c r="F102" t="s">
        <v>12</v>
      </c>
      <c r="G102">
        <v>1</v>
      </c>
      <c r="H102">
        <v>0</v>
      </c>
      <c r="I102">
        <v>2</v>
      </c>
      <c r="J102">
        <v>0</v>
      </c>
      <c r="K102" t="str">
        <f t="shared" si="1"/>
        <v>Train</v>
      </c>
    </row>
    <row r="103" spans="1:11" x14ac:dyDescent="0.2">
      <c r="A103" t="s">
        <v>123</v>
      </c>
      <c r="B103" s="2">
        <v>40673</v>
      </c>
      <c r="C103" s="3" t="s">
        <v>18</v>
      </c>
      <c r="D103">
        <v>4</v>
      </c>
      <c r="E103">
        <v>5</v>
      </c>
      <c r="F103" t="s">
        <v>12</v>
      </c>
      <c r="G103">
        <v>1</v>
      </c>
      <c r="H103">
        <v>1</v>
      </c>
      <c r="I103">
        <v>0</v>
      </c>
      <c r="J103">
        <v>0</v>
      </c>
      <c r="K103" t="str">
        <f t="shared" si="1"/>
        <v>Train</v>
      </c>
    </row>
    <row r="104" spans="1:11" x14ac:dyDescent="0.2">
      <c r="A104" t="s">
        <v>124</v>
      </c>
      <c r="B104" s="2">
        <v>40674</v>
      </c>
      <c r="C104" s="3" t="s">
        <v>20</v>
      </c>
      <c r="D104">
        <v>5</v>
      </c>
      <c r="E104">
        <v>5</v>
      </c>
      <c r="F104" t="s">
        <v>12</v>
      </c>
      <c r="G104">
        <v>0</v>
      </c>
      <c r="H104">
        <v>2</v>
      </c>
      <c r="I104">
        <v>0</v>
      </c>
      <c r="J104">
        <v>0</v>
      </c>
      <c r="K104" t="str">
        <f t="shared" si="1"/>
        <v>Train</v>
      </c>
    </row>
    <row r="105" spans="1:11" x14ac:dyDescent="0.2">
      <c r="A105" t="s">
        <v>125</v>
      </c>
      <c r="B105" s="2">
        <v>40675</v>
      </c>
      <c r="C105" s="3" t="s">
        <v>22</v>
      </c>
      <c r="D105">
        <v>6</v>
      </c>
      <c r="E105">
        <v>5</v>
      </c>
      <c r="F105" t="s">
        <v>12</v>
      </c>
      <c r="G105">
        <v>0</v>
      </c>
      <c r="H105">
        <v>0</v>
      </c>
      <c r="I105">
        <v>0</v>
      </c>
      <c r="J105">
        <v>0</v>
      </c>
      <c r="K105" t="str">
        <f t="shared" si="1"/>
        <v>Train</v>
      </c>
    </row>
    <row r="106" spans="1:11" x14ac:dyDescent="0.2">
      <c r="A106" t="s">
        <v>126</v>
      </c>
      <c r="B106" s="2">
        <v>40676</v>
      </c>
      <c r="C106" s="3" t="s">
        <v>24</v>
      </c>
      <c r="D106">
        <v>7</v>
      </c>
      <c r="E106">
        <v>5</v>
      </c>
      <c r="F106" t="s">
        <v>12</v>
      </c>
      <c r="G106">
        <v>0</v>
      </c>
      <c r="H106">
        <v>1</v>
      </c>
      <c r="I106">
        <v>0</v>
      </c>
      <c r="J106">
        <v>0</v>
      </c>
      <c r="K106" t="str">
        <f t="shared" si="1"/>
        <v>Train</v>
      </c>
    </row>
    <row r="107" spans="1:11" x14ac:dyDescent="0.2">
      <c r="A107" t="s">
        <v>127</v>
      </c>
      <c r="B107" s="2">
        <v>40677</v>
      </c>
      <c r="C107" s="3" t="s">
        <v>11</v>
      </c>
      <c r="D107">
        <v>1</v>
      </c>
      <c r="E107">
        <v>5</v>
      </c>
      <c r="F107" t="s">
        <v>12</v>
      </c>
      <c r="G107">
        <v>0</v>
      </c>
      <c r="H107">
        <v>3</v>
      </c>
      <c r="I107">
        <v>2</v>
      </c>
      <c r="J107">
        <v>2</v>
      </c>
      <c r="K107" t="str">
        <f t="shared" si="1"/>
        <v>Train</v>
      </c>
    </row>
    <row r="108" spans="1:11" x14ac:dyDescent="0.2">
      <c r="A108" t="s">
        <v>128</v>
      </c>
      <c r="B108" s="2">
        <v>40678</v>
      </c>
      <c r="C108" s="3" t="s">
        <v>14</v>
      </c>
      <c r="D108">
        <v>2</v>
      </c>
      <c r="E108">
        <v>5</v>
      </c>
      <c r="F108" t="s">
        <v>12</v>
      </c>
      <c r="G108">
        <v>0</v>
      </c>
      <c r="H108">
        <v>1</v>
      </c>
      <c r="I108">
        <v>1</v>
      </c>
      <c r="J108">
        <v>1</v>
      </c>
      <c r="K108" t="str">
        <f t="shared" si="1"/>
        <v>Train</v>
      </c>
    </row>
    <row r="109" spans="1:11" x14ac:dyDescent="0.2">
      <c r="A109" t="s">
        <v>129</v>
      </c>
      <c r="B109" s="2">
        <v>40679</v>
      </c>
      <c r="C109" s="3" t="s">
        <v>16</v>
      </c>
      <c r="D109">
        <v>3</v>
      </c>
      <c r="E109">
        <v>5</v>
      </c>
      <c r="F109" t="s">
        <v>12</v>
      </c>
      <c r="G109">
        <v>0</v>
      </c>
      <c r="H109">
        <v>3</v>
      </c>
      <c r="I109">
        <v>0</v>
      </c>
      <c r="J109">
        <v>2</v>
      </c>
      <c r="K109" t="str">
        <f t="shared" si="1"/>
        <v>Train</v>
      </c>
    </row>
    <row r="110" spans="1:11" x14ac:dyDescent="0.2">
      <c r="A110" t="s">
        <v>130</v>
      </c>
      <c r="B110" s="2">
        <v>40680</v>
      </c>
      <c r="C110" s="3" t="s">
        <v>18</v>
      </c>
      <c r="D110">
        <v>4</v>
      </c>
      <c r="E110">
        <v>5</v>
      </c>
      <c r="F110" t="s">
        <v>12</v>
      </c>
      <c r="G110">
        <v>0</v>
      </c>
      <c r="H110">
        <v>0</v>
      </c>
      <c r="I110">
        <v>0</v>
      </c>
      <c r="J110">
        <v>4</v>
      </c>
      <c r="K110" t="str">
        <f t="shared" si="1"/>
        <v>Train</v>
      </c>
    </row>
    <row r="111" spans="1:11" x14ac:dyDescent="0.2">
      <c r="A111" t="s">
        <v>131</v>
      </c>
      <c r="B111" s="2">
        <v>40681</v>
      </c>
      <c r="C111" s="3" t="s">
        <v>20</v>
      </c>
      <c r="D111">
        <v>5</v>
      </c>
      <c r="E111">
        <v>5</v>
      </c>
      <c r="F111" t="s">
        <v>12</v>
      </c>
      <c r="G111">
        <v>0</v>
      </c>
      <c r="H111">
        <v>0</v>
      </c>
      <c r="I111">
        <v>1</v>
      </c>
      <c r="J111">
        <v>0</v>
      </c>
      <c r="K111" t="str">
        <f t="shared" si="1"/>
        <v>Train</v>
      </c>
    </row>
    <row r="112" spans="1:11" x14ac:dyDescent="0.2">
      <c r="A112" t="s">
        <v>132</v>
      </c>
      <c r="B112" s="2">
        <v>40682</v>
      </c>
      <c r="C112" s="3" t="s">
        <v>22</v>
      </c>
      <c r="D112">
        <v>6</v>
      </c>
      <c r="E112">
        <v>5</v>
      </c>
      <c r="F112" t="s">
        <v>12</v>
      </c>
      <c r="G112">
        <v>0</v>
      </c>
      <c r="H112">
        <v>1</v>
      </c>
      <c r="I112">
        <v>0</v>
      </c>
      <c r="J112">
        <v>1</v>
      </c>
      <c r="K112" t="str">
        <f t="shared" si="1"/>
        <v>Train</v>
      </c>
    </row>
    <row r="113" spans="1:11" x14ac:dyDescent="0.2">
      <c r="A113" t="s">
        <v>133</v>
      </c>
      <c r="B113" s="2">
        <v>40683</v>
      </c>
      <c r="C113" s="3" t="s">
        <v>24</v>
      </c>
      <c r="D113">
        <v>7</v>
      </c>
      <c r="E113">
        <v>5</v>
      </c>
      <c r="F113" t="s">
        <v>12</v>
      </c>
      <c r="G113">
        <v>0</v>
      </c>
      <c r="H113">
        <v>1</v>
      </c>
      <c r="I113">
        <v>1</v>
      </c>
      <c r="J113">
        <v>0</v>
      </c>
      <c r="K113" t="str">
        <f t="shared" si="1"/>
        <v>Train</v>
      </c>
    </row>
    <row r="114" spans="1:11" x14ac:dyDescent="0.2">
      <c r="A114" t="s">
        <v>134</v>
      </c>
      <c r="B114" s="2">
        <v>40684</v>
      </c>
      <c r="C114" s="3" t="s">
        <v>11</v>
      </c>
      <c r="D114">
        <v>1</v>
      </c>
      <c r="E114">
        <v>5</v>
      </c>
      <c r="F114" t="s">
        <v>12</v>
      </c>
      <c r="G114">
        <v>0</v>
      </c>
      <c r="H114">
        <v>1</v>
      </c>
      <c r="I114">
        <v>0</v>
      </c>
      <c r="J114">
        <v>3</v>
      </c>
      <c r="K114" t="str">
        <f t="shared" si="1"/>
        <v>Train</v>
      </c>
    </row>
    <row r="115" spans="1:11" x14ac:dyDescent="0.2">
      <c r="A115" t="s">
        <v>135</v>
      </c>
      <c r="B115" s="2">
        <v>40685</v>
      </c>
      <c r="C115" s="3" t="s">
        <v>14</v>
      </c>
      <c r="D115">
        <v>2</v>
      </c>
      <c r="E115">
        <v>5</v>
      </c>
      <c r="F115" t="s">
        <v>12</v>
      </c>
      <c r="G115">
        <v>0</v>
      </c>
      <c r="H115">
        <v>3</v>
      </c>
      <c r="I115">
        <v>3</v>
      </c>
      <c r="J115">
        <v>0</v>
      </c>
      <c r="K115" t="str">
        <f t="shared" si="1"/>
        <v>Train</v>
      </c>
    </row>
    <row r="116" spans="1:11" x14ac:dyDescent="0.2">
      <c r="A116" t="s">
        <v>136</v>
      </c>
      <c r="B116" s="2">
        <v>40686</v>
      </c>
      <c r="C116" s="3" t="s">
        <v>16</v>
      </c>
      <c r="D116">
        <v>3</v>
      </c>
      <c r="E116">
        <v>5</v>
      </c>
      <c r="F116" t="s">
        <v>12</v>
      </c>
      <c r="G116">
        <v>0</v>
      </c>
      <c r="H116">
        <v>0</v>
      </c>
      <c r="I116">
        <v>2</v>
      </c>
      <c r="J116">
        <v>1</v>
      </c>
      <c r="K116" t="str">
        <f t="shared" si="1"/>
        <v>Train</v>
      </c>
    </row>
    <row r="117" spans="1:11" x14ac:dyDescent="0.2">
      <c r="A117" t="s">
        <v>137</v>
      </c>
      <c r="B117" s="2">
        <v>40687</v>
      </c>
      <c r="C117" s="3" t="s">
        <v>18</v>
      </c>
      <c r="D117">
        <v>4</v>
      </c>
      <c r="E117">
        <v>5</v>
      </c>
      <c r="F117" t="s">
        <v>12</v>
      </c>
      <c r="G117">
        <v>0</v>
      </c>
      <c r="H117">
        <v>1</v>
      </c>
      <c r="I117">
        <v>1</v>
      </c>
      <c r="J117">
        <v>1</v>
      </c>
      <c r="K117" t="str">
        <f t="shared" si="1"/>
        <v>Train</v>
      </c>
    </row>
    <row r="118" spans="1:11" x14ac:dyDescent="0.2">
      <c r="A118" t="s">
        <v>138</v>
      </c>
      <c r="B118" s="2">
        <v>40688</v>
      </c>
      <c r="C118" s="3" t="s">
        <v>20</v>
      </c>
      <c r="D118">
        <v>5</v>
      </c>
      <c r="E118">
        <v>5</v>
      </c>
      <c r="F118" t="s">
        <v>12</v>
      </c>
      <c r="G118">
        <v>0</v>
      </c>
      <c r="H118">
        <v>2</v>
      </c>
      <c r="I118">
        <v>0</v>
      </c>
      <c r="J118">
        <v>0</v>
      </c>
      <c r="K118" t="str">
        <f t="shared" si="1"/>
        <v>Train</v>
      </c>
    </row>
    <row r="119" spans="1:11" x14ac:dyDescent="0.2">
      <c r="A119" t="s">
        <v>139</v>
      </c>
      <c r="B119" s="2">
        <v>40689</v>
      </c>
      <c r="C119" s="3" t="s">
        <v>22</v>
      </c>
      <c r="D119">
        <v>6</v>
      </c>
      <c r="E119">
        <v>5</v>
      </c>
      <c r="F119" t="s">
        <v>12</v>
      </c>
      <c r="G119">
        <v>0</v>
      </c>
      <c r="H119">
        <v>0</v>
      </c>
      <c r="I119">
        <v>3</v>
      </c>
      <c r="J119">
        <v>0</v>
      </c>
      <c r="K119" t="str">
        <f t="shared" si="1"/>
        <v>Train</v>
      </c>
    </row>
    <row r="120" spans="1:11" x14ac:dyDescent="0.2">
      <c r="A120" t="s">
        <v>140</v>
      </c>
      <c r="B120" s="2">
        <v>40690</v>
      </c>
      <c r="C120" s="3" t="s">
        <v>24</v>
      </c>
      <c r="D120">
        <v>7</v>
      </c>
      <c r="E120">
        <v>5</v>
      </c>
      <c r="F120" t="s">
        <v>12</v>
      </c>
      <c r="G120">
        <v>0</v>
      </c>
      <c r="H120">
        <v>6</v>
      </c>
      <c r="I120">
        <v>0</v>
      </c>
      <c r="J120">
        <v>0</v>
      </c>
      <c r="K120" t="str">
        <f t="shared" si="1"/>
        <v>Train</v>
      </c>
    </row>
    <row r="121" spans="1:11" x14ac:dyDescent="0.2">
      <c r="A121" t="s">
        <v>141</v>
      </c>
      <c r="B121" s="2">
        <v>40691</v>
      </c>
      <c r="C121" s="3" t="s">
        <v>11</v>
      </c>
      <c r="D121">
        <v>1</v>
      </c>
      <c r="E121">
        <v>5</v>
      </c>
      <c r="F121" t="s">
        <v>12</v>
      </c>
      <c r="G121">
        <v>0</v>
      </c>
      <c r="H121">
        <v>3</v>
      </c>
      <c r="I121">
        <v>0</v>
      </c>
      <c r="J121">
        <v>0</v>
      </c>
      <c r="K121" t="str">
        <f t="shared" si="1"/>
        <v>Train</v>
      </c>
    </row>
    <row r="122" spans="1:11" x14ac:dyDescent="0.2">
      <c r="A122" t="s">
        <v>142</v>
      </c>
      <c r="B122" s="2">
        <v>40692</v>
      </c>
      <c r="C122" s="3" t="s">
        <v>14</v>
      </c>
      <c r="D122">
        <v>2</v>
      </c>
      <c r="E122">
        <v>5</v>
      </c>
      <c r="F122" t="s">
        <v>12</v>
      </c>
      <c r="G122">
        <v>0</v>
      </c>
      <c r="H122">
        <v>1</v>
      </c>
      <c r="I122">
        <v>0</v>
      </c>
      <c r="J122">
        <v>1</v>
      </c>
      <c r="K122" t="str">
        <f t="shared" si="1"/>
        <v>Train</v>
      </c>
    </row>
    <row r="123" spans="1:11" x14ac:dyDescent="0.2">
      <c r="A123" t="s">
        <v>143</v>
      </c>
      <c r="B123" s="2">
        <v>40693</v>
      </c>
      <c r="C123" s="3" t="s">
        <v>16</v>
      </c>
      <c r="D123">
        <v>3</v>
      </c>
      <c r="E123">
        <v>5</v>
      </c>
      <c r="F123" t="s">
        <v>44</v>
      </c>
      <c r="G123">
        <v>0</v>
      </c>
      <c r="H123">
        <v>0</v>
      </c>
      <c r="I123">
        <v>0</v>
      </c>
      <c r="J123">
        <v>2</v>
      </c>
      <c r="K123" t="str">
        <f t="shared" si="1"/>
        <v>Train</v>
      </c>
    </row>
    <row r="124" spans="1:11" x14ac:dyDescent="0.2">
      <c r="A124" t="s">
        <v>144</v>
      </c>
      <c r="B124" s="2">
        <v>40694</v>
      </c>
      <c r="C124" s="3" t="s">
        <v>18</v>
      </c>
      <c r="D124">
        <v>4</v>
      </c>
      <c r="E124">
        <v>5</v>
      </c>
      <c r="F124" t="s">
        <v>27</v>
      </c>
      <c r="G124">
        <v>0</v>
      </c>
      <c r="H124">
        <v>1</v>
      </c>
      <c r="I124">
        <v>0</v>
      </c>
      <c r="J124">
        <v>0</v>
      </c>
      <c r="K124" t="str">
        <f t="shared" si="1"/>
        <v>Train</v>
      </c>
    </row>
    <row r="125" spans="1:11" x14ac:dyDescent="0.2">
      <c r="A125" t="s">
        <v>145</v>
      </c>
      <c r="B125" s="2">
        <v>40695</v>
      </c>
      <c r="C125" s="3" t="s">
        <v>20</v>
      </c>
      <c r="D125">
        <v>5</v>
      </c>
      <c r="E125">
        <v>6</v>
      </c>
      <c r="F125" t="s">
        <v>12</v>
      </c>
      <c r="G125">
        <v>1</v>
      </c>
      <c r="H125">
        <v>0</v>
      </c>
      <c r="I125">
        <v>1</v>
      </c>
      <c r="J125">
        <v>0</v>
      </c>
      <c r="K125" t="str">
        <f t="shared" si="1"/>
        <v>Train</v>
      </c>
    </row>
    <row r="126" spans="1:11" x14ac:dyDescent="0.2">
      <c r="A126" t="s">
        <v>146</v>
      </c>
      <c r="B126" s="2">
        <v>40696</v>
      </c>
      <c r="C126" s="3" t="s">
        <v>22</v>
      </c>
      <c r="D126">
        <v>6</v>
      </c>
      <c r="E126">
        <v>6</v>
      </c>
      <c r="F126" t="s">
        <v>12</v>
      </c>
      <c r="G126">
        <v>1</v>
      </c>
      <c r="H126">
        <v>2</v>
      </c>
      <c r="I126">
        <v>0</v>
      </c>
      <c r="J126">
        <v>3</v>
      </c>
      <c r="K126" t="str">
        <f t="shared" si="1"/>
        <v>Train</v>
      </c>
    </row>
    <row r="127" spans="1:11" x14ac:dyDescent="0.2">
      <c r="A127" t="s">
        <v>147</v>
      </c>
      <c r="B127" s="2">
        <v>40697</v>
      </c>
      <c r="C127" s="3" t="s">
        <v>24</v>
      </c>
      <c r="D127">
        <v>7</v>
      </c>
      <c r="E127">
        <v>6</v>
      </c>
      <c r="F127" t="s">
        <v>12</v>
      </c>
      <c r="G127">
        <v>1</v>
      </c>
      <c r="H127">
        <v>0</v>
      </c>
      <c r="I127">
        <v>2</v>
      </c>
      <c r="J127">
        <v>0</v>
      </c>
      <c r="K127" t="str">
        <f t="shared" si="1"/>
        <v>Train</v>
      </c>
    </row>
    <row r="128" spans="1:11" x14ac:dyDescent="0.2">
      <c r="A128" t="s">
        <v>148</v>
      </c>
      <c r="B128" s="2">
        <v>40698</v>
      </c>
      <c r="C128" s="3" t="s">
        <v>11</v>
      </c>
      <c r="D128">
        <v>1</v>
      </c>
      <c r="E128">
        <v>6</v>
      </c>
      <c r="F128" t="s">
        <v>12</v>
      </c>
      <c r="G128">
        <v>1</v>
      </c>
      <c r="H128">
        <v>0</v>
      </c>
      <c r="I128">
        <v>0</v>
      </c>
      <c r="J128">
        <v>1</v>
      </c>
      <c r="K128" t="str">
        <f t="shared" si="1"/>
        <v>Train</v>
      </c>
    </row>
    <row r="129" spans="1:11" x14ac:dyDescent="0.2">
      <c r="A129" t="s">
        <v>149</v>
      </c>
      <c r="B129" s="2">
        <v>40699</v>
      </c>
      <c r="C129" s="3" t="s">
        <v>14</v>
      </c>
      <c r="D129">
        <v>2</v>
      </c>
      <c r="E129">
        <v>6</v>
      </c>
      <c r="F129" t="s">
        <v>12</v>
      </c>
      <c r="G129">
        <v>1</v>
      </c>
      <c r="H129">
        <v>0</v>
      </c>
      <c r="I129">
        <v>0</v>
      </c>
      <c r="J129">
        <v>0</v>
      </c>
      <c r="K129" t="str">
        <f t="shared" si="1"/>
        <v>Train</v>
      </c>
    </row>
    <row r="130" spans="1:11" x14ac:dyDescent="0.2">
      <c r="A130" t="s">
        <v>150</v>
      </c>
      <c r="B130" s="2">
        <v>40700</v>
      </c>
      <c r="C130" s="3" t="s">
        <v>16</v>
      </c>
      <c r="D130">
        <v>3</v>
      </c>
      <c r="E130">
        <v>6</v>
      </c>
      <c r="F130" t="s">
        <v>12</v>
      </c>
      <c r="G130">
        <v>1</v>
      </c>
      <c r="H130">
        <v>0</v>
      </c>
      <c r="I130">
        <v>4</v>
      </c>
      <c r="J130">
        <v>4</v>
      </c>
      <c r="K130" t="str">
        <f t="shared" ref="K130:K193" si="2">IF(ROW()-1&lt;=300,"Train","Validation")</f>
        <v>Train</v>
      </c>
    </row>
    <row r="131" spans="1:11" x14ac:dyDescent="0.2">
      <c r="A131" t="s">
        <v>151</v>
      </c>
      <c r="B131" s="2">
        <v>40701</v>
      </c>
      <c r="C131" s="3" t="s">
        <v>18</v>
      </c>
      <c r="D131">
        <v>4</v>
      </c>
      <c r="E131">
        <v>6</v>
      </c>
      <c r="F131" t="s">
        <v>12</v>
      </c>
      <c r="G131">
        <v>1</v>
      </c>
      <c r="H131">
        <v>0</v>
      </c>
      <c r="I131">
        <v>2</v>
      </c>
      <c r="J131">
        <v>0</v>
      </c>
      <c r="K131" t="str">
        <f t="shared" si="2"/>
        <v>Train</v>
      </c>
    </row>
    <row r="132" spans="1:11" x14ac:dyDescent="0.2">
      <c r="A132" t="s">
        <v>152</v>
      </c>
      <c r="B132" s="2">
        <v>40702</v>
      </c>
      <c r="C132" s="3" t="s">
        <v>20</v>
      </c>
      <c r="D132">
        <v>5</v>
      </c>
      <c r="E132">
        <v>6</v>
      </c>
      <c r="F132" t="s">
        <v>12</v>
      </c>
      <c r="G132">
        <v>1</v>
      </c>
      <c r="H132">
        <v>1</v>
      </c>
      <c r="I132">
        <v>4</v>
      </c>
      <c r="J132">
        <v>0</v>
      </c>
      <c r="K132" t="str">
        <f t="shared" si="2"/>
        <v>Train</v>
      </c>
    </row>
    <row r="133" spans="1:11" x14ac:dyDescent="0.2">
      <c r="A133" t="s">
        <v>153</v>
      </c>
      <c r="B133" s="2">
        <v>40703</v>
      </c>
      <c r="C133" s="3" t="s">
        <v>22</v>
      </c>
      <c r="D133">
        <v>6</v>
      </c>
      <c r="E133">
        <v>6</v>
      </c>
      <c r="F133" t="s">
        <v>12</v>
      </c>
      <c r="G133">
        <v>1</v>
      </c>
      <c r="H133">
        <v>4</v>
      </c>
      <c r="I133">
        <v>0</v>
      </c>
      <c r="J133">
        <v>0</v>
      </c>
      <c r="K133" t="str">
        <f t="shared" si="2"/>
        <v>Train</v>
      </c>
    </row>
    <row r="134" spans="1:11" x14ac:dyDescent="0.2">
      <c r="A134" t="s">
        <v>154</v>
      </c>
      <c r="B134" s="2">
        <v>40704</v>
      </c>
      <c r="C134" s="3" t="s">
        <v>24</v>
      </c>
      <c r="D134">
        <v>7</v>
      </c>
      <c r="E134">
        <v>6</v>
      </c>
      <c r="F134" t="s">
        <v>12</v>
      </c>
      <c r="G134">
        <v>1</v>
      </c>
      <c r="H134">
        <v>0</v>
      </c>
      <c r="I134">
        <v>3</v>
      </c>
      <c r="J134">
        <v>0</v>
      </c>
      <c r="K134" t="str">
        <f t="shared" si="2"/>
        <v>Train</v>
      </c>
    </row>
    <row r="135" spans="1:11" x14ac:dyDescent="0.2">
      <c r="A135" t="s">
        <v>155</v>
      </c>
      <c r="B135" s="2">
        <v>40705</v>
      </c>
      <c r="C135" s="3" t="s">
        <v>11</v>
      </c>
      <c r="D135">
        <v>1</v>
      </c>
      <c r="E135">
        <v>6</v>
      </c>
      <c r="F135" t="s">
        <v>12</v>
      </c>
      <c r="G135">
        <v>0</v>
      </c>
      <c r="H135">
        <v>0</v>
      </c>
      <c r="I135">
        <v>1</v>
      </c>
      <c r="J135">
        <v>6</v>
      </c>
      <c r="K135" t="str">
        <f t="shared" si="2"/>
        <v>Train</v>
      </c>
    </row>
    <row r="136" spans="1:11" x14ac:dyDescent="0.2">
      <c r="A136" t="s">
        <v>156</v>
      </c>
      <c r="B136" s="2">
        <v>40706</v>
      </c>
      <c r="C136" s="3" t="s">
        <v>14</v>
      </c>
      <c r="D136">
        <v>2</v>
      </c>
      <c r="E136">
        <v>6</v>
      </c>
      <c r="F136" t="s">
        <v>27</v>
      </c>
      <c r="G136">
        <v>0</v>
      </c>
      <c r="H136">
        <v>3</v>
      </c>
      <c r="I136">
        <v>1</v>
      </c>
      <c r="J136">
        <v>4</v>
      </c>
      <c r="K136" t="str">
        <f t="shared" si="2"/>
        <v>Train</v>
      </c>
    </row>
    <row r="137" spans="1:11" x14ac:dyDescent="0.2">
      <c r="A137" t="s">
        <v>157</v>
      </c>
      <c r="B137" s="2">
        <v>40707</v>
      </c>
      <c r="C137" s="3" t="s">
        <v>16</v>
      </c>
      <c r="D137">
        <v>3</v>
      </c>
      <c r="E137">
        <v>6</v>
      </c>
      <c r="F137" t="s">
        <v>12</v>
      </c>
      <c r="G137">
        <v>0</v>
      </c>
      <c r="H137">
        <v>0</v>
      </c>
      <c r="I137">
        <v>1</v>
      </c>
      <c r="J137">
        <v>0</v>
      </c>
      <c r="K137" t="str">
        <f t="shared" si="2"/>
        <v>Train</v>
      </c>
    </row>
    <row r="138" spans="1:11" x14ac:dyDescent="0.2">
      <c r="A138" t="s">
        <v>158</v>
      </c>
      <c r="B138" s="2">
        <v>40708</v>
      </c>
      <c r="C138" s="3" t="s">
        <v>18</v>
      </c>
      <c r="D138">
        <v>4</v>
      </c>
      <c r="E138">
        <v>6</v>
      </c>
      <c r="F138" t="s">
        <v>12</v>
      </c>
      <c r="G138">
        <v>0</v>
      </c>
      <c r="H138">
        <v>1</v>
      </c>
      <c r="I138">
        <v>2</v>
      </c>
      <c r="J138">
        <v>0</v>
      </c>
      <c r="K138" t="str">
        <f t="shared" si="2"/>
        <v>Train</v>
      </c>
    </row>
    <row r="139" spans="1:11" x14ac:dyDescent="0.2">
      <c r="A139" t="s">
        <v>159</v>
      </c>
      <c r="B139" s="2">
        <v>40709</v>
      </c>
      <c r="C139" s="3" t="s">
        <v>20</v>
      </c>
      <c r="D139">
        <v>5</v>
      </c>
      <c r="E139">
        <v>6</v>
      </c>
      <c r="F139" t="s">
        <v>12</v>
      </c>
      <c r="G139">
        <v>0</v>
      </c>
      <c r="H139">
        <v>1</v>
      </c>
      <c r="I139">
        <v>2</v>
      </c>
      <c r="J139">
        <v>0</v>
      </c>
      <c r="K139" t="str">
        <f t="shared" si="2"/>
        <v>Train</v>
      </c>
    </row>
    <row r="140" spans="1:11" x14ac:dyDescent="0.2">
      <c r="A140" t="s">
        <v>160</v>
      </c>
      <c r="B140" s="2">
        <v>40710</v>
      </c>
      <c r="C140" s="3" t="s">
        <v>22</v>
      </c>
      <c r="D140">
        <v>6</v>
      </c>
      <c r="E140">
        <v>6</v>
      </c>
      <c r="F140" t="s">
        <v>12</v>
      </c>
      <c r="G140">
        <v>0</v>
      </c>
      <c r="H140">
        <v>0</v>
      </c>
      <c r="I140">
        <v>1</v>
      </c>
      <c r="J140">
        <v>1</v>
      </c>
      <c r="K140" t="str">
        <f t="shared" si="2"/>
        <v>Train</v>
      </c>
    </row>
    <row r="141" spans="1:11" x14ac:dyDescent="0.2">
      <c r="A141" t="s">
        <v>161</v>
      </c>
      <c r="B141" s="2">
        <v>40711</v>
      </c>
      <c r="C141" s="3" t="s">
        <v>24</v>
      </c>
      <c r="D141">
        <v>7</v>
      </c>
      <c r="E141">
        <v>6</v>
      </c>
      <c r="F141" t="s">
        <v>12</v>
      </c>
      <c r="G141">
        <v>0</v>
      </c>
      <c r="H141">
        <v>2</v>
      </c>
      <c r="I141">
        <v>0</v>
      </c>
      <c r="J141">
        <v>1</v>
      </c>
      <c r="K141" t="str">
        <f t="shared" si="2"/>
        <v>Train</v>
      </c>
    </row>
    <row r="142" spans="1:11" x14ac:dyDescent="0.2">
      <c r="A142" t="s">
        <v>162</v>
      </c>
      <c r="B142" s="2">
        <v>40712</v>
      </c>
      <c r="C142" s="3" t="s">
        <v>11</v>
      </c>
      <c r="D142">
        <v>1</v>
      </c>
      <c r="E142">
        <v>6</v>
      </c>
      <c r="F142" t="s">
        <v>12</v>
      </c>
      <c r="G142">
        <v>0</v>
      </c>
      <c r="H142">
        <v>3</v>
      </c>
      <c r="I142">
        <v>2</v>
      </c>
      <c r="J142">
        <v>0</v>
      </c>
      <c r="K142" t="str">
        <f t="shared" si="2"/>
        <v>Train</v>
      </c>
    </row>
    <row r="143" spans="1:11" x14ac:dyDescent="0.2">
      <c r="A143" t="s">
        <v>163</v>
      </c>
      <c r="B143" s="2">
        <v>40713</v>
      </c>
      <c r="C143" s="3" t="s">
        <v>14</v>
      </c>
      <c r="D143">
        <v>2</v>
      </c>
      <c r="E143">
        <v>6</v>
      </c>
      <c r="F143" t="s">
        <v>36</v>
      </c>
      <c r="G143">
        <v>0</v>
      </c>
      <c r="H143">
        <v>2</v>
      </c>
      <c r="I143">
        <v>3</v>
      </c>
      <c r="J143">
        <v>1</v>
      </c>
      <c r="K143" t="str">
        <f t="shared" si="2"/>
        <v>Train</v>
      </c>
    </row>
    <row r="144" spans="1:11" x14ac:dyDescent="0.2">
      <c r="A144" t="s">
        <v>164</v>
      </c>
      <c r="B144" s="2">
        <v>40714</v>
      </c>
      <c r="C144" s="3" t="s">
        <v>16</v>
      </c>
      <c r="D144">
        <v>3</v>
      </c>
      <c r="E144">
        <v>6</v>
      </c>
      <c r="F144" t="s">
        <v>12</v>
      </c>
      <c r="G144">
        <v>0</v>
      </c>
      <c r="H144">
        <v>3</v>
      </c>
      <c r="I144">
        <v>1</v>
      </c>
      <c r="J144">
        <v>0</v>
      </c>
      <c r="K144" t="str">
        <f t="shared" si="2"/>
        <v>Train</v>
      </c>
    </row>
    <row r="145" spans="1:11" x14ac:dyDescent="0.2">
      <c r="A145" t="s">
        <v>165</v>
      </c>
      <c r="B145" s="2">
        <v>40715</v>
      </c>
      <c r="C145" s="3" t="s">
        <v>18</v>
      </c>
      <c r="D145">
        <v>4</v>
      </c>
      <c r="E145">
        <v>6</v>
      </c>
      <c r="F145" t="s">
        <v>12</v>
      </c>
      <c r="G145">
        <v>0</v>
      </c>
      <c r="H145">
        <v>1</v>
      </c>
      <c r="I145">
        <v>2</v>
      </c>
      <c r="J145">
        <v>0</v>
      </c>
      <c r="K145" t="str">
        <f t="shared" si="2"/>
        <v>Train</v>
      </c>
    </row>
    <row r="146" spans="1:11" x14ac:dyDescent="0.2">
      <c r="A146" t="s">
        <v>166</v>
      </c>
      <c r="B146" s="2">
        <v>40716</v>
      </c>
      <c r="C146" s="3" t="s">
        <v>20</v>
      </c>
      <c r="D146">
        <v>5</v>
      </c>
      <c r="E146">
        <v>6</v>
      </c>
      <c r="F146" t="s">
        <v>12</v>
      </c>
      <c r="G146">
        <v>0</v>
      </c>
      <c r="H146">
        <v>1</v>
      </c>
      <c r="I146">
        <v>0</v>
      </c>
      <c r="J146">
        <v>1</v>
      </c>
      <c r="K146" t="str">
        <f t="shared" si="2"/>
        <v>Train</v>
      </c>
    </row>
    <row r="147" spans="1:11" x14ac:dyDescent="0.2">
      <c r="A147" t="s">
        <v>167</v>
      </c>
      <c r="B147" s="2">
        <v>40717</v>
      </c>
      <c r="C147" s="3" t="s">
        <v>22</v>
      </c>
      <c r="D147">
        <v>6</v>
      </c>
      <c r="E147">
        <v>6</v>
      </c>
      <c r="F147" t="s">
        <v>12</v>
      </c>
      <c r="G147">
        <v>0</v>
      </c>
      <c r="H147">
        <v>0</v>
      </c>
      <c r="I147">
        <v>2</v>
      </c>
      <c r="J147">
        <v>2</v>
      </c>
      <c r="K147" t="str">
        <f t="shared" si="2"/>
        <v>Train</v>
      </c>
    </row>
    <row r="148" spans="1:11" x14ac:dyDescent="0.2">
      <c r="A148" t="s">
        <v>168</v>
      </c>
      <c r="B148" s="2">
        <v>40718</v>
      </c>
      <c r="C148" s="3" t="s">
        <v>24</v>
      </c>
      <c r="D148">
        <v>7</v>
      </c>
      <c r="E148">
        <v>6</v>
      </c>
      <c r="F148" t="s">
        <v>12</v>
      </c>
      <c r="G148">
        <v>0</v>
      </c>
      <c r="H148">
        <v>2</v>
      </c>
      <c r="I148">
        <v>2</v>
      </c>
      <c r="J148">
        <v>2</v>
      </c>
      <c r="K148" t="str">
        <f t="shared" si="2"/>
        <v>Train</v>
      </c>
    </row>
    <row r="149" spans="1:11" x14ac:dyDescent="0.2">
      <c r="A149" t="s">
        <v>169</v>
      </c>
      <c r="B149" s="2">
        <v>40719</v>
      </c>
      <c r="C149" s="3" t="s">
        <v>11</v>
      </c>
      <c r="D149">
        <v>1</v>
      </c>
      <c r="E149">
        <v>6</v>
      </c>
      <c r="F149" t="s">
        <v>12</v>
      </c>
      <c r="G149">
        <v>0</v>
      </c>
      <c r="H149">
        <v>1</v>
      </c>
      <c r="I149">
        <v>1</v>
      </c>
      <c r="J149">
        <v>1</v>
      </c>
      <c r="K149" t="str">
        <f t="shared" si="2"/>
        <v>Train</v>
      </c>
    </row>
    <row r="150" spans="1:11" x14ac:dyDescent="0.2">
      <c r="A150" t="s">
        <v>170</v>
      </c>
      <c r="B150" s="2">
        <v>40720</v>
      </c>
      <c r="C150" s="3" t="s">
        <v>14</v>
      </c>
      <c r="D150">
        <v>2</v>
      </c>
      <c r="E150">
        <v>6</v>
      </c>
      <c r="F150" t="s">
        <v>12</v>
      </c>
      <c r="G150">
        <v>0</v>
      </c>
      <c r="H150">
        <v>0</v>
      </c>
      <c r="I150">
        <v>0</v>
      </c>
      <c r="J150">
        <v>0</v>
      </c>
      <c r="K150" t="str">
        <f t="shared" si="2"/>
        <v>Train</v>
      </c>
    </row>
    <row r="151" spans="1:11" x14ac:dyDescent="0.2">
      <c r="A151" t="s">
        <v>171</v>
      </c>
      <c r="B151" s="2">
        <v>40721</v>
      </c>
      <c r="C151" s="3" t="s">
        <v>16</v>
      </c>
      <c r="D151">
        <v>3</v>
      </c>
      <c r="E151">
        <v>6</v>
      </c>
      <c r="F151" t="s">
        <v>12</v>
      </c>
      <c r="G151">
        <v>0</v>
      </c>
      <c r="H151">
        <v>1</v>
      </c>
      <c r="I151">
        <v>2</v>
      </c>
      <c r="J151">
        <v>0</v>
      </c>
      <c r="K151" t="str">
        <f t="shared" si="2"/>
        <v>Train</v>
      </c>
    </row>
    <row r="152" spans="1:11" x14ac:dyDescent="0.2">
      <c r="A152" t="s">
        <v>172</v>
      </c>
      <c r="B152" s="2">
        <v>40722</v>
      </c>
      <c r="C152" s="3" t="s">
        <v>18</v>
      </c>
      <c r="D152">
        <v>4</v>
      </c>
      <c r="E152">
        <v>6</v>
      </c>
      <c r="F152" t="s">
        <v>12</v>
      </c>
      <c r="G152">
        <v>0</v>
      </c>
      <c r="H152">
        <v>0</v>
      </c>
      <c r="I152">
        <v>1</v>
      </c>
      <c r="J152">
        <v>1</v>
      </c>
      <c r="K152" t="str">
        <f t="shared" si="2"/>
        <v>Train</v>
      </c>
    </row>
    <row r="153" spans="1:11" x14ac:dyDescent="0.2">
      <c r="A153" t="s">
        <v>173</v>
      </c>
      <c r="B153" s="2">
        <v>40723</v>
      </c>
      <c r="C153" s="3" t="s">
        <v>20</v>
      </c>
      <c r="D153">
        <v>5</v>
      </c>
      <c r="E153">
        <v>6</v>
      </c>
      <c r="F153" t="s">
        <v>12</v>
      </c>
      <c r="G153">
        <v>0</v>
      </c>
      <c r="H153">
        <v>0</v>
      </c>
      <c r="I153">
        <v>1</v>
      </c>
      <c r="J153">
        <v>0</v>
      </c>
      <c r="K153" t="str">
        <f t="shared" si="2"/>
        <v>Train</v>
      </c>
    </row>
    <row r="154" spans="1:11" x14ac:dyDescent="0.2">
      <c r="A154" t="s">
        <v>174</v>
      </c>
      <c r="B154" s="2">
        <v>40724</v>
      </c>
      <c r="C154" s="3" t="s">
        <v>22</v>
      </c>
      <c r="D154">
        <v>6</v>
      </c>
      <c r="E154">
        <v>6</v>
      </c>
      <c r="F154" t="s">
        <v>12</v>
      </c>
      <c r="G154">
        <v>0</v>
      </c>
      <c r="H154">
        <v>0</v>
      </c>
      <c r="I154">
        <v>0</v>
      </c>
      <c r="J154">
        <v>4</v>
      </c>
      <c r="K154" t="str">
        <f t="shared" si="2"/>
        <v>Train</v>
      </c>
    </row>
    <row r="155" spans="1:11" x14ac:dyDescent="0.2">
      <c r="A155" t="s">
        <v>175</v>
      </c>
      <c r="B155" s="2">
        <v>40725</v>
      </c>
      <c r="C155" s="3" t="s">
        <v>24</v>
      </c>
      <c r="D155">
        <v>7</v>
      </c>
      <c r="E155">
        <v>7</v>
      </c>
      <c r="F155" t="s">
        <v>12</v>
      </c>
      <c r="G155">
        <v>1</v>
      </c>
      <c r="H155">
        <v>0</v>
      </c>
      <c r="I155">
        <v>0</v>
      </c>
      <c r="J155">
        <v>0</v>
      </c>
      <c r="K155" t="str">
        <f t="shared" si="2"/>
        <v>Train</v>
      </c>
    </row>
    <row r="156" spans="1:11" x14ac:dyDescent="0.2">
      <c r="A156" t="s">
        <v>176</v>
      </c>
      <c r="B156" s="2">
        <v>40726</v>
      </c>
      <c r="C156" s="3" t="s">
        <v>11</v>
      </c>
      <c r="D156">
        <v>1</v>
      </c>
      <c r="E156">
        <v>7</v>
      </c>
      <c r="F156" t="s">
        <v>12</v>
      </c>
      <c r="G156">
        <v>1</v>
      </c>
      <c r="H156">
        <v>3</v>
      </c>
      <c r="I156">
        <v>1</v>
      </c>
      <c r="J156">
        <v>0</v>
      </c>
      <c r="K156" t="str">
        <f t="shared" si="2"/>
        <v>Train</v>
      </c>
    </row>
    <row r="157" spans="1:11" x14ac:dyDescent="0.2">
      <c r="A157" t="s">
        <v>177</v>
      </c>
      <c r="B157" s="2">
        <v>40727</v>
      </c>
      <c r="C157" s="3" t="s">
        <v>14</v>
      </c>
      <c r="D157">
        <v>2</v>
      </c>
      <c r="E157">
        <v>7</v>
      </c>
      <c r="F157" t="s">
        <v>12</v>
      </c>
      <c r="G157">
        <v>1</v>
      </c>
      <c r="H157">
        <v>0</v>
      </c>
      <c r="I157">
        <v>0</v>
      </c>
      <c r="J157">
        <v>0</v>
      </c>
      <c r="K157" t="str">
        <f t="shared" si="2"/>
        <v>Train</v>
      </c>
    </row>
    <row r="158" spans="1:11" x14ac:dyDescent="0.2">
      <c r="A158" t="s">
        <v>178</v>
      </c>
      <c r="B158" s="2">
        <v>40728</v>
      </c>
      <c r="C158" s="3" t="s">
        <v>16</v>
      </c>
      <c r="D158">
        <v>3</v>
      </c>
      <c r="E158">
        <v>7</v>
      </c>
      <c r="F158" t="s">
        <v>44</v>
      </c>
      <c r="G158">
        <v>1</v>
      </c>
      <c r="H158">
        <v>1</v>
      </c>
      <c r="I158">
        <v>0</v>
      </c>
      <c r="J158">
        <v>0</v>
      </c>
      <c r="K158" t="str">
        <f t="shared" si="2"/>
        <v>Train</v>
      </c>
    </row>
    <row r="159" spans="1:11" x14ac:dyDescent="0.2">
      <c r="A159" t="s">
        <v>179</v>
      </c>
      <c r="B159" s="2">
        <v>40729</v>
      </c>
      <c r="C159" s="3" t="s">
        <v>18</v>
      </c>
      <c r="D159">
        <v>4</v>
      </c>
      <c r="E159">
        <v>7</v>
      </c>
      <c r="F159" t="s">
        <v>12</v>
      </c>
      <c r="G159">
        <v>1</v>
      </c>
      <c r="H159">
        <v>0</v>
      </c>
      <c r="I159">
        <v>0</v>
      </c>
      <c r="J159">
        <v>0</v>
      </c>
      <c r="K159" t="str">
        <f t="shared" si="2"/>
        <v>Train</v>
      </c>
    </row>
    <row r="160" spans="1:11" x14ac:dyDescent="0.2">
      <c r="A160" t="s">
        <v>180</v>
      </c>
      <c r="B160" s="2">
        <v>40730</v>
      </c>
      <c r="C160" s="3" t="s">
        <v>20</v>
      </c>
      <c r="D160">
        <v>5</v>
      </c>
      <c r="E160">
        <v>7</v>
      </c>
      <c r="F160" t="s">
        <v>12</v>
      </c>
      <c r="G160">
        <v>1</v>
      </c>
      <c r="H160">
        <v>1</v>
      </c>
      <c r="I160">
        <v>0</v>
      </c>
      <c r="J160">
        <v>1</v>
      </c>
      <c r="K160" t="str">
        <f t="shared" si="2"/>
        <v>Train</v>
      </c>
    </row>
    <row r="161" spans="1:11" x14ac:dyDescent="0.2">
      <c r="A161" t="s">
        <v>181</v>
      </c>
      <c r="B161" s="2">
        <v>40731</v>
      </c>
      <c r="C161" s="3" t="s">
        <v>22</v>
      </c>
      <c r="D161">
        <v>6</v>
      </c>
      <c r="E161">
        <v>7</v>
      </c>
      <c r="F161" t="s">
        <v>12</v>
      </c>
      <c r="G161">
        <v>1</v>
      </c>
      <c r="H161">
        <v>0</v>
      </c>
      <c r="I161">
        <v>0</v>
      </c>
      <c r="J161">
        <v>0</v>
      </c>
      <c r="K161" t="str">
        <f t="shared" si="2"/>
        <v>Train</v>
      </c>
    </row>
    <row r="162" spans="1:11" x14ac:dyDescent="0.2">
      <c r="A162" t="s">
        <v>182</v>
      </c>
      <c r="B162" s="2">
        <v>40732</v>
      </c>
      <c r="C162" s="3" t="s">
        <v>24</v>
      </c>
      <c r="D162">
        <v>7</v>
      </c>
      <c r="E162">
        <v>7</v>
      </c>
      <c r="F162" t="s">
        <v>12</v>
      </c>
      <c r="G162">
        <v>1</v>
      </c>
      <c r="H162">
        <v>1</v>
      </c>
      <c r="I162">
        <v>0</v>
      </c>
      <c r="J162">
        <v>0</v>
      </c>
      <c r="K162" t="str">
        <f t="shared" si="2"/>
        <v>Train</v>
      </c>
    </row>
    <row r="163" spans="1:11" x14ac:dyDescent="0.2">
      <c r="A163" t="s">
        <v>183</v>
      </c>
      <c r="B163" s="2">
        <v>40733</v>
      </c>
      <c r="C163" s="3" t="s">
        <v>11</v>
      </c>
      <c r="D163">
        <v>1</v>
      </c>
      <c r="E163">
        <v>7</v>
      </c>
      <c r="F163" t="s">
        <v>12</v>
      </c>
      <c r="G163">
        <v>1</v>
      </c>
      <c r="H163">
        <v>2</v>
      </c>
      <c r="I163">
        <v>2</v>
      </c>
      <c r="J163">
        <v>0</v>
      </c>
      <c r="K163" t="str">
        <f t="shared" si="2"/>
        <v>Train</v>
      </c>
    </row>
    <row r="164" spans="1:11" x14ac:dyDescent="0.2">
      <c r="A164" t="s">
        <v>184</v>
      </c>
      <c r="B164" s="2">
        <v>40734</v>
      </c>
      <c r="C164" s="3" t="s">
        <v>14</v>
      </c>
      <c r="D164">
        <v>2</v>
      </c>
      <c r="E164">
        <v>7</v>
      </c>
      <c r="F164" t="s">
        <v>12</v>
      </c>
      <c r="G164">
        <v>1</v>
      </c>
      <c r="H164">
        <v>0</v>
      </c>
      <c r="I164">
        <v>2</v>
      </c>
      <c r="J164">
        <v>1</v>
      </c>
      <c r="K164" t="str">
        <f t="shared" si="2"/>
        <v>Train</v>
      </c>
    </row>
    <row r="165" spans="1:11" x14ac:dyDescent="0.2">
      <c r="A165" t="s">
        <v>185</v>
      </c>
      <c r="B165" s="2">
        <v>40735</v>
      </c>
      <c r="C165" s="3" t="s">
        <v>16</v>
      </c>
      <c r="D165">
        <v>3</v>
      </c>
      <c r="E165">
        <v>7</v>
      </c>
      <c r="F165" t="s">
        <v>12</v>
      </c>
      <c r="G165">
        <v>0</v>
      </c>
      <c r="H165">
        <v>0</v>
      </c>
      <c r="I165">
        <v>1</v>
      </c>
      <c r="J165">
        <v>0</v>
      </c>
      <c r="K165" t="str">
        <f t="shared" si="2"/>
        <v>Train</v>
      </c>
    </row>
    <row r="166" spans="1:11" x14ac:dyDescent="0.2">
      <c r="A166" t="s">
        <v>186</v>
      </c>
      <c r="B166" s="2">
        <v>40736</v>
      </c>
      <c r="C166" s="3" t="s">
        <v>18</v>
      </c>
      <c r="D166">
        <v>4</v>
      </c>
      <c r="E166">
        <v>7</v>
      </c>
      <c r="F166" t="s">
        <v>12</v>
      </c>
      <c r="G166">
        <v>0</v>
      </c>
      <c r="H166">
        <v>4</v>
      </c>
      <c r="I166">
        <v>1</v>
      </c>
      <c r="J166">
        <v>0</v>
      </c>
      <c r="K166" t="str">
        <f t="shared" si="2"/>
        <v>Train</v>
      </c>
    </row>
    <row r="167" spans="1:11" x14ac:dyDescent="0.2">
      <c r="A167" t="s">
        <v>187</v>
      </c>
      <c r="B167" s="2">
        <v>40737</v>
      </c>
      <c r="C167" s="3" t="s">
        <v>20</v>
      </c>
      <c r="D167">
        <v>5</v>
      </c>
      <c r="E167">
        <v>7</v>
      </c>
      <c r="F167" t="s">
        <v>12</v>
      </c>
      <c r="G167">
        <v>0</v>
      </c>
      <c r="H167">
        <v>0</v>
      </c>
      <c r="I167">
        <v>1</v>
      </c>
      <c r="J167">
        <v>1</v>
      </c>
      <c r="K167" t="str">
        <f t="shared" si="2"/>
        <v>Train</v>
      </c>
    </row>
    <row r="168" spans="1:11" x14ac:dyDescent="0.2">
      <c r="A168" t="s">
        <v>188</v>
      </c>
      <c r="B168" s="2">
        <v>40738</v>
      </c>
      <c r="C168" s="3" t="s">
        <v>22</v>
      </c>
      <c r="D168">
        <v>6</v>
      </c>
      <c r="E168">
        <v>7</v>
      </c>
      <c r="F168" t="s">
        <v>12</v>
      </c>
      <c r="G168">
        <v>0</v>
      </c>
      <c r="H168">
        <v>1</v>
      </c>
      <c r="I168">
        <v>4</v>
      </c>
      <c r="J168">
        <v>0</v>
      </c>
      <c r="K168" t="str">
        <f t="shared" si="2"/>
        <v>Train</v>
      </c>
    </row>
    <row r="169" spans="1:11" x14ac:dyDescent="0.2">
      <c r="A169" t="s">
        <v>189</v>
      </c>
      <c r="B169" s="2">
        <v>40739</v>
      </c>
      <c r="C169" s="3" t="s">
        <v>24</v>
      </c>
      <c r="D169">
        <v>7</v>
      </c>
      <c r="E169">
        <v>7</v>
      </c>
      <c r="F169" t="s">
        <v>12</v>
      </c>
      <c r="G169">
        <v>0</v>
      </c>
      <c r="H169">
        <v>1</v>
      </c>
      <c r="I169">
        <v>0</v>
      </c>
      <c r="J169">
        <v>0</v>
      </c>
      <c r="K169" t="str">
        <f t="shared" si="2"/>
        <v>Train</v>
      </c>
    </row>
    <row r="170" spans="1:11" x14ac:dyDescent="0.2">
      <c r="A170" t="s">
        <v>190</v>
      </c>
      <c r="B170" s="2">
        <v>40740</v>
      </c>
      <c r="C170" s="3" t="s">
        <v>11</v>
      </c>
      <c r="D170">
        <v>1</v>
      </c>
      <c r="E170">
        <v>7</v>
      </c>
      <c r="F170" t="s">
        <v>12</v>
      </c>
      <c r="G170">
        <v>0</v>
      </c>
      <c r="H170">
        <v>1</v>
      </c>
      <c r="I170">
        <v>2</v>
      </c>
      <c r="J170">
        <v>0</v>
      </c>
      <c r="K170" t="str">
        <f t="shared" si="2"/>
        <v>Train</v>
      </c>
    </row>
    <row r="171" spans="1:11" x14ac:dyDescent="0.2">
      <c r="A171" t="s">
        <v>191</v>
      </c>
      <c r="B171" s="2">
        <v>40741</v>
      </c>
      <c r="C171" s="3" t="s">
        <v>14</v>
      </c>
      <c r="D171">
        <v>2</v>
      </c>
      <c r="E171">
        <v>7</v>
      </c>
      <c r="F171" t="s">
        <v>12</v>
      </c>
      <c r="G171">
        <v>0</v>
      </c>
      <c r="H171">
        <v>1</v>
      </c>
      <c r="I171">
        <v>1</v>
      </c>
      <c r="J171">
        <v>2</v>
      </c>
      <c r="K171" t="str">
        <f t="shared" si="2"/>
        <v>Train</v>
      </c>
    </row>
    <row r="172" spans="1:11" x14ac:dyDescent="0.2">
      <c r="A172" t="s">
        <v>192</v>
      </c>
      <c r="B172" s="2">
        <v>40742</v>
      </c>
      <c r="C172" s="3" t="s">
        <v>16</v>
      </c>
      <c r="D172">
        <v>3</v>
      </c>
      <c r="E172">
        <v>7</v>
      </c>
      <c r="F172" t="s">
        <v>12</v>
      </c>
      <c r="G172">
        <v>0</v>
      </c>
      <c r="H172">
        <v>1</v>
      </c>
      <c r="I172">
        <v>0</v>
      </c>
      <c r="J172">
        <v>2</v>
      </c>
      <c r="K172" t="str">
        <f t="shared" si="2"/>
        <v>Train</v>
      </c>
    </row>
    <row r="173" spans="1:11" x14ac:dyDescent="0.2">
      <c r="A173" t="s">
        <v>193</v>
      </c>
      <c r="B173" s="2">
        <v>40743</v>
      </c>
      <c r="C173" s="3" t="s">
        <v>18</v>
      </c>
      <c r="D173">
        <v>4</v>
      </c>
      <c r="E173">
        <v>7</v>
      </c>
      <c r="F173" t="s">
        <v>12</v>
      </c>
      <c r="G173">
        <v>0</v>
      </c>
      <c r="H173">
        <v>1</v>
      </c>
      <c r="I173">
        <v>2</v>
      </c>
      <c r="J173">
        <v>1</v>
      </c>
      <c r="K173" t="str">
        <f t="shared" si="2"/>
        <v>Train</v>
      </c>
    </row>
    <row r="174" spans="1:11" x14ac:dyDescent="0.2">
      <c r="A174" t="s">
        <v>194</v>
      </c>
      <c r="B174" s="2">
        <v>40744</v>
      </c>
      <c r="C174" s="3" t="s">
        <v>20</v>
      </c>
      <c r="D174">
        <v>5</v>
      </c>
      <c r="E174">
        <v>7</v>
      </c>
      <c r="F174" t="s">
        <v>12</v>
      </c>
      <c r="G174">
        <v>0</v>
      </c>
      <c r="H174">
        <v>1</v>
      </c>
      <c r="I174">
        <v>1</v>
      </c>
      <c r="J174">
        <v>0</v>
      </c>
      <c r="K174" t="str">
        <f t="shared" si="2"/>
        <v>Train</v>
      </c>
    </row>
    <row r="175" spans="1:11" x14ac:dyDescent="0.2">
      <c r="A175" t="s">
        <v>195</v>
      </c>
      <c r="B175" s="2">
        <v>40745</v>
      </c>
      <c r="C175" s="3" t="s">
        <v>22</v>
      </c>
      <c r="D175">
        <v>6</v>
      </c>
      <c r="E175">
        <v>7</v>
      </c>
      <c r="F175" t="s">
        <v>12</v>
      </c>
      <c r="G175">
        <v>0</v>
      </c>
      <c r="H175">
        <v>2</v>
      </c>
      <c r="I175">
        <v>1</v>
      </c>
      <c r="J175">
        <v>0</v>
      </c>
      <c r="K175" t="str">
        <f t="shared" si="2"/>
        <v>Train</v>
      </c>
    </row>
    <row r="176" spans="1:11" x14ac:dyDescent="0.2">
      <c r="A176" t="s">
        <v>196</v>
      </c>
      <c r="B176" s="2">
        <v>40746</v>
      </c>
      <c r="C176" s="3" t="s">
        <v>24</v>
      </c>
      <c r="D176">
        <v>7</v>
      </c>
      <c r="E176">
        <v>7</v>
      </c>
      <c r="F176" t="s">
        <v>12</v>
      </c>
      <c r="G176">
        <v>0</v>
      </c>
      <c r="H176">
        <v>0</v>
      </c>
      <c r="I176">
        <v>2</v>
      </c>
      <c r="J176">
        <v>0</v>
      </c>
      <c r="K176" t="str">
        <f t="shared" si="2"/>
        <v>Train</v>
      </c>
    </row>
    <row r="177" spans="1:11" x14ac:dyDescent="0.2">
      <c r="A177" t="s">
        <v>197</v>
      </c>
      <c r="B177" s="2">
        <v>40747</v>
      </c>
      <c r="C177" s="3" t="s">
        <v>11</v>
      </c>
      <c r="D177">
        <v>1</v>
      </c>
      <c r="E177">
        <v>7</v>
      </c>
      <c r="F177" t="s">
        <v>12</v>
      </c>
      <c r="G177">
        <v>0</v>
      </c>
      <c r="H177">
        <v>2</v>
      </c>
      <c r="I177">
        <v>0</v>
      </c>
      <c r="J177">
        <v>0</v>
      </c>
      <c r="K177" t="str">
        <f t="shared" si="2"/>
        <v>Train</v>
      </c>
    </row>
    <row r="178" spans="1:11" x14ac:dyDescent="0.2">
      <c r="A178" t="s">
        <v>198</v>
      </c>
      <c r="B178" s="2">
        <v>40748</v>
      </c>
      <c r="C178" s="3" t="s">
        <v>14</v>
      </c>
      <c r="D178">
        <v>2</v>
      </c>
      <c r="E178">
        <v>7</v>
      </c>
      <c r="F178" t="s">
        <v>12</v>
      </c>
      <c r="G178">
        <v>0</v>
      </c>
      <c r="H178">
        <v>0</v>
      </c>
      <c r="I178">
        <v>0</v>
      </c>
      <c r="J178">
        <v>1</v>
      </c>
      <c r="K178" t="str">
        <f t="shared" si="2"/>
        <v>Train</v>
      </c>
    </row>
    <row r="179" spans="1:11" x14ac:dyDescent="0.2">
      <c r="A179" t="s">
        <v>199</v>
      </c>
      <c r="B179" s="2">
        <v>40749</v>
      </c>
      <c r="C179" s="3" t="s">
        <v>16</v>
      </c>
      <c r="D179">
        <v>3</v>
      </c>
      <c r="E179">
        <v>7</v>
      </c>
      <c r="F179" t="s">
        <v>12</v>
      </c>
      <c r="G179">
        <v>0</v>
      </c>
      <c r="H179">
        <v>0</v>
      </c>
      <c r="I179">
        <v>0</v>
      </c>
      <c r="J179">
        <v>2</v>
      </c>
      <c r="K179" t="str">
        <f t="shared" si="2"/>
        <v>Train</v>
      </c>
    </row>
    <row r="180" spans="1:11" x14ac:dyDescent="0.2">
      <c r="A180" t="s">
        <v>200</v>
      </c>
      <c r="B180" s="2">
        <v>40750</v>
      </c>
      <c r="C180" s="3" t="s">
        <v>18</v>
      </c>
      <c r="D180">
        <v>4</v>
      </c>
      <c r="E180">
        <v>7</v>
      </c>
      <c r="F180" t="s">
        <v>12</v>
      </c>
      <c r="G180">
        <v>0</v>
      </c>
      <c r="H180">
        <v>0</v>
      </c>
      <c r="I180">
        <v>0</v>
      </c>
      <c r="J180">
        <v>0</v>
      </c>
      <c r="K180" t="str">
        <f t="shared" si="2"/>
        <v>Train</v>
      </c>
    </row>
    <row r="181" spans="1:11" x14ac:dyDescent="0.2">
      <c r="A181" t="s">
        <v>201</v>
      </c>
      <c r="B181" s="2">
        <v>40751</v>
      </c>
      <c r="C181" s="3" t="s">
        <v>20</v>
      </c>
      <c r="D181">
        <v>5</v>
      </c>
      <c r="E181">
        <v>7</v>
      </c>
      <c r="F181" t="s">
        <v>12</v>
      </c>
      <c r="G181">
        <v>0</v>
      </c>
      <c r="H181">
        <v>1</v>
      </c>
      <c r="I181">
        <v>1</v>
      </c>
      <c r="J181">
        <v>0</v>
      </c>
      <c r="K181" t="str">
        <f t="shared" si="2"/>
        <v>Train</v>
      </c>
    </row>
    <row r="182" spans="1:11" x14ac:dyDescent="0.2">
      <c r="A182" t="s">
        <v>202</v>
      </c>
      <c r="B182" s="2">
        <v>40752</v>
      </c>
      <c r="C182" s="3" t="s">
        <v>22</v>
      </c>
      <c r="D182">
        <v>6</v>
      </c>
      <c r="E182">
        <v>7</v>
      </c>
      <c r="F182" t="s">
        <v>12</v>
      </c>
      <c r="G182">
        <v>0</v>
      </c>
      <c r="H182">
        <v>0</v>
      </c>
      <c r="I182">
        <v>2</v>
      </c>
      <c r="J182">
        <v>0</v>
      </c>
      <c r="K182" t="str">
        <f t="shared" si="2"/>
        <v>Train</v>
      </c>
    </row>
    <row r="183" spans="1:11" x14ac:dyDescent="0.2">
      <c r="A183" t="s">
        <v>203</v>
      </c>
      <c r="B183" s="2">
        <v>40753</v>
      </c>
      <c r="C183" s="3" t="s">
        <v>24</v>
      </c>
      <c r="D183">
        <v>7</v>
      </c>
      <c r="E183">
        <v>7</v>
      </c>
      <c r="F183" t="s">
        <v>12</v>
      </c>
      <c r="G183">
        <v>0</v>
      </c>
      <c r="H183">
        <v>2</v>
      </c>
      <c r="I183">
        <v>2</v>
      </c>
      <c r="J183">
        <v>2</v>
      </c>
      <c r="K183" t="str">
        <f t="shared" si="2"/>
        <v>Train</v>
      </c>
    </row>
    <row r="184" spans="1:11" x14ac:dyDescent="0.2">
      <c r="A184" t="s">
        <v>204</v>
      </c>
      <c r="B184" s="2">
        <v>40754</v>
      </c>
      <c r="C184" s="3" t="s">
        <v>11</v>
      </c>
      <c r="D184">
        <v>1</v>
      </c>
      <c r="E184">
        <v>7</v>
      </c>
      <c r="F184" t="s">
        <v>12</v>
      </c>
      <c r="G184">
        <v>0</v>
      </c>
      <c r="H184">
        <v>0</v>
      </c>
      <c r="I184">
        <v>0</v>
      </c>
      <c r="J184">
        <v>0</v>
      </c>
      <c r="K184" t="str">
        <f t="shared" si="2"/>
        <v>Train</v>
      </c>
    </row>
    <row r="185" spans="1:11" x14ac:dyDescent="0.2">
      <c r="A185" t="s">
        <v>205</v>
      </c>
      <c r="B185" s="2">
        <v>40755</v>
      </c>
      <c r="C185" s="3" t="s">
        <v>14</v>
      </c>
      <c r="D185">
        <v>2</v>
      </c>
      <c r="E185">
        <v>7</v>
      </c>
      <c r="F185" t="s">
        <v>12</v>
      </c>
      <c r="G185">
        <v>0</v>
      </c>
      <c r="H185">
        <v>1</v>
      </c>
      <c r="I185">
        <v>0</v>
      </c>
      <c r="J185">
        <v>1</v>
      </c>
      <c r="K185" t="str">
        <f t="shared" si="2"/>
        <v>Train</v>
      </c>
    </row>
    <row r="186" spans="1:11" x14ac:dyDescent="0.2">
      <c r="A186" t="s">
        <v>206</v>
      </c>
      <c r="B186" s="2">
        <v>40756</v>
      </c>
      <c r="C186" s="3" t="s">
        <v>16</v>
      </c>
      <c r="D186">
        <v>3</v>
      </c>
      <c r="E186">
        <v>8</v>
      </c>
      <c r="F186" t="s">
        <v>61</v>
      </c>
      <c r="G186">
        <v>1</v>
      </c>
      <c r="H186">
        <v>0</v>
      </c>
      <c r="I186">
        <v>2</v>
      </c>
      <c r="J186">
        <v>0</v>
      </c>
      <c r="K186" t="str">
        <f t="shared" si="2"/>
        <v>Train</v>
      </c>
    </row>
    <row r="187" spans="1:11" x14ac:dyDescent="0.2">
      <c r="A187" t="s">
        <v>207</v>
      </c>
      <c r="B187" s="2">
        <v>40757</v>
      </c>
      <c r="C187" s="3" t="s">
        <v>18</v>
      </c>
      <c r="D187">
        <v>4</v>
      </c>
      <c r="E187">
        <v>8</v>
      </c>
      <c r="F187" t="s">
        <v>12</v>
      </c>
      <c r="G187">
        <v>1</v>
      </c>
      <c r="H187">
        <v>0</v>
      </c>
      <c r="I187">
        <v>2</v>
      </c>
      <c r="J187">
        <v>1</v>
      </c>
      <c r="K187" t="str">
        <f t="shared" si="2"/>
        <v>Train</v>
      </c>
    </row>
    <row r="188" spans="1:11" x14ac:dyDescent="0.2">
      <c r="A188" t="s">
        <v>208</v>
      </c>
      <c r="B188" s="2">
        <v>40758</v>
      </c>
      <c r="C188" s="3" t="s">
        <v>20</v>
      </c>
      <c r="D188">
        <v>5</v>
      </c>
      <c r="E188">
        <v>8</v>
      </c>
      <c r="F188" t="s">
        <v>12</v>
      </c>
      <c r="G188">
        <v>1</v>
      </c>
      <c r="H188">
        <v>1</v>
      </c>
      <c r="I188">
        <v>1</v>
      </c>
      <c r="J188">
        <v>1</v>
      </c>
      <c r="K188" t="str">
        <f t="shared" si="2"/>
        <v>Train</v>
      </c>
    </row>
    <row r="189" spans="1:11" x14ac:dyDescent="0.2">
      <c r="A189" t="s">
        <v>209</v>
      </c>
      <c r="B189" s="2">
        <v>40759</v>
      </c>
      <c r="C189" s="3" t="s">
        <v>22</v>
      </c>
      <c r="D189">
        <v>6</v>
      </c>
      <c r="E189">
        <v>8</v>
      </c>
      <c r="F189" t="s">
        <v>12</v>
      </c>
      <c r="G189">
        <v>1</v>
      </c>
      <c r="H189">
        <v>1</v>
      </c>
      <c r="I189">
        <v>0</v>
      </c>
      <c r="J189">
        <v>0</v>
      </c>
      <c r="K189" t="str">
        <f t="shared" si="2"/>
        <v>Train</v>
      </c>
    </row>
    <row r="190" spans="1:11" x14ac:dyDescent="0.2">
      <c r="A190" t="s">
        <v>210</v>
      </c>
      <c r="B190" s="2">
        <v>40760</v>
      </c>
      <c r="C190" s="3" t="s">
        <v>24</v>
      </c>
      <c r="D190">
        <v>7</v>
      </c>
      <c r="E190">
        <v>8</v>
      </c>
      <c r="F190" t="s">
        <v>12</v>
      </c>
      <c r="G190">
        <v>1</v>
      </c>
      <c r="H190">
        <v>0</v>
      </c>
      <c r="I190">
        <v>0</v>
      </c>
      <c r="J190">
        <v>0</v>
      </c>
      <c r="K190" t="str">
        <f t="shared" si="2"/>
        <v>Train</v>
      </c>
    </row>
    <row r="191" spans="1:11" x14ac:dyDescent="0.2">
      <c r="A191" t="s">
        <v>211</v>
      </c>
      <c r="B191" s="2">
        <v>40761</v>
      </c>
      <c r="C191" s="3" t="s">
        <v>11</v>
      </c>
      <c r="D191">
        <v>1</v>
      </c>
      <c r="E191">
        <v>8</v>
      </c>
      <c r="F191" t="s">
        <v>12</v>
      </c>
      <c r="G191">
        <v>1</v>
      </c>
      <c r="H191">
        <v>0</v>
      </c>
      <c r="I191">
        <v>1</v>
      </c>
      <c r="J191">
        <v>1</v>
      </c>
      <c r="K191" t="str">
        <f t="shared" si="2"/>
        <v>Train</v>
      </c>
    </row>
    <row r="192" spans="1:11" x14ac:dyDescent="0.2">
      <c r="A192" t="s">
        <v>212</v>
      </c>
      <c r="B192" s="2">
        <v>40762</v>
      </c>
      <c r="C192" s="3" t="s">
        <v>14</v>
      </c>
      <c r="D192">
        <v>2</v>
      </c>
      <c r="E192">
        <v>8</v>
      </c>
      <c r="F192" t="s">
        <v>12</v>
      </c>
      <c r="G192">
        <v>1</v>
      </c>
      <c r="H192">
        <v>0</v>
      </c>
      <c r="I192">
        <v>1</v>
      </c>
      <c r="J192">
        <v>2</v>
      </c>
      <c r="K192" t="str">
        <f t="shared" si="2"/>
        <v>Train</v>
      </c>
    </row>
    <row r="193" spans="1:11" x14ac:dyDescent="0.2">
      <c r="A193" t="s">
        <v>213</v>
      </c>
      <c r="B193" s="2">
        <v>40763</v>
      </c>
      <c r="C193" s="3" t="s">
        <v>16</v>
      </c>
      <c r="D193">
        <v>3</v>
      </c>
      <c r="E193">
        <v>8</v>
      </c>
      <c r="F193" t="s">
        <v>12</v>
      </c>
      <c r="G193">
        <v>1</v>
      </c>
      <c r="H193">
        <v>0</v>
      </c>
      <c r="I193">
        <v>3</v>
      </c>
      <c r="J193">
        <v>2</v>
      </c>
      <c r="K193" t="str">
        <f t="shared" si="2"/>
        <v>Train</v>
      </c>
    </row>
    <row r="194" spans="1:11" x14ac:dyDescent="0.2">
      <c r="A194" t="s">
        <v>214</v>
      </c>
      <c r="B194" s="2">
        <v>40764</v>
      </c>
      <c r="C194" s="3" t="s">
        <v>18</v>
      </c>
      <c r="D194">
        <v>4</v>
      </c>
      <c r="E194">
        <v>8</v>
      </c>
      <c r="F194" t="s">
        <v>12</v>
      </c>
      <c r="G194">
        <v>1</v>
      </c>
      <c r="H194">
        <v>0</v>
      </c>
      <c r="I194">
        <v>1</v>
      </c>
      <c r="J194">
        <v>0</v>
      </c>
      <c r="K194" t="str">
        <f t="shared" ref="K194:K257" si="3">IF(ROW()-1&lt;=300,"Train","Validation")</f>
        <v>Train</v>
      </c>
    </row>
    <row r="195" spans="1:11" x14ac:dyDescent="0.2">
      <c r="A195" t="s">
        <v>215</v>
      </c>
      <c r="B195" s="2">
        <v>40765</v>
      </c>
      <c r="C195" s="3" t="s">
        <v>20</v>
      </c>
      <c r="D195">
        <v>5</v>
      </c>
      <c r="E195">
        <v>8</v>
      </c>
      <c r="F195" t="s">
        <v>12</v>
      </c>
      <c r="G195">
        <v>1</v>
      </c>
      <c r="H195">
        <v>0</v>
      </c>
      <c r="I195">
        <v>0</v>
      </c>
      <c r="J195">
        <v>2</v>
      </c>
      <c r="K195" t="str">
        <f t="shared" si="3"/>
        <v>Train</v>
      </c>
    </row>
    <row r="196" spans="1:11" x14ac:dyDescent="0.2">
      <c r="A196" t="s">
        <v>216</v>
      </c>
      <c r="B196" s="2">
        <v>40766</v>
      </c>
      <c r="C196" s="3" t="s">
        <v>22</v>
      </c>
      <c r="D196">
        <v>6</v>
      </c>
      <c r="E196">
        <v>8</v>
      </c>
      <c r="F196" t="s">
        <v>12</v>
      </c>
      <c r="G196">
        <v>0</v>
      </c>
      <c r="H196">
        <v>0</v>
      </c>
      <c r="I196">
        <v>1</v>
      </c>
      <c r="J196">
        <v>0</v>
      </c>
      <c r="K196" t="str">
        <f t="shared" si="3"/>
        <v>Train</v>
      </c>
    </row>
    <row r="197" spans="1:11" x14ac:dyDescent="0.2">
      <c r="A197" t="s">
        <v>217</v>
      </c>
      <c r="B197" s="2">
        <v>40767</v>
      </c>
      <c r="C197" s="3" t="s">
        <v>24</v>
      </c>
      <c r="D197">
        <v>7</v>
      </c>
      <c r="E197">
        <v>8</v>
      </c>
      <c r="F197" t="s">
        <v>12</v>
      </c>
      <c r="G197">
        <v>0</v>
      </c>
      <c r="H197">
        <v>0</v>
      </c>
      <c r="I197">
        <v>5</v>
      </c>
      <c r="J197">
        <v>4</v>
      </c>
      <c r="K197" t="str">
        <f t="shared" si="3"/>
        <v>Train</v>
      </c>
    </row>
    <row r="198" spans="1:11" x14ac:dyDescent="0.2">
      <c r="A198" t="s">
        <v>218</v>
      </c>
      <c r="B198" s="2">
        <v>40768</v>
      </c>
      <c r="C198" s="3" t="s">
        <v>11</v>
      </c>
      <c r="D198">
        <v>1</v>
      </c>
      <c r="E198">
        <v>8</v>
      </c>
      <c r="F198" t="s">
        <v>12</v>
      </c>
      <c r="G198">
        <v>0</v>
      </c>
      <c r="H198">
        <v>0</v>
      </c>
      <c r="I198">
        <v>2</v>
      </c>
      <c r="J198">
        <v>5</v>
      </c>
      <c r="K198" t="str">
        <f t="shared" si="3"/>
        <v>Train</v>
      </c>
    </row>
    <row r="199" spans="1:11" x14ac:dyDescent="0.2">
      <c r="A199" t="s">
        <v>219</v>
      </c>
      <c r="B199" s="2">
        <v>40769</v>
      </c>
      <c r="C199" s="3" t="s">
        <v>14</v>
      </c>
      <c r="D199">
        <v>2</v>
      </c>
      <c r="E199">
        <v>8</v>
      </c>
      <c r="F199" t="s">
        <v>12</v>
      </c>
      <c r="G199">
        <v>0</v>
      </c>
      <c r="H199">
        <v>0</v>
      </c>
      <c r="I199">
        <v>0</v>
      </c>
      <c r="J199">
        <v>0</v>
      </c>
      <c r="K199" t="str">
        <f t="shared" si="3"/>
        <v>Train</v>
      </c>
    </row>
    <row r="200" spans="1:11" x14ac:dyDescent="0.2">
      <c r="A200" t="s">
        <v>220</v>
      </c>
      <c r="B200" s="2">
        <v>40770</v>
      </c>
      <c r="C200" s="3" t="s">
        <v>16</v>
      </c>
      <c r="D200">
        <v>3</v>
      </c>
      <c r="E200">
        <v>8</v>
      </c>
      <c r="F200" t="s">
        <v>12</v>
      </c>
      <c r="G200">
        <v>0</v>
      </c>
      <c r="H200">
        <v>0</v>
      </c>
      <c r="I200">
        <v>0</v>
      </c>
      <c r="J200">
        <v>0</v>
      </c>
      <c r="K200" t="str">
        <f t="shared" si="3"/>
        <v>Train</v>
      </c>
    </row>
    <row r="201" spans="1:11" x14ac:dyDescent="0.2">
      <c r="A201" t="s">
        <v>221</v>
      </c>
      <c r="B201" s="2">
        <v>40771</v>
      </c>
      <c r="C201" s="3" t="s">
        <v>18</v>
      </c>
      <c r="D201">
        <v>4</v>
      </c>
      <c r="E201">
        <v>8</v>
      </c>
      <c r="F201" t="s">
        <v>12</v>
      </c>
      <c r="G201">
        <v>0</v>
      </c>
      <c r="H201">
        <v>0</v>
      </c>
      <c r="I201">
        <v>0</v>
      </c>
      <c r="J201">
        <v>1</v>
      </c>
      <c r="K201" t="str">
        <f t="shared" si="3"/>
        <v>Train</v>
      </c>
    </row>
    <row r="202" spans="1:11" x14ac:dyDescent="0.2">
      <c r="A202" t="s">
        <v>222</v>
      </c>
      <c r="B202" s="2">
        <v>40772</v>
      </c>
      <c r="C202" s="3" t="s">
        <v>20</v>
      </c>
      <c r="D202">
        <v>5</v>
      </c>
      <c r="E202">
        <v>8</v>
      </c>
      <c r="F202" t="s">
        <v>12</v>
      </c>
      <c r="G202">
        <v>0</v>
      </c>
      <c r="H202">
        <v>0</v>
      </c>
      <c r="I202">
        <v>1</v>
      </c>
      <c r="J202">
        <v>0</v>
      </c>
      <c r="K202" t="str">
        <f t="shared" si="3"/>
        <v>Train</v>
      </c>
    </row>
    <row r="203" spans="1:11" x14ac:dyDescent="0.2">
      <c r="A203" t="s">
        <v>223</v>
      </c>
      <c r="B203" s="2">
        <v>40773</v>
      </c>
      <c r="C203" s="3" t="s">
        <v>22</v>
      </c>
      <c r="D203">
        <v>6</v>
      </c>
      <c r="E203">
        <v>8</v>
      </c>
      <c r="F203" t="s">
        <v>12</v>
      </c>
      <c r="G203">
        <v>0</v>
      </c>
      <c r="H203">
        <v>0</v>
      </c>
      <c r="I203">
        <v>1</v>
      </c>
      <c r="J203">
        <v>0</v>
      </c>
      <c r="K203" t="str">
        <f t="shared" si="3"/>
        <v>Train</v>
      </c>
    </row>
    <row r="204" spans="1:11" x14ac:dyDescent="0.2">
      <c r="A204" t="s">
        <v>224</v>
      </c>
      <c r="B204" s="2">
        <v>40774</v>
      </c>
      <c r="C204" s="3" t="s">
        <v>24</v>
      </c>
      <c r="D204">
        <v>7</v>
      </c>
      <c r="E204">
        <v>8</v>
      </c>
      <c r="F204" t="s">
        <v>12</v>
      </c>
      <c r="G204">
        <v>0</v>
      </c>
      <c r="H204">
        <v>0</v>
      </c>
      <c r="I204">
        <v>0</v>
      </c>
      <c r="J204">
        <v>1</v>
      </c>
      <c r="K204" t="str">
        <f t="shared" si="3"/>
        <v>Train</v>
      </c>
    </row>
    <row r="205" spans="1:11" x14ac:dyDescent="0.2">
      <c r="A205" t="s">
        <v>225</v>
      </c>
      <c r="B205" s="2">
        <v>40775</v>
      </c>
      <c r="C205" s="3" t="s">
        <v>11</v>
      </c>
      <c r="D205">
        <v>1</v>
      </c>
      <c r="E205">
        <v>8</v>
      </c>
      <c r="F205" t="s">
        <v>12</v>
      </c>
      <c r="G205">
        <v>0</v>
      </c>
      <c r="H205">
        <v>0</v>
      </c>
      <c r="I205">
        <v>1</v>
      </c>
      <c r="J205">
        <v>2</v>
      </c>
      <c r="K205" t="str">
        <f t="shared" si="3"/>
        <v>Train</v>
      </c>
    </row>
    <row r="206" spans="1:11" x14ac:dyDescent="0.2">
      <c r="A206" t="s">
        <v>226</v>
      </c>
      <c r="B206" s="2">
        <v>40776</v>
      </c>
      <c r="C206" s="3" t="s">
        <v>14</v>
      </c>
      <c r="D206">
        <v>2</v>
      </c>
      <c r="E206">
        <v>8</v>
      </c>
      <c r="F206" t="s">
        <v>12</v>
      </c>
      <c r="G206">
        <v>0</v>
      </c>
      <c r="H206">
        <v>0</v>
      </c>
      <c r="I206">
        <v>2</v>
      </c>
      <c r="J206">
        <v>0</v>
      </c>
      <c r="K206" t="str">
        <f t="shared" si="3"/>
        <v>Train</v>
      </c>
    </row>
    <row r="207" spans="1:11" x14ac:dyDescent="0.2">
      <c r="A207" t="s">
        <v>227</v>
      </c>
      <c r="B207" s="2">
        <v>40777</v>
      </c>
      <c r="C207" s="3" t="s">
        <v>16</v>
      </c>
      <c r="D207">
        <v>3</v>
      </c>
      <c r="E207">
        <v>8</v>
      </c>
      <c r="F207" t="s">
        <v>12</v>
      </c>
      <c r="G207">
        <v>0</v>
      </c>
      <c r="H207">
        <v>0</v>
      </c>
      <c r="I207">
        <v>1</v>
      </c>
      <c r="J207">
        <v>2</v>
      </c>
      <c r="K207" t="str">
        <f t="shared" si="3"/>
        <v>Train</v>
      </c>
    </row>
    <row r="208" spans="1:11" x14ac:dyDescent="0.2">
      <c r="A208" t="s">
        <v>228</v>
      </c>
      <c r="B208" s="2">
        <v>40778</v>
      </c>
      <c r="C208" s="3" t="s">
        <v>18</v>
      </c>
      <c r="D208">
        <v>4</v>
      </c>
      <c r="E208">
        <v>8</v>
      </c>
      <c r="F208" t="s">
        <v>12</v>
      </c>
      <c r="G208">
        <v>0</v>
      </c>
      <c r="H208">
        <v>0</v>
      </c>
      <c r="I208">
        <v>1</v>
      </c>
      <c r="J208">
        <v>1</v>
      </c>
      <c r="K208" t="str">
        <f t="shared" si="3"/>
        <v>Train</v>
      </c>
    </row>
    <row r="209" spans="1:11" x14ac:dyDescent="0.2">
      <c r="A209" t="s">
        <v>229</v>
      </c>
      <c r="B209" s="2">
        <v>40779</v>
      </c>
      <c r="C209" s="3" t="s">
        <v>20</v>
      </c>
      <c r="D209">
        <v>5</v>
      </c>
      <c r="E209">
        <v>8</v>
      </c>
      <c r="F209" t="s">
        <v>12</v>
      </c>
      <c r="G209">
        <v>0</v>
      </c>
      <c r="H209">
        <v>0</v>
      </c>
      <c r="I209">
        <v>0</v>
      </c>
      <c r="J209">
        <v>0</v>
      </c>
      <c r="K209" t="str">
        <f t="shared" si="3"/>
        <v>Train</v>
      </c>
    </row>
    <row r="210" spans="1:11" x14ac:dyDescent="0.2">
      <c r="A210" t="s">
        <v>230</v>
      </c>
      <c r="B210" s="2">
        <v>40780</v>
      </c>
      <c r="C210" s="3" t="s">
        <v>22</v>
      </c>
      <c r="D210">
        <v>6</v>
      </c>
      <c r="E210">
        <v>8</v>
      </c>
      <c r="F210" t="s">
        <v>12</v>
      </c>
      <c r="G210">
        <v>0</v>
      </c>
      <c r="H210">
        <v>0</v>
      </c>
      <c r="I210">
        <v>1</v>
      </c>
      <c r="J210">
        <v>4</v>
      </c>
      <c r="K210" t="str">
        <f t="shared" si="3"/>
        <v>Train</v>
      </c>
    </row>
    <row r="211" spans="1:11" x14ac:dyDescent="0.2">
      <c r="A211" t="s">
        <v>231</v>
      </c>
      <c r="B211" s="2">
        <v>40781</v>
      </c>
      <c r="C211" s="3" t="s">
        <v>24</v>
      </c>
      <c r="D211">
        <v>7</v>
      </c>
      <c r="E211">
        <v>8</v>
      </c>
      <c r="F211" t="s">
        <v>12</v>
      </c>
      <c r="G211">
        <v>0</v>
      </c>
      <c r="H211">
        <v>0</v>
      </c>
      <c r="I211">
        <v>0</v>
      </c>
      <c r="J211">
        <v>2</v>
      </c>
      <c r="K211" t="str">
        <f t="shared" si="3"/>
        <v>Train</v>
      </c>
    </row>
    <row r="212" spans="1:11" x14ac:dyDescent="0.2">
      <c r="A212" t="s">
        <v>232</v>
      </c>
      <c r="B212" s="2">
        <v>40782</v>
      </c>
      <c r="C212" s="3" t="s">
        <v>11</v>
      </c>
      <c r="D212">
        <v>1</v>
      </c>
      <c r="E212">
        <v>8</v>
      </c>
      <c r="F212" t="s">
        <v>12</v>
      </c>
      <c r="G212">
        <v>0</v>
      </c>
      <c r="H212">
        <v>0</v>
      </c>
      <c r="I212">
        <v>0</v>
      </c>
      <c r="J212">
        <v>2</v>
      </c>
      <c r="K212" t="str">
        <f t="shared" si="3"/>
        <v>Train</v>
      </c>
    </row>
    <row r="213" spans="1:11" x14ac:dyDescent="0.2">
      <c r="A213" t="s">
        <v>233</v>
      </c>
      <c r="B213" s="2">
        <v>40783</v>
      </c>
      <c r="C213" s="3" t="s">
        <v>14</v>
      </c>
      <c r="D213">
        <v>2</v>
      </c>
      <c r="E213">
        <v>8</v>
      </c>
      <c r="F213" t="s">
        <v>12</v>
      </c>
      <c r="G213">
        <v>0</v>
      </c>
      <c r="H213">
        <v>0</v>
      </c>
      <c r="I213">
        <v>1</v>
      </c>
      <c r="J213">
        <v>0</v>
      </c>
      <c r="K213" t="str">
        <f t="shared" si="3"/>
        <v>Train</v>
      </c>
    </row>
    <row r="214" spans="1:11" x14ac:dyDescent="0.2">
      <c r="A214" t="s">
        <v>234</v>
      </c>
      <c r="B214" s="2">
        <v>40784</v>
      </c>
      <c r="C214" s="3" t="s">
        <v>16</v>
      </c>
      <c r="D214">
        <v>3</v>
      </c>
      <c r="E214">
        <v>8</v>
      </c>
      <c r="F214" t="s">
        <v>12</v>
      </c>
      <c r="G214">
        <v>0</v>
      </c>
      <c r="H214">
        <v>0</v>
      </c>
      <c r="I214">
        <v>2</v>
      </c>
      <c r="J214">
        <v>0</v>
      </c>
      <c r="K214" t="str">
        <f t="shared" si="3"/>
        <v>Train</v>
      </c>
    </row>
    <row r="215" spans="1:11" x14ac:dyDescent="0.2">
      <c r="A215" t="s">
        <v>235</v>
      </c>
      <c r="B215" s="2">
        <v>40785</v>
      </c>
      <c r="C215" s="3" t="s">
        <v>18</v>
      </c>
      <c r="D215">
        <v>4</v>
      </c>
      <c r="E215">
        <v>8</v>
      </c>
      <c r="F215" t="s">
        <v>12</v>
      </c>
      <c r="G215">
        <v>0</v>
      </c>
      <c r="H215">
        <v>0</v>
      </c>
      <c r="I215">
        <v>1</v>
      </c>
      <c r="J215">
        <v>0</v>
      </c>
      <c r="K215" t="str">
        <f t="shared" si="3"/>
        <v>Train</v>
      </c>
    </row>
    <row r="216" spans="1:11" x14ac:dyDescent="0.2">
      <c r="A216" t="s">
        <v>236</v>
      </c>
      <c r="B216" s="2">
        <v>40786</v>
      </c>
      <c r="C216" s="3" t="s">
        <v>20</v>
      </c>
      <c r="D216">
        <v>5</v>
      </c>
      <c r="E216">
        <v>8</v>
      </c>
      <c r="F216" t="s">
        <v>61</v>
      </c>
      <c r="G216">
        <v>0</v>
      </c>
      <c r="H216">
        <v>0</v>
      </c>
      <c r="I216">
        <v>3</v>
      </c>
      <c r="J216">
        <v>1</v>
      </c>
      <c r="K216" t="str">
        <f t="shared" si="3"/>
        <v>Train</v>
      </c>
    </row>
    <row r="217" spans="1:11" x14ac:dyDescent="0.2">
      <c r="A217" t="s">
        <v>237</v>
      </c>
      <c r="B217" s="2">
        <v>40787</v>
      </c>
      <c r="C217" s="3" t="s">
        <v>22</v>
      </c>
      <c r="D217">
        <v>6</v>
      </c>
      <c r="E217">
        <v>9</v>
      </c>
      <c r="F217" t="s">
        <v>12</v>
      </c>
      <c r="G217">
        <v>1</v>
      </c>
      <c r="H217">
        <v>0</v>
      </c>
      <c r="I217">
        <v>2</v>
      </c>
      <c r="J217">
        <v>1</v>
      </c>
      <c r="K217" t="str">
        <f t="shared" si="3"/>
        <v>Train</v>
      </c>
    </row>
    <row r="218" spans="1:11" x14ac:dyDescent="0.2">
      <c r="A218" t="s">
        <v>238</v>
      </c>
      <c r="B218" s="2">
        <v>40788</v>
      </c>
      <c r="C218" s="3" t="s">
        <v>24</v>
      </c>
      <c r="D218">
        <v>7</v>
      </c>
      <c r="E218">
        <v>9</v>
      </c>
      <c r="F218" t="s">
        <v>12</v>
      </c>
      <c r="G218">
        <v>1</v>
      </c>
      <c r="H218">
        <v>0</v>
      </c>
      <c r="I218">
        <v>1</v>
      </c>
      <c r="J218">
        <v>2</v>
      </c>
      <c r="K218" t="str">
        <f t="shared" si="3"/>
        <v>Train</v>
      </c>
    </row>
    <row r="219" spans="1:11" x14ac:dyDescent="0.2">
      <c r="A219" t="s">
        <v>239</v>
      </c>
      <c r="B219" s="2">
        <v>40789</v>
      </c>
      <c r="C219" s="3" t="s">
        <v>11</v>
      </c>
      <c r="D219">
        <v>1</v>
      </c>
      <c r="E219">
        <v>9</v>
      </c>
      <c r="F219" t="s">
        <v>12</v>
      </c>
      <c r="G219">
        <v>1</v>
      </c>
      <c r="H219">
        <v>0</v>
      </c>
      <c r="I219">
        <v>1</v>
      </c>
      <c r="J219">
        <v>1</v>
      </c>
      <c r="K219" t="str">
        <f t="shared" si="3"/>
        <v>Train</v>
      </c>
    </row>
    <row r="220" spans="1:11" x14ac:dyDescent="0.2">
      <c r="A220" t="s">
        <v>240</v>
      </c>
      <c r="B220" s="2">
        <v>40790</v>
      </c>
      <c r="C220" s="3" t="s">
        <v>14</v>
      </c>
      <c r="D220">
        <v>2</v>
      </c>
      <c r="E220">
        <v>9</v>
      </c>
      <c r="F220" t="s">
        <v>12</v>
      </c>
      <c r="G220">
        <v>1</v>
      </c>
      <c r="H220">
        <v>0</v>
      </c>
      <c r="I220">
        <v>0</v>
      </c>
      <c r="J220">
        <v>0</v>
      </c>
      <c r="K220" t="str">
        <f t="shared" si="3"/>
        <v>Train</v>
      </c>
    </row>
    <row r="221" spans="1:11" x14ac:dyDescent="0.2">
      <c r="A221" t="s">
        <v>241</v>
      </c>
      <c r="B221" s="2">
        <v>40791</v>
      </c>
      <c r="C221" s="3" t="s">
        <v>16</v>
      </c>
      <c r="D221">
        <v>3</v>
      </c>
      <c r="E221">
        <v>9</v>
      </c>
      <c r="F221" t="s">
        <v>44</v>
      </c>
      <c r="G221">
        <v>1</v>
      </c>
      <c r="H221">
        <v>0</v>
      </c>
      <c r="I221">
        <v>1</v>
      </c>
      <c r="J221">
        <v>0</v>
      </c>
      <c r="K221" t="str">
        <f t="shared" si="3"/>
        <v>Train</v>
      </c>
    </row>
    <row r="222" spans="1:11" x14ac:dyDescent="0.2">
      <c r="A222" t="s">
        <v>242</v>
      </c>
      <c r="B222" s="2">
        <v>40792</v>
      </c>
      <c r="C222" s="3" t="s">
        <v>18</v>
      </c>
      <c r="D222">
        <v>4</v>
      </c>
      <c r="E222">
        <v>9</v>
      </c>
      <c r="F222" t="s">
        <v>12</v>
      </c>
      <c r="G222">
        <v>1</v>
      </c>
      <c r="H222">
        <v>0</v>
      </c>
      <c r="I222">
        <v>0</v>
      </c>
      <c r="J222">
        <v>1</v>
      </c>
      <c r="K222" t="str">
        <f t="shared" si="3"/>
        <v>Train</v>
      </c>
    </row>
    <row r="223" spans="1:11" x14ac:dyDescent="0.2">
      <c r="A223" t="s">
        <v>243</v>
      </c>
      <c r="B223" s="2">
        <v>40793</v>
      </c>
      <c r="C223" s="3" t="s">
        <v>20</v>
      </c>
      <c r="D223">
        <v>5</v>
      </c>
      <c r="E223">
        <v>9</v>
      </c>
      <c r="F223" t="s">
        <v>12</v>
      </c>
      <c r="G223">
        <v>1</v>
      </c>
      <c r="H223">
        <v>0</v>
      </c>
      <c r="I223">
        <v>0</v>
      </c>
      <c r="J223">
        <v>2</v>
      </c>
      <c r="K223" t="str">
        <f t="shared" si="3"/>
        <v>Train</v>
      </c>
    </row>
    <row r="224" spans="1:11" x14ac:dyDescent="0.2">
      <c r="A224" t="s">
        <v>244</v>
      </c>
      <c r="B224" s="2">
        <v>40794</v>
      </c>
      <c r="C224" s="3" t="s">
        <v>22</v>
      </c>
      <c r="D224">
        <v>6</v>
      </c>
      <c r="E224">
        <v>9</v>
      </c>
      <c r="F224" t="s">
        <v>12</v>
      </c>
      <c r="G224">
        <v>1</v>
      </c>
      <c r="H224">
        <v>0</v>
      </c>
      <c r="I224">
        <v>1</v>
      </c>
      <c r="J224">
        <v>0</v>
      </c>
      <c r="K224" t="str">
        <f t="shared" si="3"/>
        <v>Train</v>
      </c>
    </row>
    <row r="225" spans="1:11" x14ac:dyDescent="0.2">
      <c r="A225" t="s">
        <v>245</v>
      </c>
      <c r="B225" s="2">
        <v>40795</v>
      </c>
      <c r="C225" s="3" t="s">
        <v>24</v>
      </c>
      <c r="D225">
        <v>7</v>
      </c>
      <c r="E225">
        <v>9</v>
      </c>
      <c r="F225" t="s">
        <v>12</v>
      </c>
      <c r="G225">
        <v>1</v>
      </c>
      <c r="H225">
        <v>0</v>
      </c>
      <c r="I225">
        <v>0</v>
      </c>
      <c r="J225">
        <v>0</v>
      </c>
      <c r="K225" t="str">
        <f t="shared" si="3"/>
        <v>Train</v>
      </c>
    </row>
    <row r="226" spans="1:11" x14ac:dyDescent="0.2">
      <c r="A226" t="s">
        <v>246</v>
      </c>
      <c r="B226" s="2">
        <v>40796</v>
      </c>
      <c r="C226" s="3" t="s">
        <v>11</v>
      </c>
      <c r="D226">
        <v>1</v>
      </c>
      <c r="E226">
        <v>9</v>
      </c>
      <c r="F226" t="s">
        <v>12</v>
      </c>
      <c r="G226">
        <v>1</v>
      </c>
      <c r="H226">
        <v>0</v>
      </c>
      <c r="I226">
        <v>1</v>
      </c>
      <c r="J226">
        <v>0</v>
      </c>
      <c r="K226" t="str">
        <f t="shared" si="3"/>
        <v>Train</v>
      </c>
    </row>
    <row r="227" spans="1:11" x14ac:dyDescent="0.2">
      <c r="A227" t="s">
        <v>247</v>
      </c>
      <c r="B227" s="2">
        <v>40797</v>
      </c>
      <c r="C227" s="3" t="s">
        <v>14</v>
      </c>
      <c r="D227">
        <v>2</v>
      </c>
      <c r="E227">
        <v>9</v>
      </c>
      <c r="F227" t="s">
        <v>12</v>
      </c>
      <c r="G227">
        <v>0</v>
      </c>
      <c r="H227">
        <v>0</v>
      </c>
      <c r="I227">
        <v>1</v>
      </c>
      <c r="J227">
        <v>0</v>
      </c>
      <c r="K227" t="str">
        <f t="shared" si="3"/>
        <v>Train</v>
      </c>
    </row>
    <row r="228" spans="1:11" x14ac:dyDescent="0.2">
      <c r="A228" t="s">
        <v>248</v>
      </c>
      <c r="B228" s="2">
        <v>40798</v>
      </c>
      <c r="C228" s="3" t="s">
        <v>16</v>
      </c>
      <c r="D228">
        <v>3</v>
      </c>
      <c r="E228">
        <v>9</v>
      </c>
      <c r="F228" t="s">
        <v>12</v>
      </c>
      <c r="G228">
        <v>0</v>
      </c>
      <c r="H228">
        <v>0</v>
      </c>
      <c r="I228">
        <v>0</v>
      </c>
      <c r="J228">
        <v>0</v>
      </c>
      <c r="K228" t="str">
        <f t="shared" si="3"/>
        <v>Train</v>
      </c>
    </row>
    <row r="229" spans="1:11" x14ac:dyDescent="0.2">
      <c r="A229" t="s">
        <v>249</v>
      </c>
      <c r="B229" s="2">
        <v>40799</v>
      </c>
      <c r="C229" s="3" t="s">
        <v>18</v>
      </c>
      <c r="D229">
        <v>4</v>
      </c>
      <c r="E229">
        <v>9</v>
      </c>
      <c r="F229" t="s">
        <v>12</v>
      </c>
      <c r="G229">
        <v>0</v>
      </c>
      <c r="H229">
        <v>0</v>
      </c>
      <c r="I229">
        <v>0</v>
      </c>
      <c r="J229">
        <v>0</v>
      </c>
      <c r="K229" t="str">
        <f t="shared" si="3"/>
        <v>Train</v>
      </c>
    </row>
    <row r="230" spans="1:11" x14ac:dyDescent="0.2">
      <c r="A230" t="s">
        <v>250</v>
      </c>
      <c r="B230" s="2">
        <v>40800</v>
      </c>
      <c r="C230" s="3" t="s">
        <v>20</v>
      </c>
      <c r="D230">
        <v>5</v>
      </c>
      <c r="E230">
        <v>9</v>
      </c>
      <c r="F230" t="s">
        <v>12</v>
      </c>
      <c r="G230">
        <v>0</v>
      </c>
      <c r="H230">
        <v>0</v>
      </c>
      <c r="I230">
        <v>0</v>
      </c>
      <c r="J230">
        <v>0</v>
      </c>
      <c r="K230" t="str">
        <f t="shared" si="3"/>
        <v>Train</v>
      </c>
    </row>
    <row r="231" spans="1:11" x14ac:dyDescent="0.2">
      <c r="A231" t="s">
        <v>251</v>
      </c>
      <c r="B231" s="2">
        <v>40801</v>
      </c>
      <c r="C231" s="3" t="s">
        <v>22</v>
      </c>
      <c r="D231">
        <v>6</v>
      </c>
      <c r="E231">
        <v>9</v>
      </c>
      <c r="F231" t="s">
        <v>12</v>
      </c>
      <c r="G231">
        <v>0</v>
      </c>
      <c r="H231">
        <v>0</v>
      </c>
      <c r="I231">
        <v>0</v>
      </c>
      <c r="J231">
        <v>1</v>
      </c>
      <c r="K231" t="str">
        <f t="shared" si="3"/>
        <v>Train</v>
      </c>
    </row>
    <row r="232" spans="1:11" x14ac:dyDescent="0.2">
      <c r="A232" t="s">
        <v>252</v>
      </c>
      <c r="B232" s="2">
        <v>40802</v>
      </c>
      <c r="C232" s="3" t="s">
        <v>24</v>
      </c>
      <c r="D232">
        <v>7</v>
      </c>
      <c r="E232">
        <v>9</v>
      </c>
      <c r="F232" t="s">
        <v>12</v>
      </c>
      <c r="G232">
        <v>0</v>
      </c>
      <c r="H232">
        <v>0</v>
      </c>
      <c r="I232">
        <v>0</v>
      </c>
      <c r="J232">
        <v>0</v>
      </c>
      <c r="K232" t="str">
        <f t="shared" si="3"/>
        <v>Train</v>
      </c>
    </row>
    <row r="233" spans="1:11" x14ac:dyDescent="0.2">
      <c r="A233" t="s">
        <v>253</v>
      </c>
      <c r="B233" s="2">
        <v>40803</v>
      </c>
      <c r="C233" s="3" t="s">
        <v>11</v>
      </c>
      <c r="D233">
        <v>1</v>
      </c>
      <c r="E233">
        <v>9</v>
      </c>
      <c r="F233" t="s">
        <v>12</v>
      </c>
      <c r="G233">
        <v>0</v>
      </c>
      <c r="H233">
        <v>0</v>
      </c>
      <c r="I233">
        <v>3</v>
      </c>
      <c r="J233">
        <v>8</v>
      </c>
      <c r="K233" t="str">
        <f t="shared" si="3"/>
        <v>Train</v>
      </c>
    </row>
    <row r="234" spans="1:11" x14ac:dyDescent="0.2">
      <c r="A234" t="s">
        <v>254</v>
      </c>
      <c r="B234" s="2">
        <v>40804</v>
      </c>
      <c r="C234" s="3" t="s">
        <v>14</v>
      </c>
      <c r="D234">
        <v>2</v>
      </c>
      <c r="E234">
        <v>9</v>
      </c>
      <c r="F234" t="s">
        <v>12</v>
      </c>
      <c r="G234">
        <v>0</v>
      </c>
      <c r="H234">
        <v>0</v>
      </c>
      <c r="I234">
        <v>2</v>
      </c>
      <c r="J234">
        <v>0</v>
      </c>
      <c r="K234" t="str">
        <f t="shared" si="3"/>
        <v>Train</v>
      </c>
    </row>
    <row r="235" spans="1:11" x14ac:dyDescent="0.2">
      <c r="A235" t="s">
        <v>255</v>
      </c>
      <c r="B235" s="2">
        <v>40805</v>
      </c>
      <c r="C235" s="3" t="s">
        <v>16</v>
      </c>
      <c r="D235">
        <v>3</v>
      </c>
      <c r="E235">
        <v>9</v>
      </c>
      <c r="F235" t="s">
        <v>12</v>
      </c>
      <c r="G235">
        <v>0</v>
      </c>
      <c r="H235">
        <v>0</v>
      </c>
      <c r="I235">
        <v>0</v>
      </c>
      <c r="J235">
        <v>1</v>
      </c>
      <c r="K235" t="str">
        <f t="shared" si="3"/>
        <v>Train</v>
      </c>
    </row>
    <row r="236" spans="1:11" x14ac:dyDescent="0.2">
      <c r="A236" t="s">
        <v>256</v>
      </c>
      <c r="B236" s="2">
        <v>40806</v>
      </c>
      <c r="C236" s="3" t="s">
        <v>18</v>
      </c>
      <c r="D236">
        <v>4</v>
      </c>
      <c r="E236">
        <v>9</v>
      </c>
      <c r="F236" t="s">
        <v>12</v>
      </c>
      <c r="G236">
        <v>0</v>
      </c>
      <c r="H236">
        <v>0</v>
      </c>
      <c r="I236">
        <v>0</v>
      </c>
      <c r="J236">
        <v>0</v>
      </c>
      <c r="K236" t="str">
        <f t="shared" si="3"/>
        <v>Train</v>
      </c>
    </row>
    <row r="237" spans="1:11" x14ac:dyDescent="0.2">
      <c r="A237" t="s">
        <v>257</v>
      </c>
      <c r="B237" s="2">
        <v>40807</v>
      </c>
      <c r="C237" s="3" t="s">
        <v>20</v>
      </c>
      <c r="D237">
        <v>5</v>
      </c>
      <c r="E237">
        <v>9</v>
      </c>
      <c r="F237" t="s">
        <v>12</v>
      </c>
      <c r="G237">
        <v>0</v>
      </c>
      <c r="H237">
        <v>0</v>
      </c>
      <c r="I237">
        <v>0</v>
      </c>
      <c r="J237">
        <v>0</v>
      </c>
      <c r="K237" t="str">
        <f t="shared" si="3"/>
        <v>Train</v>
      </c>
    </row>
    <row r="238" spans="1:11" x14ac:dyDescent="0.2">
      <c r="A238" t="s">
        <v>258</v>
      </c>
      <c r="B238" s="2">
        <v>40808</v>
      </c>
      <c r="C238" s="3" t="s">
        <v>22</v>
      </c>
      <c r="D238">
        <v>6</v>
      </c>
      <c r="E238">
        <v>9</v>
      </c>
      <c r="F238" t="s">
        <v>12</v>
      </c>
      <c r="G238">
        <v>0</v>
      </c>
      <c r="H238">
        <v>0</v>
      </c>
      <c r="I238">
        <v>0</v>
      </c>
      <c r="J238">
        <v>1</v>
      </c>
      <c r="K238" t="str">
        <f t="shared" si="3"/>
        <v>Train</v>
      </c>
    </row>
    <row r="239" spans="1:11" x14ac:dyDescent="0.2">
      <c r="A239" t="s">
        <v>259</v>
      </c>
      <c r="B239" s="2">
        <v>40809</v>
      </c>
      <c r="C239" s="3" t="s">
        <v>24</v>
      </c>
      <c r="D239">
        <v>7</v>
      </c>
      <c r="E239">
        <v>9</v>
      </c>
      <c r="F239" t="s">
        <v>12</v>
      </c>
      <c r="G239">
        <v>0</v>
      </c>
      <c r="H239">
        <v>0</v>
      </c>
      <c r="I239">
        <v>0</v>
      </c>
      <c r="J239">
        <v>0</v>
      </c>
      <c r="K239" t="str">
        <f t="shared" si="3"/>
        <v>Train</v>
      </c>
    </row>
    <row r="240" spans="1:11" x14ac:dyDescent="0.2">
      <c r="A240" t="s">
        <v>260</v>
      </c>
      <c r="B240" s="2">
        <v>40810</v>
      </c>
      <c r="C240" s="3" t="s">
        <v>11</v>
      </c>
      <c r="D240">
        <v>1</v>
      </c>
      <c r="E240">
        <v>9</v>
      </c>
      <c r="F240" t="s">
        <v>12</v>
      </c>
      <c r="G240">
        <v>0</v>
      </c>
      <c r="H240">
        <v>0</v>
      </c>
      <c r="I240">
        <v>0</v>
      </c>
      <c r="J240">
        <v>2</v>
      </c>
      <c r="K240" t="str">
        <f t="shared" si="3"/>
        <v>Train</v>
      </c>
    </row>
    <row r="241" spans="1:11" x14ac:dyDescent="0.2">
      <c r="A241" t="s">
        <v>261</v>
      </c>
      <c r="B241" s="2">
        <v>40811</v>
      </c>
      <c r="C241" s="3" t="s">
        <v>14</v>
      </c>
      <c r="D241">
        <v>2</v>
      </c>
      <c r="E241">
        <v>9</v>
      </c>
      <c r="F241" t="s">
        <v>12</v>
      </c>
      <c r="G241">
        <v>0</v>
      </c>
      <c r="H241">
        <v>0</v>
      </c>
      <c r="I241">
        <v>0</v>
      </c>
      <c r="J241">
        <v>1</v>
      </c>
      <c r="K241" t="str">
        <f t="shared" si="3"/>
        <v>Train</v>
      </c>
    </row>
    <row r="242" spans="1:11" x14ac:dyDescent="0.2">
      <c r="A242" t="s">
        <v>262</v>
      </c>
      <c r="B242" s="2">
        <v>40812</v>
      </c>
      <c r="C242" s="3" t="s">
        <v>16</v>
      </c>
      <c r="D242">
        <v>3</v>
      </c>
      <c r="E242">
        <v>9</v>
      </c>
      <c r="F242" t="s">
        <v>12</v>
      </c>
      <c r="G242">
        <v>0</v>
      </c>
      <c r="H242">
        <v>0</v>
      </c>
      <c r="I242">
        <v>1</v>
      </c>
      <c r="J242">
        <v>0</v>
      </c>
      <c r="K242" t="str">
        <f t="shared" si="3"/>
        <v>Train</v>
      </c>
    </row>
    <row r="243" spans="1:11" x14ac:dyDescent="0.2">
      <c r="A243" t="s">
        <v>263</v>
      </c>
      <c r="B243" s="2">
        <v>40813</v>
      </c>
      <c r="C243" s="3" t="s">
        <v>18</v>
      </c>
      <c r="D243">
        <v>4</v>
      </c>
      <c r="E243">
        <v>9</v>
      </c>
      <c r="F243" t="s">
        <v>12</v>
      </c>
      <c r="G243">
        <v>0</v>
      </c>
      <c r="H243">
        <v>0</v>
      </c>
      <c r="I243">
        <v>3</v>
      </c>
      <c r="J243">
        <v>0</v>
      </c>
      <c r="K243" t="str">
        <f t="shared" si="3"/>
        <v>Train</v>
      </c>
    </row>
    <row r="244" spans="1:11" x14ac:dyDescent="0.2">
      <c r="A244" t="s">
        <v>264</v>
      </c>
      <c r="B244" s="2">
        <v>40814</v>
      </c>
      <c r="C244" s="3" t="s">
        <v>20</v>
      </c>
      <c r="D244">
        <v>5</v>
      </c>
      <c r="E244">
        <v>9</v>
      </c>
      <c r="F244" t="s">
        <v>12</v>
      </c>
      <c r="G244">
        <v>0</v>
      </c>
      <c r="H244">
        <v>0</v>
      </c>
      <c r="I244">
        <v>2</v>
      </c>
      <c r="J244">
        <v>0</v>
      </c>
      <c r="K244" t="str">
        <f t="shared" si="3"/>
        <v>Train</v>
      </c>
    </row>
    <row r="245" spans="1:11" x14ac:dyDescent="0.2">
      <c r="A245" t="s">
        <v>265</v>
      </c>
      <c r="B245" s="2">
        <v>40815</v>
      </c>
      <c r="C245" s="3" t="s">
        <v>22</v>
      </c>
      <c r="D245">
        <v>6</v>
      </c>
      <c r="E245">
        <v>9</v>
      </c>
      <c r="F245" t="s">
        <v>12</v>
      </c>
      <c r="G245">
        <v>0</v>
      </c>
      <c r="H245">
        <v>0</v>
      </c>
      <c r="I245">
        <v>0</v>
      </c>
      <c r="J245">
        <v>0</v>
      </c>
      <c r="K245" t="str">
        <f t="shared" si="3"/>
        <v>Train</v>
      </c>
    </row>
    <row r="246" spans="1:11" x14ac:dyDescent="0.2">
      <c r="A246" t="s">
        <v>266</v>
      </c>
      <c r="B246" s="2">
        <v>40816</v>
      </c>
      <c r="C246" s="3" t="s">
        <v>24</v>
      </c>
      <c r="D246">
        <v>7</v>
      </c>
      <c r="E246">
        <v>9</v>
      </c>
      <c r="F246" t="s">
        <v>12</v>
      </c>
      <c r="G246">
        <v>0</v>
      </c>
      <c r="H246">
        <v>0</v>
      </c>
      <c r="I246">
        <v>0</v>
      </c>
      <c r="J246">
        <v>1</v>
      </c>
      <c r="K246" t="str">
        <f t="shared" si="3"/>
        <v>Train</v>
      </c>
    </row>
    <row r="247" spans="1:11" x14ac:dyDescent="0.2">
      <c r="A247" t="s">
        <v>267</v>
      </c>
      <c r="B247" s="2">
        <v>40817</v>
      </c>
      <c r="C247" s="3" t="s">
        <v>11</v>
      </c>
      <c r="D247">
        <v>1</v>
      </c>
      <c r="E247">
        <v>10</v>
      </c>
      <c r="F247" t="s">
        <v>12</v>
      </c>
      <c r="G247">
        <v>1</v>
      </c>
      <c r="H247">
        <v>0</v>
      </c>
      <c r="I247">
        <v>3</v>
      </c>
      <c r="J247">
        <v>0</v>
      </c>
      <c r="K247" t="str">
        <f t="shared" si="3"/>
        <v>Train</v>
      </c>
    </row>
    <row r="248" spans="1:11" x14ac:dyDescent="0.2">
      <c r="A248" t="s">
        <v>268</v>
      </c>
      <c r="B248" s="2">
        <v>40818</v>
      </c>
      <c r="C248" s="3" t="s">
        <v>14</v>
      </c>
      <c r="D248">
        <v>2</v>
      </c>
      <c r="E248">
        <v>10</v>
      </c>
      <c r="F248" t="s">
        <v>12</v>
      </c>
      <c r="G248">
        <v>1</v>
      </c>
      <c r="H248">
        <v>0</v>
      </c>
      <c r="I248">
        <v>0</v>
      </c>
      <c r="J248">
        <v>0</v>
      </c>
      <c r="K248" t="str">
        <f t="shared" si="3"/>
        <v>Train</v>
      </c>
    </row>
    <row r="249" spans="1:11" x14ac:dyDescent="0.2">
      <c r="A249" t="s">
        <v>269</v>
      </c>
      <c r="B249" s="2">
        <v>40819</v>
      </c>
      <c r="C249" s="3" t="s">
        <v>16</v>
      </c>
      <c r="D249">
        <v>3</v>
      </c>
      <c r="E249">
        <v>10</v>
      </c>
      <c r="F249" t="s">
        <v>12</v>
      </c>
      <c r="G249">
        <v>1</v>
      </c>
      <c r="H249">
        <v>0</v>
      </c>
      <c r="I249">
        <v>1</v>
      </c>
      <c r="J249">
        <v>1</v>
      </c>
      <c r="K249" t="str">
        <f t="shared" si="3"/>
        <v>Train</v>
      </c>
    </row>
    <row r="250" spans="1:11" x14ac:dyDescent="0.2">
      <c r="A250" t="s">
        <v>270</v>
      </c>
      <c r="B250" s="2">
        <v>40820</v>
      </c>
      <c r="C250" s="3" t="s">
        <v>18</v>
      </c>
      <c r="D250">
        <v>4</v>
      </c>
      <c r="E250">
        <v>10</v>
      </c>
      <c r="F250" t="s">
        <v>12</v>
      </c>
      <c r="G250">
        <v>1</v>
      </c>
      <c r="H250">
        <v>0</v>
      </c>
      <c r="I250">
        <v>0</v>
      </c>
      <c r="J250">
        <v>2</v>
      </c>
      <c r="K250" t="str">
        <f t="shared" si="3"/>
        <v>Train</v>
      </c>
    </row>
    <row r="251" spans="1:11" x14ac:dyDescent="0.2">
      <c r="A251" t="s">
        <v>271</v>
      </c>
      <c r="B251" s="2">
        <v>40821</v>
      </c>
      <c r="C251" s="3" t="s">
        <v>20</v>
      </c>
      <c r="D251">
        <v>5</v>
      </c>
      <c r="E251">
        <v>10</v>
      </c>
      <c r="F251" t="s">
        <v>12</v>
      </c>
      <c r="G251">
        <v>1</v>
      </c>
      <c r="H251">
        <v>0</v>
      </c>
      <c r="I251">
        <v>0</v>
      </c>
      <c r="J251">
        <v>0</v>
      </c>
      <c r="K251" t="str">
        <f t="shared" si="3"/>
        <v>Train</v>
      </c>
    </row>
    <row r="252" spans="1:11" x14ac:dyDescent="0.2">
      <c r="A252" t="s">
        <v>272</v>
      </c>
      <c r="B252" s="2">
        <v>40822</v>
      </c>
      <c r="C252" s="3" t="s">
        <v>22</v>
      </c>
      <c r="D252">
        <v>6</v>
      </c>
      <c r="E252">
        <v>10</v>
      </c>
      <c r="F252" t="s">
        <v>12</v>
      </c>
      <c r="G252">
        <v>1</v>
      </c>
      <c r="H252">
        <v>0</v>
      </c>
      <c r="I252">
        <v>0</v>
      </c>
      <c r="J252">
        <v>2</v>
      </c>
      <c r="K252" t="str">
        <f t="shared" si="3"/>
        <v>Train</v>
      </c>
    </row>
    <row r="253" spans="1:11" x14ac:dyDescent="0.2">
      <c r="A253" t="s">
        <v>273</v>
      </c>
      <c r="B253" s="2">
        <v>40823</v>
      </c>
      <c r="C253" s="3" t="s">
        <v>24</v>
      </c>
      <c r="D253">
        <v>7</v>
      </c>
      <c r="E253">
        <v>10</v>
      </c>
      <c r="F253" t="s">
        <v>12</v>
      </c>
      <c r="G253">
        <v>1</v>
      </c>
      <c r="H253">
        <v>0</v>
      </c>
      <c r="I253">
        <v>0</v>
      </c>
      <c r="J253">
        <v>1</v>
      </c>
      <c r="K253" t="str">
        <f t="shared" si="3"/>
        <v>Train</v>
      </c>
    </row>
    <row r="254" spans="1:11" x14ac:dyDescent="0.2">
      <c r="A254" t="s">
        <v>274</v>
      </c>
      <c r="B254" s="2">
        <v>40824</v>
      </c>
      <c r="C254" s="3" t="s">
        <v>11</v>
      </c>
      <c r="D254">
        <v>1</v>
      </c>
      <c r="E254">
        <v>10</v>
      </c>
      <c r="F254" t="s">
        <v>12</v>
      </c>
      <c r="G254">
        <v>1</v>
      </c>
      <c r="H254">
        <v>0</v>
      </c>
      <c r="I254">
        <v>1</v>
      </c>
      <c r="J254">
        <v>2</v>
      </c>
      <c r="K254" t="str">
        <f t="shared" si="3"/>
        <v>Train</v>
      </c>
    </row>
    <row r="255" spans="1:11" x14ac:dyDescent="0.2">
      <c r="A255" t="s">
        <v>275</v>
      </c>
      <c r="B255" s="2">
        <v>40825</v>
      </c>
      <c r="C255" s="3" t="s">
        <v>14</v>
      </c>
      <c r="D255">
        <v>2</v>
      </c>
      <c r="E255">
        <v>10</v>
      </c>
      <c r="F255" t="s">
        <v>12</v>
      </c>
      <c r="G255">
        <v>1</v>
      </c>
      <c r="H255">
        <v>0</v>
      </c>
      <c r="I255">
        <v>2</v>
      </c>
      <c r="J255">
        <v>1</v>
      </c>
      <c r="K255" t="str">
        <f t="shared" si="3"/>
        <v>Train</v>
      </c>
    </row>
    <row r="256" spans="1:11" x14ac:dyDescent="0.2">
      <c r="A256" t="s">
        <v>276</v>
      </c>
      <c r="B256" s="2">
        <v>40826</v>
      </c>
      <c r="C256" s="3" t="s">
        <v>16</v>
      </c>
      <c r="D256">
        <v>3</v>
      </c>
      <c r="E256">
        <v>10</v>
      </c>
      <c r="F256" t="s">
        <v>44</v>
      </c>
      <c r="G256">
        <v>1</v>
      </c>
      <c r="H256">
        <v>0</v>
      </c>
      <c r="I256">
        <v>1</v>
      </c>
      <c r="J256">
        <v>2</v>
      </c>
      <c r="K256" t="str">
        <f t="shared" si="3"/>
        <v>Train</v>
      </c>
    </row>
    <row r="257" spans="1:11" x14ac:dyDescent="0.2">
      <c r="A257" t="s">
        <v>277</v>
      </c>
      <c r="B257" s="2">
        <v>40827</v>
      </c>
      <c r="C257" s="3" t="s">
        <v>18</v>
      </c>
      <c r="D257">
        <v>4</v>
      </c>
      <c r="E257">
        <v>10</v>
      </c>
      <c r="F257" t="s">
        <v>12</v>
      </c>
      <c r="G257">
        <v>0</v>
      </c>
      <c r="H257">
        <v>0</v>
      </c>
      <c r="I257">
        <v>0</v>
      </c>
      <c r="J257">
        <v>2</v>
      </c>
      <c r="K257" t="str">
        <f t="shared" si="3"/>
        <v>Train</v>
      </c>
    </row>
    <row r="258" spans="1:11" x14ac:dyDescent="0.2">
      <c r="A258" t="s">
        <v>278</v>
      </c>
      <c r="B258" s="2">
        <v>40828</v>
      </c>
      <c r="C258" s="3" t="s">
        <v>20</v>
      </c>
      <c r="D258">
        <v>5</v>
      </c>
      <c r="E258">
        <v>10</v>
      </c>
      <c r="F258" t="s">
        <v>12</v>
      </c>
      <c r="G258">
        <v>0</v>
      </c>
      <c r="H258">
        <v>0</v>
      </c>
      <c r="I258">
        <v>0</v>
      </c>
      <c r="J258">
        <v>0</v>
      </c>
      <c r="K258" t="str">
        <f t="shared" ref="K258:K321" si="4">IF(ROW()-1&lt;=300,"Train","Validation")</f>
        <v>Train</v>
      </c>
    </row>
    <row r="259" spans="1:11" x14ac:dyDescent="0.2">
      <c r="A259" t="s">
        <v>279</v>
      </c>
      <c r="B259" s="2">
        <v>40829</v>
      </c>
      <c r="C259" s="3" t="s">
        <v>22</v>
      </c>
      <c r="D259">
        <v>6</v>
      </c>
      <c r="E259">
        <v>10</v>
      </c>
      <c r="F259" t="s">
        <v>12</v>
      </c>
      <c r="G259">
        <v>0</v>
      </c>
      <c r="H259">
        <v>0</v>
      </c>
      <c r="I259">
        <v>0</v>
      </c>
      <c r="J259">
        <v>0</v>
      </c>
      <c r="K259" t="str">
        <f t="shared" si="4"/>
        <v>Train</v>
      </c>
    </row>
    <row r="260" spans="1:11" x14ac:dyDescent="0.2">
      <c r="A260" t="s">
        <v>280</v>
      </c>
      <c r="B260" s="2">
        <v>40830</v>
      </c>
      <c r="C260" s="3" t="s">
        <v>24</v>
      </c>
      <c r="D260">
        <v>7</v>
      </c>
      <c r="E260">
        <v>10</v>
      </c>
      <c r="F260" t="s">
        <v>12</v>
      </c>
      <c r="G260">
        <v>0</v>
      </c>
      <c r="H260">
        <v>0</v>
      </c>
      <c r="I260">
        <v>2</v>
      </c>
      <c r="J260">
        <v>0</v>
      </c>
      <c r="K260" t="str">
        <f t="shared" si="4"/>
        <v>Train</v>
      </c>
    </row>
    <row r="261" spans="1:11" x14ac:dyDescent="0.2">
      <c r="A261" t="s">
        <v>281</v>
      </c>
      <c r="B261" s="2">
        <v>40831</v>
      </c>
      <c r="C261" s="3" t="s">
        <v>11</v>
      </c>
      <c r="D261">
        <v>1</v>
      </c>
      <c r="E261">
        <v>10</v>
      </c>
      <c r="F261" t="s">
        <v>12</v>
      </c>
      <c r="G261">
        <v>0</v>
      </c>
      <c r="H261">
        <v>0</v>
      </c>
      <c r="I261">
        <v>1</v>
      </c>
      <c r="J261">
        <v>1</v>
      </c>
      <c r="K261" t="str">
        <f t="shared" si="4"/>
        <v>Train</v>
      </c>
    </row>
    <row r="262" spans="1:11" x14ac:dyDescent="0.2">
      <c r="A262" t="s">
        <v>282</v>
      </c>
      <c r="B262" s="2">
        <v>40832</v>
      </c>
      <c r="C262" s="3" t="s">
        <v>14</v>
      </c>
      <c r="D262">
        <v>2</v>
      </c>
      <c r="E262">
        <v>10</v>
      </c>
      <c r="F262" t="s">
        <v>12</v>
      </c>
      <c r="G262">
        <v>0</v>
      </c>
      <c r="H262">
        <v>0</v>
      </c>
      <c r="I262">
        <v>3</v>
      </c>
      <c r="J262">
        <v>0</v>
      </c>
      <c r="K262" t="str">
        <f t="shared" si="4"/>
        <v>Train</v>
      </c>
    </row>
    <row r="263" spans="1:11" x14ac:dyDescent="0.2">
      <c r="A263" t="s">
        <v>283</v>
      </c>
      <c r="B263" s="2">
        <v>40833</v>
      </c>
      <c r="C263" s="3" t="s">
        <v>16</v>
      </c>
      <c r="D263">
        <v>3</v>
      </c>
      <c r="E263">
        <v>10</v>
      </c>
      <c r="F263" t="s">
        <v>12</v>
      </c>
      <c r="G263">
        <v>0</v>
      </c>
      <c r="H263">
        <v>0</v>
      </c>
      <c r="I263">
        <v>1</v>
      </c>
      <c r="J263">
        <v>1</v>
      </c>
      <c r="K263" t="str">
        <f t="shared" si="4"/>
        <v>Train</v>
      </c>
    </row>
    <row r="264" spans="1:11" x14ac:dyDescent="0.2">
      <c r="A264" t="s">
        <v>284</v>
      </c>
      <c r="B264" s="2">
        <v>40834</v>
      </c>
      <c r="C264" s="3" t="s">
        <v>18</v>
      </c>
      <c r="D264">
        <v>4</v>
      </c>
      <c r="E264">
        <v>10</v>
      </c>
      <c r="F264" t="s">
        <v>12</v>
      </c>
      <c r="G264">
        <v>0</v>
      </c>
      <c r="H264">
        <v>0</v>
      </c>
      <c r="I264">
        <v>0</v>
      </c>
      <c r="J264">
        <v>2</v>
      </c>
      <c r="K264" t="str">
        <f t="shared" si="4"/>
        <v>Train</v>
      </c>
    </row>
    <row r="265" spans="1:11" x14ac:dyDescent="0.2">
      <c r="A265" t="s">
        <v>285</v>
      </c>
      <c r="B265" s="2">
        <v>40835</v>
      </c>
      <c r="C265" s="3" t="s">
        <v>20</v>
      </c>
      <c r="D265">
        <v>5</v>
      </c>
      <c r="E265">
        <v>10</v>
      </c>
      <c r="F265" t="s">
        <v>12</v>
      </c>
      <c r="G265">
        <v>0</v>
      </c>
      <c r="H265">
        <v>0</v>
      </c>
      <c r="I265">
        <v>0</v>
      </c>
      <c r="J265">
        <v>0</v>
      </c>
      <c r="K265" t="str">
        <f t="shared" si="4"/>
        <v>Train</v>
      </c>
    </row>
    <row r="266" spans="1:11" x14ac:dyDescent="0.2">
      <c r="A266" t="s">
        <v>286</v>
      </c>
      <c r="B266" s="2">
        <v>40836</v>
      </c>
      <c r="C266" s="3" t="s">
        <v>22</v>
      </c>
      <c r="D266">
        <v>6</v>
      </c>
      <c r="E266">
        <v>10</v>
      </c>
      <c r="F266" t="s">
        <v>12</v>
      </c>
      <c r="G266">
        <v>0</v>
      </c>
      <c r="H266">
        <v>0</v>
      </c>
      <c r="I266">
        <v>1</v>
      </c>
      <c r="J266">
        <v>1</v>
      </c>
      <c r="K266" t="str">
        <f t="shared" si="4"/>
        <v>Train</v>
      </c>
    </row>
    <row r="267" spans="1:11" x14ac:dyDescent="0.2">
      <c r="A267" t="s">
        <v>287</v>
      </c>
      <c r="B267" s="2">
        <v>40837</v>
      </c>
      <c r="C267" s="3" t="s">
        <v>24</v>
      </c>
      <c r="D267">
        <v>7</v>
      </c>
      <c r="E267">
        <v>10</v>
      </c>
      <c r="F267" t="s">
        <v>12</v>
      </c>
      <c r="G267">
        <v>0</v>
      </c>
      <c r="H267">
        <v>0</v>
      </c>
      <c r="I267">
        <v>0</v>
      </c>
      <c r="J267">
        <v>1</v>
      </c>
      <c r="K267" t="str">
        <f t="shared" si="4"/>
        <v>Train</v>
      </c>
    </row>
    <row r="268" spans="1:11" x14ac:dyDescent="0.2">
      <c r="A268" t="s">
        <v>288</v>
      </c>
      <c r="B268" s="2">
        <v>40838</v>
      </c>
      <c r="C268" s="3" t="s">
        <v>11</v>
      </c>
      <c r="D268">
        <v>1</v>
      </c>
      <c r="E268">
        <v>10</v>
      </c>
      <c r="F268" t="s">
        <v>12</v>
      </c>
      <c r="G268">
        <v>0</v>
      </c>
      <c r="H268">
        <v>0</v>
      </c>
      <c r="I268">
        <v>0</v>
      </c>
      <c r="J268">
        <v>0</v>
      </c>
      <c r="K268" t="str">
        <f t="shared" si="4"/>
        <v>Train</v>
      </c>
    </row>
    <row r="269" spans="1:11" x14ac:dyDescent="0.2">
      <c r="A269" t="s">
        <v>289</v>
      </c>
      <c r="B269" s="2">
        <v>40839</v>
      </c>
      <c r="C269" s="3" t="s">
        <v>14</v>
      </c>
      <c r="D269">
        <v>2</v>
      </c>
      <c r="E269">
        <v>10</v>
      </c>
      <c r="F269" t="s">
        <v>12</v>
      </c>
      <c r="G269">
        <v>0</v>
      </c>
      <c r="H269">
        <v>0</v>
      </c>
      <c r="I269">
        <v>0</v>
      </c>
      <c r="J269">
        <v>3</v>
      </c>
      <c r="K269" t="str">
        <f t="shared" si="4"/>
        <v>Train</v>
      </c>
    </row>
    <row r="270" spans="1:11" x14ac:dyDescent="0.2">
      <c r="A270" t="s">
        <v>290</v>
      </c>
      <c r="B270" s="2">
        <v>40840</v>
      </c>
      <c r="C270" s="3" t="s">
        <v>16</v>
      </c>
      <c r="D270">
        <v>3</v>
      </c>
      <c r="E270">
        <v>10</v>
      </c>
      <c r="F270" t="s">
        <v>12</v>
      </c>
      <c r="G270">
        <v>0</v>
      </c>
      <c r="H270">
        <v>0</v>
      </c>
      <c r="I270">
        <v>2</v>
      </c>
      <c r="J270">
        <v>0</v>
      </c>
      <c r="K270" t="str">
        <f t="shared" si="4"/>
        <v>Train</v>
      </c>
    </row>
    <row r="271" spans="1:11" x14ac:dyDescent="0.2">
      <c r="A271" t="s">
        <v>291</v>
      </c>
      <c r="B271" s="2">
        <v>40841</v>
      </c>
      <c r="C271" s="3" t="s">
        <v>18</v>
      </c>
      <c r="D271">
        <v>4</v>
      </c>
      <c r="E271">
        <v>10</v>
      </c>
      <c r="F271" t="s">
        <v>12</v>
      </c>
      <c r="G271">
        <v>0</v>
      </c>
      <c r="H271">
        <v>0</v>
      </c>
      <c r="I271">
        <v>0</v>
      </c>
      <c r="J271">
        <v>0</v>
      </c>
      <c r="K271" t="str">
        <f t="shared" si="4"/>
        <v>Train</v>
      </c>
    </row>
    <row r="272" spans="1:11" x14ac:dyDescent="0.2">
      <c r="A272" t="s">
        <v>292</v>
      </c>
      <c r="B272" s="2">
        <v>40842</v>
      </c>
      <c r="C272" s="3" t="s">
        <v>20</v>
      </c>
      <c r="D272">
        <v>5</v>
      </c>
      <c r="E272">
        <v>10</v>
      </c>
      <c r="F272" t="s">
        <v>12</v>
      </c>
      <c r="G272">
        <v>0</v>
      </c>
      <c r="H272">
        <v>0</v>
      </c>
      <c r="I272">
        <v>0</v>
      </c>
      <c r="J272">
        <v>4</v>
      </c>
      <c r="K272" t="str">
        <f t="shared" si="4"/>
        <v>Train</v>
      </c>
    </row>
    <row r="273" spans="1:11" x14ac:dyDescent="0.2">
      <c r="A273" t="s">
        <v>293</v>
      </c>
      <c r="B273" s="2">
        <v>40843</v>
      </c>
      <c r="C273" s="3" t="s">
        <v>22</v>
      </c>
      <c r="D273">
        <v>6</v>
      </c>
      <c r="E273">
        <v>10</v>
      </c>
      <c r="F273" t="s">
        <v>12</v>
      </c>
      <c r="G273">
        <v>0</v>
      </c>
      <c r="H273">
        <v>0</v>
      </c>
      <c r="I273">
        <v>0</v>
      </c>
      <c r="J273">
        <v>0</v>
      </c>
      <c r="K273" t="str">
        <f t="shared" si="4"/>
        <v>Train</v>
      </c>
    </row>
    <row r="274" spans="1:11" x14ac:dyDescent="0.2">
      <c r="A274" t="s">
        <v>294</v>
      </c>
      <c r="B274" s="2">
        <v>40844</v>
      </c>
      <c r="C274" s="3" t="s">
        <v>24</v>
      </c>
      <c r="D274">
        <v>7</v>
      </c>
      <c r="E274">
        <v>10</v>
      </c>
      <c r="F274" t="s">
        <v>12</v>
      </c>
      <c r="G274">
        <v>0</v>
      </c>
      <c r="H274">
        <v>0</v>
      </c>
      <c r="I274">
        <v>2</v>
      </c>
      <c r="J274">
        <v>2</v>
      </c>
      <c r="K274" t="str">
        <f t="shared" si="4"/>
        <v>Train</v>
      </c>
    </row>
    <row r="275" spans="1:11" x14ac:dyDescent="0.2">
      <c r="A275" t="s">
        <v>295</v>
      </c>
      <c r="B275" s="2">
        <v>40845</v>
      </c>
      <c r="C275" s="3" t="s">
        <v>11</v>
      </c>
      <c r="D275">
        <v>1</v>
      </c>
      <c r="E275">
        <v>10</v>
      </c>
      <c r="F275" t="s">
        <v>12</v>
      </c>
      <c r="G275">
        <v>0</v>
      </c>
      <c r="H275">
        <v>0</v>
      </c>
      <c r="I275">
        <v>1</v>
      </c>
      <c r="J275">
        <v>3</v>
      </c>
      <c r="K275" t="str">
        <f t="shared" si="4"/>
        <v>Train</v>
      </c>
    </row>
    <row r="276" spans="1:11" x14ac:dyDescent="0.2">
      <c r="A276" t="s">
        <v>296</v>
      </c>
      <c r="B276" s="2">
        <v>40846</v>
      </c>
      <c r="C276" s="3" t="s">
        <v>14</v>
      </c>
      <c r="D276">
        <v>2</v>
      </c>
      <c r="E276">
        <v>10</v>
      </c>
      <c r="F276" t="s">
        <v>12</v>
      </c>
      <c r="G276">
        <v>0</v>
      </c>
      <c r="H276">
        <v>0</v>
      </c>
      <c r="I276">
        <v>2</v>
      </c>
      <c r="J276">
        <v>2</v>
      </c>
      <c r="K276" t="str">
        <f t="shared" si="4"/>
        <v>Train</v>
      </c>
    </row>
    <row r="277" spans="1:11" x14ac:dyDescent="0.2">
      <c r="A277" t="s">
        <v>297</v>
      </c>
      <c r="B277" s="2">
        <v>40847</v>
      </c>
      <c r="C277" s="3" t="s">
        <v>16</v>
      </c>
      <c r="D277">
        <v>3</v>
      </c>
      <c r="E277">
        <v>10</v>
      </c>
      <c r="F277" t="s">
        <v>36</v>
      </c>
      <c r="G277">
        <v>0</v>
      </c>
      <c r="H277">
        <v>0</v>
      </c>
      <c r="I277">
        <v>1</v>
      </c>
      <c r="J277">
        <v>0</v>
      </c>
      <c r="K277" t="str">
        <f t="shared" si="4"/>
        <v>Train</v>
      </c>
    </row>
    <row r="278" spans="1:11" x14ac:dyDescent="0.2">
      <c r="A278" t="s">
        <v>298</v>
      </c>
      <c r="B278" s="2">
        <v>40848</v>
      </c>
      <c r="C278" s="3" t="s">
        <v>18</v>
      </c>
      <c r="D278">
        <v>4</v>
      </c>
      <c r="E278">
        <v>11</v>
      </c>
      <c r="F278" t="s">
        <v>12</v>
      </c>
      <c r="G278">
        <v>1</v>
      </c>
      <c r="H278">
        <v>0</v>
      </c>
      <c r="I278">
        <v>0</v>
      </c>
      <c r="J278">
        <v>1</v>
      </c>
      <c r="K278" t="str">
        <f t="shared" si="4"/>
        <v>Train</v>
      </c>
    </row>
    <row r="279" spans="1:11" x14ac:dyDescent="0.2">
      <c r="A279" t="s">
        <v>299</v>
      </c>
      <c r="B279" s="2">
        <v>40849</v>
      </c>
      <c r="C279" s="3" t="s">
        <v>20</v>
      </c>
      <c r="D279">
        <v>5</v>
      </c>
      <c r="E279">
        <v>11</v>
      </c>
      <c r="F279" t="s">
        <v>12</v>
      </c>
      <c r="G279">
        <v>1</v>
      </c>
      <c r="H279">
        <v>3</v>
      </c>
      <c r="I279">
        <v>0</v>
      </c>
      <c r="J279">
        <v>1</v>
      </c>
      <c r="K279" t="str">
        <f t="shared" si="4"/>
        <v>Train</v>
      </c>
    </row>
    <row r="280" spans="1:11" x14ac:dyDescent="0.2">
      <c r="A280" t="s">
        <v>300</v>
      </c>
      <c r="B280" s="2">
        <v>40850</v>
      </c>
      <c r="C280" s="3" t="s">
        <v>22</v>
      </c>
      <c r="D280">
        <v>6</v>
      </c>
      <c r="E280">
        <v>11</v>
      </c>
      <c r="F280" t="s">
        <v>12</v>
      </c>
      <c r="G280">
        <v>1</v>
      </c>
      <c r="H280">
        <v>1</v>
      </c>
      <c r="I280">
        <v>0</v>
      </c>
      <c r="J280">
        <v>0</v>
      </c>
      <c r="K280" t="str">
        <f t="shared" si="4"/>
        <v>Train</v>
      </c>
    </row>
    <row r="281" spans="1:11" x14ac:dyDescent="0.2">
      <c r="A281" t="s">
        <v>301</v>
      </c>
      <c r="B281" s="2">
        <v>40851</v>
      </c>
      <c r="C281" s="3" t="s">
        <v>24</v>
      </c>
      <c r="D281">
        <v>7</v>
      </c>
      <c r="E281">
        <v>11</v>
      </c>
      <c r="F281" t="s">
        <v>12</v>
      </c>
      <c r="G281">
        <v>1</v>
      </c>
      <c r="H281">
        <v>4</v>
      </c>
      <c r="I281">
        <v>3</v>
      </c>
      <c r="J281">
        <v>2</v>
      </c>
      <c r="K281" t="str">
        <f t="shared" si="4"/>
        <v>Train</v>
      </c>
    </row>
    <row r="282" spans="1:11" x14ac:dyDescent="0.2">
      <c r="A282" t="s">
        <v>302</v>
      </c>
      <c r="B282" s="2">
        <v>40852</v>
      </c>
      <c r="C282" s="3" t="s">
        <v>11</v>
      </c>
      <c r="D282">
        <v>1</v>
      </c>
      <c r="E282">
        <v>11</v>
      </c>
      <c r="F282" t="s">
        <v>12</v>
      </c>
      <c r="G282">
        <v>1</v>
      </c>
      <c r="H282">
        <v>2</v>
      </c>
      <c r="I282">
        <v>1</v>
      </c>
      <c r="J282">
        <v>0</v>
      </c>
      <c r="K282" t="str">
        <f t="shared" si="4"/>
        <v>Train</v>
      </c>
    </row>
    <row r="283" spans="1:11" x14ac:dyDescent="0.2">
      <c r="A283" t="s">
        <v>303</v>
      </c>
      <c r="B283" s="2">
        <v>40853</v>
      </c>
      <c r="C283" s="3" t="s">
        <v>14</v>
      </c>
      <c r="D283">
        <v>2</v>
      </c>
      <c r="E283">
        <v>11</v>
      </c>
      <c r="F283" t="s">
        <v>12</v>
      </c>
      <c r="G283">
        <v>1</v>
      </c>
      <c r="H283">
        <v>1</v>
      </c>
      <c r="I283">
        <v>1</v>
      </c>
      <c r="J283">
        <v>0</v>
      </c>
      <c r="K283" t="str">
        <f t="shared" si="4"/>
        <v>Train</v>
      </c>
    </row>
    <row r="284" spans="1:11" x14ac:dyDescent="0.2">
      <c r="A284" t="s">
        <v>304</v>
      </c>
      <c r="B284" s="2">
        <v>40854</v>
      </c>
      <c r="C284" s="3" t="s">
        <v>16</v>
      </c>
      <c r="D284">
        <v>3</v>
      </c>
      <c r="E284">
        <v>11</v>
      </c>
      <c r="F284" t="s">
        <v>61</v>
      </c>
      <c r="G284">
        <v>1</v>
      </c>
      <c r="H284">
        <v>0</v>
      </c>
      <c r="I284">
        <v>0</v>
      </c>
      <c r="J284">
        <v>0</v>
      </c>
      <c r="K284" t="str">
        <f t="shared" si="4"/>
        <v>Train</v>
      </c>
    </row>
    <row r="285" spans="1:11" x14ac:dyDescent="0.2">
      <c r="A285" t="s">
        <v>305</v>
      </c>
      <c r="B285" s="2">
        <v>40855</v>
      </c>
      <c r="C285" s="3" t="s">
        <v>18</v>
      </c>
      <c r="D285">
        <v>4</v>
      </c>
      <c r="E285">
        <v>11</v>
      </c>
      <c r="F285" t="s">
        <v>12</v>
      </c>
      <c r="G285">
        <v>1</v>
      </c>
      <c r="H285">
        <v>2</v>
      </c>
      <c r="I285">
        <v>1</v>
      </c>
      <c r="J285">
        <v>0</v>
      </c>
      <c r="K285" t="str">
        <f t="shared" si="4"/>
        <v>Train</v>
      </c>
    </row>
    <row r="286" spans="1:11" x14ac:dyDescent="0.2">
      <c r="A286" t="s">
        <v>306</v>
      </c>
      <c r="B286" s="2">
        <v>40856</v>
      </c>
      <c r="C286" s="3" t="s">
        <v>20</v>
      </c>
      <c r="D286">
        <v>5</v>
      </c>
      <c r="E286">
        <v>11</v>
      </c>
      <c r="F286" t="s">
        <v>12</v>
      </c>
      <c r="G286">
        <v>1</v>
      </c>
      <c r="H286">
        <v>1</v>
      </c>
      <c r="I286">
        <v>3</v>
      </c>
      <c r="J286">
        <v>1</v>
      </c>
      <c r="K286" t="str">
        <f t="shared" si="4"/>
        <v>Train</v>
      </c>
    </row>
    <row r="287" spans="1:11" x14ac:dyDescent="0.2">
      <c r="A287" t="s">
        <v>307</v>
      </c>
      <c r="B287" s="2">
        <v>40857</v>
      </c>
      <c r="C287" s="3" t="s">
        <v>22</v>
      </c>
      <c r="D287">
        <v>6</v>
      </c>
      <c r="E287">
        <v>11</v>
      </c>
      <c r="F287" t="s">
        <v>12</v>
      </c>
      <c r="G287">
        <v>1</v>
      </c>
      <c r="H287">
        <v>0</v>
      </c>
      <c r="I287">
        <v>0</v>
      </c>
      <c r="J287">
        <v>1</v>
      </c>
      <c r="K287" t="str">
        <f t="shared" si="4"/>
        <v>Train</v>
      </c>
    </row>
    <row r="288" spans="1:11" x14ac:dyDescent="0.2">
      <c r="A288" t="s">
        <v>308</v>
      </c>
      <c r="B288" s="2">
        <v>40858</v>
      </c>
      <c r="C288" s="3" t="s">
        <v>24</v>
      </c>
      <c r="D288">
        <v>7</v>
      </c>
      <c r="E288">
        <v>11</v>
      </c>
      <c r="F288" t="s">
        <v>44</v>
      </c>
      <c r="G288">
        <v>0</v>
      </c>
      <c r="H288">
        <v>1</v>
      </c>
      <c r="I288">
        <v>0</v>
      </c>
      <c r="J288">
        <v>0</v>
      </c>
      <c r="K288" t="str">
        <f t="shared" si="4"/>
        <v>Train</v>
      </c>
    </row>
    <row r="289" spans="1:11" x14ac:dyDescent="0.2">
      <c r="A289" t="s">
        <v>309</v>
      </c>
      <c r="B289" s="2">
        <v>40859</v>
      </c>
      <c r="C289" s="3" t="s">
        <v>11</v>
      </c>
      <c r="D289">
        <v>1</v>
      </c>
      <c r="E289">
        <v>11</v>
      </c>
      <c r="F289" t="s">
        <v>12</v>
      </c>
      <c r="G289">
        <v>0</v>
      </c>
      <c r="H289">
        <v>0</v>
      </c>
      <c r="I289">
        <v>0</v>
      </c>
      <c r="J289">
        <v>2</v>
      </c>
      <c r="K289" t="str">
        <f t="shared" si="4"/>
        <v>Train</v>
      </c>
    </row>
    <row r="290" spans="1:11" x14ac:dyDescent="0.2">
      <c r="A290" t="s">
        <v>310</v>
      </c>
      <c r="B290" s="2">
        <v>40860</v>
      </c>
      <c r="C290" s="3" t="s">
        <v>14</v>
      </c>
      <c r="D290">
        <v>2</v>
      </c>
      <c r="E290">
        <v>11</v>
      </c>
      <c r="F290" t="s">
        <v>12</v>
      </c>
      <c r="G290">
        <v>0</v>
      </c>
      <c r="H290">
        <v>6</v>
      </c>
      <c r="I290">
        <v>0</v>
      </c>
      <c r="J290">
        <v>0</v>
      </c>
      <c r="K290" t="str">
        <f t="shared" si="4"/>
        <v>Train</v>
      </c>
    </row>
    <row r="291" spans="1:11" x14ac:dyDescent="0.2">
      <c r="A291" t="s">
        <v>311</v>
      </c>
      <c r="B291" s="2">
        <v>40861</v>
      </c>
      <c r="C291" s="3" t="s">
        <v>16</v>
      </c>
      <c r="D291">
        <v>3</v>
      </c>
      <c r="E291">
        <v>11</v>
      </c>
      <c r="F291" t="s">
        <v>12</v>
      </c>
      <c r="G291">
        <v>0</v>
      </c>
      <c r="H291">
        <v>1</v>
      </c>
      <c r="I291">
        <v>1</v>
      </c>
      <c r="J291">
        <v>0</v>
      </c>
      <c r="K291" t="str">
        <f t="shared" si="4"/>
        <v>Train</v>
      </c>
    </row>
    <row r="292" spans="1:11" x14ac:dyDescent="0.2">
      <c r="A292" t="s">
        <v>312</v>
      </c>
      <c r="B292" s="2">
        <v>40862</v>
      </c>
      <c r="C292" s="3" t="s">
        <v>18</v>
      </c>
      <c r="D292">
        <v>4</v>
      </c>
      <c r="E292">
        <v>11</v>
      </c>
      <c r="F292" t="s">
        <v>12</v>
      </c>
      <c r="G292">
        <v>0</v>
      </c>
      <c r="H292">
        <v>0</v>
      </c>
      <c r="I292">
        <v>1</v>
      </c>
      <c r="J292">
        <v>1</v>
      </c>
      <c r="K292" t="str">
        <f t="shared" si="4"/>
        <v>Train</v>
      </c>
    </row>
    <row r="293" spans="1:11" x14ac:dyDescent="0.2">
      <c r="A293" t="s">
        <v>313</v>
      </c>
      <c r="B293" s="2">
        <v>40863</v>
      </c>
      <c r="C293" s="3" t="s">
        <v>20</v>
      </c>
      <c r="D293">
        <v>5</v>
      </c>
      <c r="E293">
        <v>11</v>
      </c>
      <c r="F293" t="s">
        <v>12</v>
      </c>
      <c r="G293">
        <v>0</v>
      </c>
      <c r="H293">
        <v>0</v>
      </c>
      <c r="I293">
        <v>1</v>
      </c>
      <c r="J293">
        <v>0</v>
      </c>
      <c r="K293" t="str">
        <f t="shared" si="4"/>
        <v>Train</v>
      </c>
    </row>
    <row r="294" spans="1:11" x14ac:dyDescent="0.2">
      <c r="A294" t="s">
        <v>314</v>
      </c>
      <c r="B294" s="2">
        <v>40864</v>
      </c>
      <c r="C294" s="3" t="s">
        <v>22</v>
      </c>
      <c r="D294">
        <v>6</v>
      </c>
      <c r="E294">
        <v>11</v>
      </c>
      <c r="F294" t="s">
        <v>12</v>
      </c>
      <c r="G294">
        <v>0</v>
      </c>
      <c r="H294">
        <v>0</v>
      </c>
      <c r="I294">
        <v>1</v>
      </c>
      <c r="J294">
        <v>1</v>
      </c>
      <c r="K294" t="str">
        <f t="shared" si="4"/>
        <v>Train</v>
      </c>
    </row>
    <row r="295" spans="1:11" x14ac:dyDescent="0.2">
      <c r="A295" t="s">
        <v>315</v>
      </c>
      <c r="B295" s="2">
        <v>40865</v>
      </c>
      <c r="C295" s="3" t="s">
        <v>24</v>
      </c>
      <c r="D295">
        <v>7</v>
      </c>
      <c r="E295">
        <v>11</v>
      </c>
      <c r="F295" t="s">
        <v>12</v>
      </c>
      <c r="G295">
        <v>0</v>
      </c>
      <c r="H295">
        <v>1</v>
      </c>
      <c r="I295">
        <v>4</v>
      </c>
      <c r="J295">
        <v>1</v>
      </c>
      <c r="K295" t="str">
        <f t="shared" si="4"/>
        <v>Train</v>
      </c>
    </row>
    <row r="296" spans="1:11" x14ac:dyDescent="0.2">
      <c r="A296" t="s">
        <v>316</v>
      </c>
      <c r="B296" s="2">
        <v>40866</v>
      </c>
      <c r="C296" s="3" t="s">
        <v>11</v>
      </c>
      <c r="D296">
        <v>1</v>
      </c>
      <c r="E296">
        <v>11</v>
      </c>
      <c r="F296" t="s">
        <v>12</v>
      </c>
      <c r="G296">
        <v>0</v>
      </c>
      <c r="H296">
        <v>3</v>
      </c>
      <c r="I296">
        <v>0</v>
      </c>
      <c r="J296">
        <v>3</v>
      </c>
      <c r="K296" t="str">
        <f t="shared" si="4"/>
        <v>Train</v>
      </c>
    </row>
    <row r="297" spans="1:11" x14ac:dyDescent="0.2">
      <c r="A297" t="s">
        <v>317</v>
      </c>
      <c r="B297" s="2">
        <v>40867</v>
      </c>
      <c r="C297" s="3" t="s">
        <v>14</v>
      </c>
      <c r="D297">
        <v>2</v>
      </c>
      <c r="E297">
        <v>11</v>
      </c>
      <c r="F297" t="s">
        <v>12</v>
      </c>
      <c r="G297">
        <v>0</v>
      </c>
      <c r="H297">
        <v>4</v>
      </c>
      <c r="I297">
        <v>2</v>
      </c>
      <c r="J297">
        <v>3</v>
      </c>
      <c r="K297" t="str">
        <f t="shared" si="4"/>
        <v>Train</v>
      </c>
    </row>
    <row r="298" spans="1:11" x14ac:dyDescent="0.2">
      <c r="A298" t="s">
        <v>318</v>
      </c>
      <c r="B298" s="2">
        <v>40868</v>
      </c>
      <c r="C298" s="3" t="s">
        <v>16</v>
      </c>
      <c r="D298">
        <v>3</v>
      </c>
      <c r="E298">
        <v>11</v>
      </c>
      <c r="F298" t="s">
        <v>12</v>
      </c>
      <c r="G298">
        <v>0</v>
      </c>
      <c r="H298">
        <v>0</v>
      </c>
      <c r="I298">
        <v>1</v>
      </c>
      <c r="J298">
        <v>0</v>
      </c>
      <c r="K298" t="str">
        <f t="shared" si="4"/>
        <v>Train</v>
      </c>
    </row>
    <row r="299" spans="1:11" x14ac:dyDescent="0.2">
      <c r="A299" t="s">
        <v>319</v>
      </c>
      <c r="B299" s="2">
        <v>40869</v>
      </c>
      <c r="C299" s="3" t="s">
        <v>18</v>
      </c>
      <c r="D299">
        <v>4</v>
      </c>
      <c r="E299">
        <v>11</v>
      </c>
      <c r="F299" t="s">
        <v>12</v>
      </c>
      <c r="G299">
        <v>0</v>
      </c>
      <c r="H299">
        <v>0</v>
      </c>
      <c r="I299">
        <v>2</v>
      </c>
      <c r="J299">
        <v>1</v>
      </c>
      <c r="K299" t="str">
        <f t="shared" si="4"/>
        <v>Train</v>
      </c>
    </row>
    <row r="300" spans="1:11" x14ac:dyDescent="0.2">
      <c r="A300" t="s">
        <v>320</v>
      </c>
      <c r="B300" s="2">
        <v>40870</v>
      </c>
      <c r="C300" s="3" t="s">
        <v>20</v>
      </c>
      <c r="D300">
        <v>5</v>
      </c>
      <c r="E300">
        <v>11</v>
      </c>
      <c r="F300" t="s">
        <v>12</v>
      </c>
      <c r="G300">
        <v>0</v>
      </c>
      <c r="H300">
        <v>1</v>
      </c>
      <c r="I300">
        <v>1</v>
      </c>
      <c r="J300">
        <v>0</v>
      </c>
      <c r="K300" t="str">
        <f t="shared" si="4"/>
        <v>Train</v>
      </c>
    </row>
    <row r="301" spans="1:11" x14ac:dyDescent="0.2">
      <c r="A301" t="s">
        <v>321</v>
      </c>
      <c r="B301" s="2">
        <v>40871</v>
      </c>
      <c r="C301" s="3" t="s">
        <v>22</v>
      </c>
      <c r="D301">
        <v>6</v>
      </c>
      <c r="E301">
        <v>11</v>
      </c>
      <c r="F301" t="s">
        <v>44</v>
      </c>
      <c r="G301">
        <v>0</v>
      </c>
      <c r="H301">
        <v>0</v>
      </c>
      <c r="I301">
        <v>0</v>
      </c>
      <c r="J301">
        <v>0</v>
      </c>
      <c r="K301" t="str">
        <f t="shared" si="4"/>
        <v>Train</v>
      </c>
    </row>
    <row r="302" spans="1:11" x14ac:dyDescent="0.2">
      <c r="A302" t="s">
        <v>322</v>
      </c>
      <c r="B302" s="2">
        <v>40872</v>
      </c>
      <c r="C302" s="3" t="s">
        <v>24</v>
      </c>
      <c r="D302">
        <v>7</v>
      </c>
      <c r="E302">
        <v>11</v>
      </c>
      <c r="F302" t="s">
        <v>12</v>
      </c>
      <c r="G302">
        <v>0</v>
      </c>
      <c r="H302">
        <v>2</v>
      </c>
      <c r="I302">
        <v>1</v>
      </c>
      <c r="J302">
        <v>2</v>
      </c>
      <c r="K302" t="str">
        <f t="shared" si="4"/>
        <v>Validation</v>
      </c>
    </row>
    <row r="303" spans="1:11" x14ac:dyDescent="0.2">
      <c r="A303" t="s">
        <v>323</v>
      </c>
      <c r="B303" s="2">
        <v>40873</v>
      </c>
      <c r="C303" s="3" t="s">
        <v>11</v>
      </c>
      <c r="D303">
        <v>1</v>
      </c>
      <c r="E303">
        <v>11</v>
      </c>
      <c r="F303" t="s">
        <v>12</v>
      </c>
      <c r="G303">
        <v>0</v>
      </c>
      <c r="H303">
        <v>0</v>
      </c>
      <c r="I303">
        <v>0</v>
      </c>
      <c r="J303">
        <v>0</v>
      </c>
      <c r="K303" t="str">
        <f t="shared" si="4"/>
        <v>Validation</v>
      </c>
    </row>
    <row r="304" spans="1:11" x14ac:dyDescent="0.2">
      <c r="A304" t="s">
        <v>324</v>
      </c>
      <c r="B304" s="2">
        <v>40874</v>
      </c>
      <c r="C304" s="3" t="s">
        <v>14</v>
      </c>
      <c r="D304">
        <v>2</v>
      </c>
      <c r="E304">
        <v>11</v>
      </c>
      <c r="F304" t="s">
        <v>12</v>
      </c>
      <c r="G304">
        <v>0</v>
      </c>
      <c r="H304">
        <v>0</v>
      </c>
      <c r="I304">
        <v>1</v>
      </c>
      <c r="J304">
        <v>0</v>
      </c>
      <c r="K304" t="str">
        <f t="shared" si="4"/>
        <v>Validation</v>
      </c>
    </row>
    <row r="305" spans="1:11" x14ac:dyDescent="0.2">
      <c r="A305" t="s">
        <v>325</v>
      </c>
      <c r="B305" s="2">
        <v>40875</v>
      </c>
      <c r="C305" s="3" t="s">
        <v>16</v>
      </c>
      <c r="D305">
        <v>3</v>
      </c>
      <c r="E305">
        <v>11</v>
      </c>
      <c r="F305" t="s">
        <v>12</v>
      </c>
      <c r="G305">
        <v>0</v>
      </c>
      <c r="H305">
        <v>1</v>
      </c>
      <c r="I305">
        <v>1</v>
      </c>
      <c r="J305">
        <v>0</v>
      </c>
      <c r="K305" t="str">
        <f t="shared" si="4"/>
        <v>Validation</v>
      </c>
    </row>
    <row r="306" spans="1:11" x14ac:dyDescent="0.2">
      <c r="A306" t="s">
        <v>326</v>
      </c>
      <c r="B306" s="2">
        <v>40876</v>
      </c>
      <c r="C306" s="3" t="s">
        <v>18</v>
      </c>
      <c r="D306">
        <v>4</v>
      </c>
      <c r="E306">
        <v>11</v>
      </c>
      <c r="F306" t="s">
        <v>12</v>
      </c>
      <c r="G306">
        <v>0</v>
      </c>
      <c r="H306">
        <v>0</v>
      </c>
      <c r="I306">
        <v>0</v>
      </c>
      <c r="J306">
        <v>0</v>
      </c>
      <c r="K306" t="str">
        <f t="shared" si="4"/>
        <v>Validation</v>
      </c>
    </row>
    <row r="307" spans="1:11" x14ac:dyDescent="0.2">
      <c r="A307" t="s">
        <v>327</v>
      </c>
      <c r="B307" s="2">
        <v>40877</v>
      </c>
      <c r="C307" s="3" t="s">
        <v>20</v>
      </c>
      <c r="D307">
        <v>5</v>
      </c>
      <c r="E307">
        <v>11</v>
      </c>
      <c r="F307" t="s">
        <v>12</v>
      </c>
      <c r="G307">
        <v>0</v>
      </c>
      <c r="H307">
        <v>8</v>
      </c>
      <c r="I307">
        <v>0</v>
      </c>
      <c r="J307">
        <v>2</v>
      </c>
      <c r="K307" t="str">
        <f t="shared" si="4"/>
        <v>Validation</v>
      </c>
    </row>
    <row r="308" spans="1:11" x14ac:dyDescent="0.2">
      <c r="A308" t="s">
        <v>328</v>
      </c>
      <c r="B308" s="2">
        <v>40878</v>
      </c>
      <c r="C308" s="3" t="s">
        <v>22</v>
      </c>
      <c r="D308">
        <v>6</v>
      </c>
      <c r="E308">
        <v>12</v>
      </c>
      <c r="F308" t="s">
        <v>12</v>
      </c>
      <c r="G308">
        <v>1</v>
      </c>
      <c r="H308">
        <v>3</v>
      </c>
      <c r="I308">
        <v>0</v>
      </c>
      <c r="J308">
        <v>1</v>
      </c>
      <c r="K308" t="str">
        <f t="shared" si="4"/>
        <v>Validation</v>
      </c>
    </row>
    <row r="309" spans="1:11" x14ac:dyDescent="0.2">
      <c r="A309" t="s">
        <v>329</v>
      </c>
      <c r="B309" s="2">
        <v>40879</v>
      </c>
      <c r="C309" s="3" t="s">
        <v>24</v>
      </c>
      <c r="D309">
        <v>7</v>
      </c>
      <c r="E309">
        <v>12</v>
      </c>
      <c r="F309" t="s">
        <v>12</v>
      </c>
      <c r="G309">
        <v>1</v>
      </c>
      <c r="H309">
        <v>1</v>
      </c>
      <c r="I309">
        <v>2</v>
      </c>
      <c r="J309">
        <v>0</v>
      </c>
      <c r="K309" t="str">
        <f t="shared" si="4"/>
        <v>Validation</v>
      </c>
    </row>
    <row r="310" spans="1:11" x14ac:dyDescent="0.2">
      <c r="A310" t="s">
        <v>330</v>
      </c>
      <c r="B310" s="2">
        <v>40880</v>
      </c>
      <c r="C310" s="3" t="s">
        <v>11</v>
      </c>
      <c r="D310">
        <v>1</v>
      </c>
      <c r="E310">
        <v>12</v>
      </c>
      <c r="F310" t="s">
        <v>12</v>
      </c>
      <c r="G310">
        <v>1</v>
      </c>
      <c r="H310">
        <v>1</v>
      </c>
      <c r="I310">
        <v>2</v>
      </c>
      <c r="J310">
        <v>1</v>
      </c>
      <c r="K310" t="str">
        <f t="shared" si="4"/>
        <v>Validation</v>
      </c>
    </row>
    <row r="311" spans="1:11" x14ac:dyDescent="0.2">
      <c r="A311" t="s">
        <v>331</v>
      </c>
      <c r="B311" s="2">
        <v>40881</v>
      </c>
      <c r="C311" s="3" t="s">
        <v>14</v>
      </c>
      <c r="D311">
        <v>2</v>
      </c>
      <c r="E311">
        <v>12</v>
      </c>
      <c r="F311" t="s">
        <v>12</v>
      </c>
      <c r="G311">
        <v>1</v>
      </c>
      <c r="H311">
        <v>5</v>
      </c>
      <c r="I311">
        <v>1</v>
      </c>
      <c r="J311">
        <v>2</v>
      </c>
      <c r="K311" t="str">
        <f t="shared" si="4"/>
        <v>Validation</v>
      </c>
    </row>
    <row r="312" spans="1:11" x14ac:dyDescent="0.2">
      <c r="A312" t="s">
        <v>332</v>
      </c>
      <c r="B312" s="2">
        <v>40882</v>
      </c>
      <c r="C312" s="3" t="s">
        <v>16</v>
      </c>
      <c r="D312">
        <v>3</v>
      </c>
      <c r="E312">
        <v>12</v>
      </c>
      <c r="F312" t="s">
        <v>12</v>
      </c>
      <c r="G312">
        <v>1</v>
      </c>
      <c r="H312">
        <v>3</v>
      </c>
      <c r="I312">
        <v>2</v>
      </c>
      <c r="J312">
        <v>0</v>
      </c>
      <c r="K312" t="str">
        <f t="shared" si="4"/>
        <v>Validation</v>
      </c>
    </row>
    <row r="313" spans="1:11" x14ac:dyDescent="0.2">
      <c r="A313" t="s">
        <v>333</v>
      </c>
      <c r="B313" s="2">
        <v>40883</v>
      </c>
      <c r="C313" s="3" t="s">
        <v>18</v>
      </c>
      <c r="D313">
        <v>4</v>
      </c>
      <c r="E313">
        <v>12</v>
      </c>
      <c r="F313" t="s">
        <v>12</v>
      </c>
      <c r="G313">
        <v>1</v>
      </c>
      <c r="H313">
        <v>2</v>
      </c>
      <c r="I313">
        <v>3</v>
      </c>
      <c r="J313">
        <v>1</v>
      </c>
      <c r="K313" t="str">
        <f t="shared" si="4"/>
        <v>Validation</v>
      </c>
    </row>
    <row r="314" spans="1:11" x14ac:dyDescent="0.2">
      <c r="A314" t="s">
        <v>334</v>
      </c>
      <c r="B314" s="2">
        <v>40884</v>
      </c>
      <c r="C314" s="3" t="s">
        <v>20</v>
      </c>
      <c r="D314">
        <v>5</v>
      </c>
      <c r="E314">
        <v>12</v>
      </c>
      <c r="F314" t="s">
        <v>12</v>
      </c>
      <c r="G314">
        <v>1</v>
      </c>
      <c r="H314">
        <v>0</v>
      </c>
      <c r="I314">
        <v>0</v>
      </c>
      <c r="J314">
        <v>0</v>
      </c>
      <c r="K314" t="str">
        <f t="shared" si="4"/>
        <v>Validation</v>
      </c>
    </row>
    <row r="315" spans="1:11" x14ac:dyDescent="0.2">
      <c r="A315" t="s">
        <v>335</v>
      </c>
      <c r="B315" s="2">
        <v>40885</v>
      </c>
      <c r="C315" s="3" t="s">
        <v>22</v>
      </c>
      <c r="D315">
        <v>6</v>
      </c>
      <c r="E315">
        <v>12</v>
      </c>
      <c r="F315" t="s">
        <v>12</v>
      </c>
      <c r="G315">
        <v>1</v>
      </c>
      <c r="H315">
        <v>1</v>
      </c>
      <c r="I315">
        <v>2</v>
      </c>
      <c r="J315">
        <v>0</v>
      </c>
      <c r="K315" t="str">
        <f t="shared" si="4"/>
        <v>Validation</v>
      </c>
    </row>
    <row r="316" spans="1:11" x14ac:dyDescent="0.2">
      <c r="A316" t="s">
        <v>336</v>
      </c>
      <c r="B316" s="2">
        <v>40886</v>
      </c>
      <c r="C316" s="3" t="s">
        <v>24</v>
      </c>
      <c r="D316">
        <v>7</v>
      </c>
      <c r="E316">
        <v>12</v>
      </c>
      <c r="F316" t="s">
        <v>12</v>
      </c>
      <c r="G316">
        <v>1</v>
      </c>
      <c r="H316">
        <v>0</v>
      </c>
      <c r="I316">
        <v>0</v>
      </c>
      <c r="J316">
        <v>0</v>
      </c>
      <c r="K316" t="str">
        <f t="shared" si="4"/>
        <v>Validation</v>
      </c>
    </row>
    <row r="317" spans="1:11" x14ac:dyDescent="0.2">
      <c r="A317" t="s">
        <v>337</v>
      </c>
      <c r="B317" s="2">
        <v>40887</v>
      </c>
      <c r="C317" s="3" t="s">
        <v>11</v>
      </c>
      <c r="D317">
        <v>1</v>
      </c>
      <c r="E317">
        <v>12</v>
      </c>
      <c r="F317" t="s">
        <v>12</v>
      </c>
      <c r="G317">
        <v>1</v>
      </c>
      <c r="H317">
        <v>0</v>
      </c>
      <c r="I317">
        <v>0</v>
      </c>
      <c r="J317">
        <v>2</v>
      </c>
      <c r="K317" t="str">
        <f t="shared" si="4"/>
        <v>Validation</v>
      </c>
    </row>
    <row r="318" spans="1:11" x14ac:dyDescent="0.2">
      <c r="A318" t="s">
        <v>338</v>
      </c>
      <c r="B318" s="2">
        <v>40888</v>
      </c>
      <c r="C318" s="3" t="s">
        <v>14</v>
      </c>
      <c r="D318">
        <v>2</v>
      </c>
      <c r="E318">
        <v>12</v>
      </c>
      <c r="F318" t="s">
        <v>12</v>
      </c>
      <c r="G318">
        <v>0</v>
      </c>
      <c r="H318">
        <v>2</v>
      </c>
      <c r="I318">
        <v>0</v>
      </c>
      <c r="J318">
        <v>1</v>
      </c>
      <c r="K318" t="str">
        <f t="shared" si="4"/>
        <v>Validation</v>
      </c>
    </row>
    <row r="319" spans="1:11" x14ac:dyDescent="0.2">
      <c r="A319" t="s">
        <v>339</v>
      </c>
      <c r="B319" s="2">
        <v>40889</v>
      </c>
      <c r="C319" s="3" t="s">
        <v>16</v>
      </c>
      <c r="D319">
        <v>3</v>
      </c>
      <c r="E319">
        <v>12</v>
      </c>
      <c r="F319" t="s">
        <v>12</v>
      </c>
      <c r="G319">
        <v>0</v>
      </c>
      <c r="H319">
        <v>0</v>
      </c>
      <c r="I319">
        <v>0</v>
      </c>
      <c r="J319">
        <v>0</v>
      </c>
      <c r="K319" t="str">
        <f t="shared" si="4"/>
        <v>Validation</v>
      </c>
    </row>
    <row r="320" spans="1:11" x14ac:dyDescent="0.2">
      <c r="A320" t="s">
        <v>340</v>
      </c>
      <c r="B320" s="2">
        <v>40890</v>
      </c>
      <c r="C320" s="3" t="s">
        <v>18</v>
      </c>
      <c r="D320">
        <v>4</v>
      </c>
      <c r="E320">
        <v>12</v>
      </c>
      <c r="F320" t="s">
        <v>12</v>
      </c>
      <c r="G320">
        <v>0</v>
      </c>
      <c r="H320">
        <v>1</v>
      </c>
      <c r="I320">
        <v>2</v>
      </c>
      <c r="J320">
        <v>2</v>
      </c>
      <c r="K320" t="str">
        <f t="shared" si="4"/>
        <v>Validation</v>
      </c>
    </row>
    <row r="321" spans="1:11" x14ac:dyDescent="0.2">
      <c r="A321" t="s">
        <v>341</v>
      </c>
      <c r="B321" s="2">
        <v>40891</v>
      </c>
      <c r="C321" s="3" t="s">
        <v>20</v>
      </c>
      <c r="D321">
        <v>5</v>
      </c>
      <c r="E321">
        <v>12</v>
      </c>
      <c r="F321" t="s">
        <v>12</v>
      </c>
      <c r="G321">
        <v>0</v>
      </c>
      <c r="H321">
        <v>0</v>
      </c>
      <c r="I321">
        <v>1</v>
      </c>
      <c r="J321">
        <v>2</v>
      </c>
      <c r="K321" t="str">
        <f t="shared" si="4"/>
        <v>Validation</v>
      </c>
    </row>
    <row r="322" spans="1:11" x14ac:dyDescent="0.2">
      <c r="A322" t="s">
        <v>342</v>
      </c>
      <c r="B322" s="2">
        <v>40892</v>
      </c>
      <c r="C322" s="3" t="s">
        <v>22</v>
      </c>
      <c r="D322">
        <v>6</v>
      </c>
      <c r="E322">
        <v>12</v>
      </c>
      <c r="F322" t="s">
        <v>12</v>
      </c>
      <c r="G322">
        <v>0</v>
      </c>
      <c r="H322">
        <v>1</v>
      </c>
      <c r="I322">
        <v>1</v>
      </c>
      <c r="J322">
        <v>1</v>
      </c>
      <c r="K322" t="str">
        <f t="shared" ref="K322:K366" si="5">IF(ROW()-1&lt;=300,"Train","Validation")</f>
        <v>Validation</v>
      </c>
    </row>
    <row r="323" spans="1:11" x14ac:dyDescent="0.2">
      <c r="A323" t="s">
        <v>343</v>
      </c>
      <c r="B323" s="2">
        <v>40893</v>
      </c>
      <c r="C323" s="3" t="s">
        <v>24</v>
      </c>
      <c r="D323">
        <v>7</v>
      </c>
      <c r="E323">
        <v>12</v>
      </c>
      <c r="F323" t="s">
        <v>12</v>
      </c>
      <c r="G323">
        <v>0</v>
      </c>
      <c r="H323">
        <v>2</v>
      </c>
      <c r="I323">
        <v>0</v>
      </c>
      <c r="J323">
        <v>1</v>
      </c>
      <c r="K323" t="str">
        <f t="shared" si="5"/>
        <v>Validation</v>
      </c>
    </row>
    <row r="324" spans="1:11" x14ac:dyDescent="0.2">
      <c r="A324" t="s">
        <v>344</v>
      </c>
      <c r="B324" s="2">
        <v>40894</v>
      </c>
      <c r="C324" s="3" t="s">
        <v>11</v>
      </c>
      <c r="D324">
        <v>1</v>
      </c>
      <c r="E324">
        <v>12</v>
      </c>
      <c r="F324" t="s">
        <v>12</v>
      </c>
      <c r="G324">
        <v>0</v>
      </c>
      <c r="H324">
        <v>2</v>
      </c>
      <c r="I324">
        <v>0</v>
      </c>
      <c r="J324">
        <v>6</v>
      </c>
      <c r="K324" t="str">
        <f t="shared" si="5"/>
        <v>Validation</v>
      </c>
    </row>
    <row r="325" spans="1:11" x14ac:dyDescent="0.2">
      <c r="A325" t="s">
        <v>345</v>
      </c>
      <c r="B325" s="2">
        <v>40895</v>
      </c>
      <c r="C325" s="3" t="s">
        <v>14</v>
      </c>
      <c r="D325">
        <v>2</v>
      </c>
      <c r="E325">
        <v>12</v>
      </c>
      <c r="F325" t="s">
        <v>12</v>
      </c>
      <c r="G325">
        <v>0</v>
      </c>
      <c r="H325">
        <v>6</v>
      </c>
      <c r="I325">
        <v>2</v>
      </c>
      <c r="J325">
        <v>0</v>
      </c>
      <c r="K325" t="str">
        <f t="shared" si="5"/>
        <v>Validation</v>
      </c>
    </row>
    <row r="326" spans="1:11" x14ac:dyDescent="0.2">
      <c r="A326" t="s">
        <v>346</v>
      </c>
      <c r="B326" s="2">
        <v>40896</v>
      </c>
      <c r="C326" s="3" t="s">
        <v>16</v>
      </c>
      <c r="D326">
        <v>3</v>
      </c>
      <c r="E326">
        <v>12</v>
      </c>
      <c r="F326" t="s">
        <v>12</v>
      </c>
      <c r="G326">
        <v>0</v>
      </c>
      <c r="H326">
        <v>2</v>
      </c>
      <c r="I326">
        <v>4</v>
      </c>
      <c r="J326">
        <v>1</v>
      </c>
      <c r="K326" t="str">
        <f t="shared" si="5"/>
        <v>Validation</v>
      </c>
    </row>
    <row r="327" spans="1:11" x14ac:dyDescent="0.2">
      <c r="A327" t="s">
        <v>347</v>
      </c>
      <c r="B327" s="2">
        <v>40897</v>
      </c>
      <c r="C327" s="3" t="s">
        <v>18</v>
      </c>
      <c r="D327">
        <v>4</v>
      </c>
      <c r="E327">
        <v>12</v>
      </c>
      <c r="F327" t="s">
        <v>12</v>
      </c>
      <c r="G327">
        <v>0</v>
      </c>
      <c r="H327">
        <v>3</v>
      </c>
      <c r="I327">
        <v>1</v>
      </c>
      <c r="J327">
        <v>0</v>
      </c>
      <c r="K327" t="str">
        <f t="shared" si="5"/>
        <v>Validation</v>
      </c>
    </row>
    <row r="328" spans="1:11" x14ac:dyDescent="0.2">
      <c r="A328" t="s">
        <v>348</v>
      </c>
      <c r="B328" s="2">
        <v>40898</v>
      </c>
      <c r="C328" s="3" t="s">
        <v>20</v>
      </c>
      <c r="D328">
        <v>5</v>
      </c>
      <c r="E328">
        <v>12</v>
      </c>
      <c r="F328" t="s">
        <v>12</v>
      </c>
      <c r="G328">
        <v>0</v>
      </c>
      <c r="H328">
        <v>5</v>
      </c>
      <c r="I328">
        <v>0</v>
      </c>
      <c r="J328">
        <v>0</v>
      </c>
      <c r="K328" t="str">
        <f t="shared" si="5"/>
        <v>Validation</v>
      </c>
    </row>
    <row r="329" spans="1:11" x14ac:dyDescent="0.2">
      <c r="A329" t="s">
        <v>349</v>
      </c>
      <c r="B329" s="2">
        <v>40899</v>
      </c>
      <c r="C329" s="3" t="s">
        <v>22</v>
      </c>
      <c r="D329">
        <v>6</v>
      </c>
      <c r="E329">
        <v>12</v>
      </c>
      <c r="F329" t="s">
        <v>12</v>
      </c>
      <c r="G329">
        <v>0</v>
      </c>
      <c r="H329">
        <v>3</v>
      </c>
      <c r="I329">
        <v>0</v>
      </c>
      <c r="J329">
        <v>2</v>
      </c>
      <c r="K329" t="str">
        <f t="shared" si="5"/>
        <v>Validation</v>
      </c>
    </row>
    <row r="330" spans="1:11" x14ac:dyDescent="0.2">
      <c r="A330" t="s">
        <v>350</v>
      </c>
      <c r="B330" s="2">
        <v>40900</v>
      </c>
      <c r="C330" s="3" t="s">
        <v>24</v>
      </c>
      <c r="D330">
        <v>7</v>
      </c>
      <c r="E330">
        <v>12</v>
      </c>
      <c r="F330" t="s">
        <v>12</v>
      </c>
      <c r="G330">
        <v>0</v>
      </c>
      <c r="H330">
        <v>5</v>
      </c>
      <c r="I330">
        <v>1</v>
      </c>
      <c r="J330">
        <v>0</v>
      </c>
      <c r="K330" t="str">
        <f t="shared" si="5"/>
        <v>Validation</v>
      </c>
    </row>
    <row r="331" spans="1:11" x14ac:dyDescent="0.2">
      <c r="A331" t="s">
        <v>351</v>
      </c>
      <c r="B331" s="2">
        <v>40901</v>
      </c>
      <c r="C331" s="3" t="s">
        <v>11</v>
      </c>
      <c r="D331">
        <v>1</v>
      </c>
      <c r="E331">
        <v>12</v>
      </c>
      <c r="F331" t="s">
        <v>12</v>
      </c>
      <c r="G331">
        <v>0</v>
      </c>
      <c r="H331">
        <v>1</v>
      </c>
      <c r="I331">
        <v>2</v>
      </c>
      <c r="J331">
        <v>0</v>
      </c>
      <c r="K331" t="str">
        <f t="shared" si="5"/>
        <v>Validation</v>
      </c>
    </row>
    <row r="332" spans="1:11" x14ac:dyDescent="0.2">
      <c r="A332" t="s">
        <v>352</v>
      </c>
      <c r="B332" s="2">
        <v>40902</v>
      </c>
      <c r="C332" s="3" t="s">
        <v>14</v>
      </c>
      <c r="D332">
        <v>2</v>
      </c>
      <c r="E332">
        <v>12</v>
      </c>
      <c r="F332" t="s">
        <v>44</v>
      </c>
      <c r="G332">
        <v>0</v>
      </c>
      <c r="H332">
        <v>0</v>
      </c>
      <c r="I332">
        <v>0</v>
      </c>
      <c r="J332">
        <v>0</v>
      </c>
      <c r="K332" t="str">
        <f t="shared" si="5"/>
        <v>Validation</v>
      </c>
    </row>
    <row r="333" spans="1:11" x14ac:dyDescent="0.2">
      <c r="A333" t="s">
        <v>353</v>
      </c>
      <c r="B333" s="2">
        <v>40903</v>
      </c>
      <c r="C333" s="3" t="s">
        <v>16</v>
      </c>
      <c r="D333">
        <v>3</v>
      </c>
      <c r="E333">
        <v>12</v>
      </c>
      <c r="F333" t="s">
        <v>12</v>
      </c>
      <c r="G333">
        <v>0</v>
      </c>
      <c r="H333">
        <v>1</v>
      </c>
      <c r="I333">
        <v>0</v>
      </c>
      <c r="J333">
        <v>0</v>
      </c>
      <c r="K333" t="str">
        <f t="shared" si="5"/>
        <v>Validation</v>
      </c>
    </row>
    <row r="334" spans="1:11" x14ac:dyDescent="0.2">
      <c r="A334" t="s">
        <v>354</v>
      </c>
      <c r="B334" s="2">
        <v>40904</v>
      </c>
      <c r="C334" s="3" t="s">
        <v>18</v>
      </c>
      <c r="D334">
        <v>4</v>
      </c>
      <c r="E334">
        <v>12</v>
      </c>
      <c r="F334" t="s">
        <v>12</v>
      </c>
      <c r="G334">
        <v>0</v>
      </c>
      <c r="H334">
        <v>1</v>
      </c>
      <c r="I334">
        <v>1</v>
      </c>
      <c r="J334">
        <v>0</v>
      </c>
      <c r="K334" t="str">
        <f t="shared" si="5"/>
        <v>Validation</v>
      </c>
    </row>
    <row r="335" spans="1:11" x14ac:dyDescent="0.2">
      <c r="A335" t="s">
        <v>355</v>
      </c>
      <c r="B335" s="2">
        <v>40905</v>
      </c>
      <c r="C335" s="3" t="s">
        <v>20</v>
      </c>
      <c r="D335">
        <v>5</v>
      </c>
      <c r="E335">
        <v>12</v>
      </c>
      <c r="F335" t="s">
        <v>61</v>
      </c>
      <c r="G335">
        <v>0</v>
      </c>
      <c r="H335">
        <v>1</v>
      </c>
      <c r="I335">
        <v>0</v>
      </c>
      <c r="J335">
        <v>0</v>
      </c>
      <c r="K335" t="str">
        <f t="shared" si="5"/>
        <v>Validation</v>
      </c>
    </row>
    <row r="336" spans="1:11" x14ac:dyDescent="0.2">
      <c r="A336" t="s">
        <v>356</v>
      </c>
      <c r="B336" s="2">
        <v>40906</v>
      </c>
      <c r="C336" s="3" t="s">
        <v>22</v>
      </c>
      <c r="D336">
        <v>6</v>
      </c>
      <c r="E336">
        <v>12</v>
      </c>
      <c r="F336" t="s">
        <v>12</v>
      </c>
      <c r="G336">
        <v>0</v>
      </c>
      <c r="H336">
        <v>0</v>
      </c>
      <c r="I336">
        <v>1</v>
      </c>
      <c r="J336">
        <v>0</v>
      </c>
      <c r="K336" t="str">
        <f t="shared" si="5"/>
        <v>Validation</v>
      </c>
    </row>
    <row r="337" spans="1:11" x14ac:dyDescent="0.2">
      <c r="A337" t="s">
        <v>357</v>
      </c>
      <c r="B337" s="2">
        <v>40907</v>
      </c>
      <c r="C337" s="3" t="s">
        <v>24</v>
      </c>
      <c r="D337">
        <v>7</v>
      </c>
      <c r="E337">
        <v>12</v>
      </c>
      <c r="F337" t="s">
        <v>12</v>
      </c>
      <c r="G337">
        <v>0</v>
      </c>
      <c r="H337">
        <v>0</v>
      </c>
      <c r="I337">
        <v>0</v>
      </c>
      <c r="J337">
        <v>1</v>
      </c>
      <c r="K337" t="str">
        <f t="shared" si="5"/>
        <v>Validation</v>
      </c>
    </row>
    <row r="338" spans="1:11" x14ac:dyDescent="0.2">
      <c r="A338" t="s">
        <v>358</v>
      </c>
      <c r="B338" s="2">
        <v>40908</v>
      </c>
      <c r="C338" s="3" t="s">
        <v>11</v>
      </c>
      <c r="D338">
        <v>1</v>
      </c>
      <c r="E338">
        <v>12</v>
      </c>
      <c r="F338" t="s">
        <v>12</v>
      </c>
      <c r="G338">
        <v>0</v>
      </c>
      <c r="H338">
        <v>2</v>
      </c>
      <c r="I338">
        <v>1</v>
      </c>
      <c r="J338">
        <v>1</v>
      </c>
      <c r="K338" t="str">
        <f t="shared" si="5"/>
        <v>Validation</v>
      </c>
    </row>
    <row r="339" spans="1:11" x14ac:dyDescent="0.2">
      <c r="A339" t="s">
        <v>359</v>
      </c>
      <c r="B339" s="2">
        <v>40909</v>
      </c>
      <c r="C339" s="3" t="s">
        <v>14</v>
      </c>
      <c r="D339">
        <v>2</v>
      </c>
      <c r="E339">
        <v>1</v>
      </c>
      <c r="F339" t="s">
        <v>44</v>
      </c>
      <c r="G339">
        <v>1</v>
      </c>
      <c r="H339">
        <v>2</v>
      </c>
      <c r="I339">
        <v>0</v>
      </c>
      <c r="J339">
        <v>0</v>
      </c>
      <c r="K339" t="str">
        <f t="shared" si="5"/>
        <v>Validation</v>
      </c>
    </row>
    <row r="340" spans="1:11" x14ac:dyDescent="0.2">
      <c r="A340" t="s">
        <v>360</v>
      </c>
      <c r="B340" s="2">
        <v>40910</v>
      </c>
      <c r="C340" s="3" t="s">
        <v>16</v>
      </c>
      <c r="D340">
        <v>3</v>
      </c>
      <c r="E340">
        <v>1</v>
      </c>
      <c r="F340" t="s">
        <v>12</v>
      </c>
      <c r="G340">
        <v>1</v>
      </c>
      <c r="H340">
        <v>0</v>
      </c>
      <c r="I340">
        <v>2</v>
      </c>
      <c r="J340">
        <v>0</v>
      </c>
      <c r="K340" t="str">
        <f t="shared" si="5"/>
        <v>Validation</v>
      </c>
    </row>
    <row r="341" spans="1:11" x14ac:dyDescent="0.2">
      <c r="A341" t="s">
        <v>361</v>
      </c>
      <c r="B341" s="2">
        <v>40911</v>
      </c>
      <c r="C341" s="3" t="s">
        <v>18</v>
      </c>
      <c r="D341">
        <v>4</v>
      </c>
      <c r="E341">
        <v>1</v>
      </c>
      <c r="F341" t="s">
        <v>12</v>
      </c>
      <c r="G341">
        <v>1</v>
      </c>
      <c r="H341">
        <v>0</v>
      </c>
      <c r="I341">
        <v>0</v>
      </c>
      <c r="J341">
        <v>0</v>
      </c>
      <c r="K341" t="str">
        <f t="shared" si="5"/>
        <v>Validation</v>
      </c>
    </row>
    <row r="342" spans="1:11" x14ac:dyDescent="0.2">
      <c r="A342" t="s">
        <v>362</v>
      </c>
      <c r="B342" s="2">
        <v>40912</v>
      </c>
      <c r="C342" s="3" t="s">
        <v>20</v>
      </c>
      <c r="D342">
        <v>5</v>
      </c>
      <c r="E342">
        <v>1</v>
      </c>
      <c r="F342" t="s">
        <v>12</v>
      </c>
      <c r="G342">
        <v>1</v>
      </c>
      <c r="H342">
        <v>1</v>
      </c>
      <c r="I342">
        <v>2</v>
      </c>
      <c r="J342">
        <v>0</v>
      </c>
      <c r="K342" t="str">
        <f t="shared" si="5"/>
        <v>Validation</v>
      </c>
    </row>
    <row r="343" spans="1:11" x14ac:dyDescent="0.2">
      <c r="A343" t="s">
        <v>363</v>
      </c>
      <c r="B343" s="2">
        <v>40913</v>
      </c>
      <c r="C343" s="3" t="s">
        <v>22</v>
      </c>
      <c r="D343">
        <v>6</v>
      </c>
      <c r="E343">
        <v>1</v>
      </c>
      <c r="F343" t="s">
        <v>12</v>
      </c>
      <c r="G343">
        <v>1</v>
      </c>
      <c r="H343">
        <v>1</v>
      </c>
      <c r="I343">
        <v>0</v>
      </c>
      <c r="J343">
        <v>1</v>
      </c>
      <c r="K343" t="str">
        <f t="shared" si="5"/>
        <v>Validation</v>
      </c>
    </row>
    <row r="344" spans="1:11" x14ac:dyDescent="0.2">
      <c r="A344" t="s">
        <v>364</v>
      </c>
      <c r="B344" s="2">
        <v>40914</v>
      </c>
      <c r="C344" s="3" t="s">
        <v>24</v>
      </c>
      <c r="D344">
        <v>7</v>
      </c>
      <c r="E344">
        <v>1</v>
      </c>
      <c r="F344" t="s">
        <v>12</v>
      </c>
      <c r="G344">
        <v>1</v>
      </c>
      <c r="H344">
        <v>0</v>
      </c>
      <c r="I344">
        <v>0</v>
      </c>
      <c r="J344">
        <v>0</v>
      </c>
      <c r="K344" t="str">
        <f t="shared" si="5"/>
        <v>Validation</v>
      </c>
    </row>
    <row r="345" spans="1:11" x14ac:dyDescent="0.2">
      <c r="A345" t="s">
        <v>365</v>
      </c>
      <c r="B345" s="2">
        <v>40915</v>
      </c>
      <c r="C345" s="3" t="s">
        <v>11</v>
      </c>
      <c r="D345">
        <v>1</v>
      </c>
      <c r="E345">
        <v>1</v>
      </c>
      <c r="F345" t="s">
        <v>61</v>
      </c>
      <c r="G345">
        <v>1</v>
      </c>
      <c r="H345">
        <v>1</v>
      </c>
      <c r="I345">
        <v>0</v>
      </c>
      <c r="J345">
        <v>0</v>
      </c>
      <c r="K345" t="str">
        <f t="shared" si="5"/>
        <v>Validation</v>
      </c>
    </row>
    <row r="346" spans="1:11" x14ac:dyDescent="0.2">
      <c r="A346" t="s">
        <v>366</v>
      </c>
      <c r="B346" s="2">
        <v>40916</v>
      </c>
      <c r="C346" s="3" t="s">
        <v>14</v>
      </c>
      <c r="D346">
        <v>2</v>
      </c>
      <c r="E346">
        <v>1</v>
      </c>
      <c r="F346" t="s">
        <v>12</v>
      </c>
      <c r="G346">
        <v>1</v>
      </c>
      <c r="H346">
        <v>0</v>
      </c>
      <c r="I346">
        <v>4</v>
      </c>
      <c r="J346">
        <v>0</v>
      </c>
      <c r="K346" t="str">
        <f t="shared" si="5"/>
        <v>Validation</v>
      </c>
    </row>
    <row r="347" spans="1:11" x14ac:dyDescent="0.2">
      <c r="A347" t="s">
        <v>367</v>
      </c>
      <c r="B347" s="2">
        <v>40917</v>
      </c>
      <c r="C347" s="3" t="s">
        <v>16</v>
      </c>
      <c r="D347">
        <v>3</v>
      </c>
      <c r="E347">
        <v>1</v>
      </c>
      <c r="F347" t="s">
        <v>12</v>
      </c>
      <c r="G347">
        <v>1</v>
      </c>
      <c r="H347">
        <v>0</v>
      </c>
      <c r="I347">
        <v>2</v>
      </c>
      <c r="J347">
        <v>0</v>
      </c>
      <c r="K347" t="str">
        <f t="shared" si="5"/>
        <v>Validation</v>
      </c>
    </row>
    <row r="348" spans="1:11" x14ac:dyDescent="0.2">
      <c r="A348" t="s">
        <v>368</v>
      </c>
      <c r="B348" s="2">
        <v>40918</v>
      </c>
      <c r="C348" s="3" t="s">
        <v>18</v>
      </c>
      <c r="D348">
        <v>4</v>
      </c>
      <c r="E348">
        <v>1</v>
      </c>
      <c r="F348" t="s">
        <v>12</v>
      </c>
      <c r="G348">
        <v>1</v>
      </c>
      <c r="H348">
        <v>0</v>
      </c>
      <c r="I348">
        <v>0</v>
      </c>
      <c r="J348">
        <v>1</v>
      </c>
      <c r="K348" t="str">
        <f t="shared" si="5"/>
        <v>Validation</v>
      </c>
    </row>
    <row r="349" spans="1:11" x14ac:dyDescent="0.2">
      <c r="A349" t="s">
        <v>369</v>
      </c>
      <c r="B349" s="2">
        <v>40919</v>
      </c>
      <c r="C349" s="3" t="s">
        <v>20</v>
      </c>
      <c r="D349">
        <v>5</v>
      </c>
      <c r="E349">
        <v>1</v>
      </c>
      <c r="F349" t="s">
        <v>12</v>
      </c>
      <c r="G349">
        <v>0</v>
      </c>
      <c r="H349">
        <v>2</v>
      </c>
      <c r="I349">
        <v>2</v>
      </c>
      <c r="J349">
        <v>1</v>
      </c>
      <c r="K349" t="str">
        <f t="shared" si="5"/>
        <v>Validation</v>
      </c>
    </row>
    <row r="350" spans="1:11" x14ac:dyDescent="0.2">
      <c r="A350" t="s">
        <v>370</v>
      </c>
      <c r="B350" s="2">
        <v>40920</v>
      </c>
      <c r="C350" s="3" t="s">
        <v>22</v>
      </c>
      <c r="D350">
        <v>6</v>
      </c>
      <c r="E350">
        <v>1</v>
      </c>
      <c r="F350" t="s">
        <v>12</v>
      </c>
      <c r="G350">
        <v>0</v>
      </c>
      <c r="H350">
        <v>0</v>
      </c>
      <c r="I350">
        <v>1</v>
      </c>
      <c r="J350">
        <v>0</v>
      </c>
      <c r="K350" t="str">
        <f t="shared" si="5"/>
        <v>Validation</v>
      </c>
    </row>
    <row r="351" spans="1:11" x14ac:dyDescent="0.2">
      <c r="A351" t="s">
        <v>371</v>
      </c>
      <c r="B351" s="2">
        <v>40921</v>
      </c>
      <c r="C351" s="3" t="s">
        <v>24</v>
      </c>
      <c r="D351">
        <v>7</v>
      </c>
      <c r="E351">
        <v>1</v>
      </c>
      <c r="F351" t="s">
        <v>12</v>
      </c>
      <c r="G351">
        <v>0</v>
      </c>
      <c r="H351">
        <v>1</v>
      </c>
      <c r="I351">
        <v>0</v>
      </c>
      <c r="J351">
        <v>1</v>
      </c>
      <c r="K351" t="str">
        <f t="shared" si="5"/>
        <v>Validation</v>
      </c>
    </row>
    <row r="352" spans="1:11" x14ac:dyDescent="0.2">
      <c r="A352" t="s">
        <v>372</v>
      </c>
      <c r="B352" s="2">
        <v>40922</v>
      </c>
      <c r="C352" s="3" t="s">
        <v>11</v>
      </c>
      <c r="D352">
        <v>1</v>
      </c>
      <c r="E352">
        <v>1</v>
      </c>
      <c r="F352" t="s">
        <v>12</v>
      </c>
      <c r="G352">
        <v>0</v>
      </c>
      <c r="H352">
        <v>0</v>
      </c>
      <c r="I352">
        <v>1</v>
      </c>
      <c r="J352">
        <v>4</v>
      </c>
      <c r="K352" t="str">
        <f t="shared" si="5"/>
        <v>Validation</v>
      </c>
    </row>
    <row r="353" spans="1:11" x14ac:dyDescent="0.2">
      <c r="A353" t="s">
        <v>373</v>
      </c>
      <c r="B353" s="2">
        <v>40923</v>
      </c>
      <c r="C353" s="3" t="s">
        <v>14</v>
      </c>
      <c r="D353">
        <v>2</v>
      </c>
      <c r="E353">
        <v>1</v>
      </c>
      <c r="F353" t="s">
        <v>12</v>
      </c>
      <c r="G353">
        <v>0</v>
      </c>
      <c r="H353">
        <v>1</v>
      </c>
      <c r="I353">
        <v>0</v>
      </c>
      <c r="J353">
        <v>0</v>
      </c>
      <c r="K353" t="str">
        <f t="shared" si="5"/>
        <v>Validation</v>
      </c>
    </row>
    <row r="354" spans="1:11" x14ac:dyDescent="0.2">
      <c r="A354" t="s">
        <v>374</v>
      </c>
      <c r="B354" s="2">
        <v>40924</v>
      </c>
      <c r="C354" s="3" t="s">
        <v>16</v>
      </c>
      <c r="D354">
        <v>3</v>
      </c>
      <c r="E354">
        <v>1</v>
      </c>
      <c r="F354" t="s">
        <v>44</v>
      </c>
      <c r="G354">
        <v>0</v>
      </c>
      <c r="H354">
        <v>1</v>
      </c>
      <c r="I354">
        <v>0</v>
      </c>
      <c r="J354">
        <v>0</v>
      </c>
      <c r="K354" t="str">
        <f t="shared" si="5"/>
        <v>Validation</v>
      </c>
    </row>
    <row r="355" spans="1:11" x14ac:dyDescent="0.2">
      <c r="A355" t="s">
        <v>375</v>
      </c>
      <c r="B355" s="2">
        <v>40925</v>
      </c>
      <c r="C355" s="3" t="s">
        <v>18</v>
      </c>
      <c r="D355">
        <v>4</v>
      </c>
      <c r="E355">
        <v>1</v>
      </c>
      <c r="F355" t="s">
        <v>12</v>
      </c>
      <c r="G355">
        <v>0</v>
      </c>
      <c r="H355">
        <v>1</v>
      </c>
      <c r="I355">
        <v>1</v>
      </c>
      <c r="J355">
        <v>2</v>
      </c>
      <c r="K355" t="str">
        <f t="shared" si="5"/>
        <v>Validation</v>
      </c>
    </row>
    <row r="356" spans="1:11" x14ac:dyDescent="0.2">
      <c r="A356" t="s">
        <v>376</v>
      </c>
      <c r="B356" s="2">
        <v>40926</v>
      </c>
      <c r="C356" s="3" t="s">
        <v>20</v>
      </c>
      <c r="D356">
        <v>5</v>
      </c>
      <c r="E356">
        <v>1</v>
      </c>
      <c r="F356" t="s">
        <v>12</v>
      </c>
      <c r="G356">
        <v>0</v>
      </c>
      <c r="H356">
        <v>0</v>
      </c>
      <c r="I356">
        <v>1</v>
      </c>
      <c r="J356">
        <v>0</v>
      </c>
      <c r="K356" t="str">
        <f t="shared" si="5"/>
        <v>Validation</v>
      </c>
    </row>
    <row r="357" spans="1:11" x14ac:dyDescent="0.2">
      <c r="A357" t="s">
        <v>377</v>
      </c>
      <c r="B357" s="2">
        <v>40927</v>
      </c>
      <c r="C357" s="3" t="s">
        <v>22</v>
      </c>
      <c r="D357">
        <v>6</v>
      </c>
      <c r="E357">
        <v>1</v>
      </c>
      <c r="F357" t="s">
        <v>12</v>
      </c>
      <c r="G357">
        <v>0</v>
      </c>
      <c r="H357">
        <v>0</v>
      </c>
      <c r="I357">
        <v>1</v>
      </c>
      <c r="J357">
        <v>0</v>
      </c>
      <c r="K357" t="str">
        <f t="shared" si="5"/>
        <v>Validation</v>
      </c>
    </row>
    <row r="358" spans="1:11" x14ac:dyDescent="0.2">
      <c r="A358" t="s">
        <v>378</v>
      </c>
      <c r="B358" s="2">
        <v>40928</v>
      </c>
      <c r="C358" s="3" t="s">
        <v>24</v>
      </c>
      <c r="D358">
        <v>7</v>
      </c>
      <c r="E358">
        <v>1</v>
      </c>
      <c r="F358" t="s">
        <v>12</v>
      </c>
      <c r="G358">
        <v>0</v>
      </c>
      <c r="H358">
        <v>4</v>
      </c>
      <c r="I358">
        <v>0</v>
      </c>
      <c r="J358">
        <v>0</v>
      </c>
      <c r="K358" t="str">
        <f t="shared" si="5"/>
        <v>Validation</v>
      </c>
    </row>
    <row r="359" spans="1:11" x14ac:dyDescent="0.2">
      <c r="A359" t="s">
        <v>379</v>
      </c>
      <c r="B359" s="2">
        <v>40929</v>
      </c>
      <c r="C359" s="3" t="s">
        <v>11</v>
      </c>
      <c r="D359">
        <v>1</v>
      </c>
      <c r="E359">
        <v>1</v>
      </c>
      <c r="F359" t="s">
        <v>12</v>
      </c>
      <c r="G359">
        <v>0</v>
      </c>
      <c r="H359">
        <v>1</v>
      </c>
      <c r="I359">
        <v>0</v>
      </c>
      <c r="J359">
        <v>0</v>
      </c>
      <c r="K359" t="str">
        <f t="shared" si="5"/>
        <v>Validation</v>
      </c>
    </row>
    <row r="360" spans="1:11" x14ac:dyDescent="0.2">
      <c r="A360" t="s">
        <v>380</v>
      </c>
      <c r="B360" s="2">
        <v>40930</v>
      </c>
      <c r="C360" s="3" t="s">
        <v>14</v>
      </c>
      <c r="D360">
        <v>2</v>
      </c>
      <c r="E360">
        <v>1</v>
      </c>
      <c r="F360" t="s">
        <v>12</v>
      </c>
      <c r="G360">
        <v>0</v>
      </c>
      <c r="H360">
        <v>1</v>
      </c>
      <c r="I360">
        <v>0</v>
      </c>
      <c r="J360">
        <v>0</v>
      </c>
      <c r="K360" t="str">
        <f t="shared" si="5"/>
        <v>Validation</v>
      </c>
    </row>
    <row r="361" spans="1:11" x14ac:dyDescent="0.2">
      <c r="A361" t="s">
        <v>381</v>
      </c>
      <c r="B361" s="2">
        <v>40931</v>
      </c>
      <c r="C361" s="3" t="s">
        <v>16</v>
      </c>
      <c r="D361">
        <v>3</v>
      </c>
      <c r="E361">
        <v>1</v>
      </c>
      <c r="F361" t="s">
        <v>12</v>
      </c>
      <c r="G361">
        <v>0</v>
      </c>
      <c r="H361">
        <v>0</v>
      </c>
      <c r="I361">
        <v>2</v>
      </c>
      <c r="J361">
        <v>0</v>
      </c>
      <c r="K361" t="str">
        <f t="shared" si="5"/>
        <v>Validation</v>
      </c>
    </row>
    <row r="362" spans="1:11" x14ac:dyDescent="0.2">
      <c r="A362" t="s">
        <v>382</v>
      </c>
      <c r="B362" s="2">
        <v>40932</v>
      </c>
      <c r="C362" s="3" t="s">
        <v>18</v>
      </c>
      <c r="D362">
        <v>4</v>
      </c>
      <c r="E362">
        <v>1</v>
      </c>
      <c r="F362" t="s">
        <v>12</v>
      </c>
      <c r="G362">
        <v>0</v>
      </c>
      <c r="H362">
        <v>0</v>
      </c>
      <c r="I362">
        <v>0</v>
      </c>
      <c r="J362">
        <v>1</v>
      </c>
      <c r="K362" t="str">
        <f t="shared" si="5"/>
        <v>Validation</v>
      </c>
    </row>
    <row r="363" spans="1:11" x14ac:dyDescent="0.2">
      <c r="A363" t="s">
        <v>383</v>
      </c>
      <c r="B363" s="2">
        <v>40933</v>
      </c>
      <c r="C363" s="3" t="s">
        <v>20</v>
      </c>
      <c r="D363">
        <v>5</v>
      </c>
      <c r="E363">
        <v>1</v>
      </c>
      <c r="F363" t="s">
        <v>12</v>
      </c>
      <c r="G363">
        <v>0</v>
      </c>
      <c r="H363">
        <v>0</v>
      </c>
      <c r="I363">
        <v>1</v>
      </c>
      <c r="J363">
        <v>1</v>
      </c>
      <c r="K363" t="str">
        <f t="shared" si="5"/>
        <v>Validation</v>
      </c>
    </row>
    <row r="364" spans="1:11" x14ac:dyDescent="0.2">
      <c r="A364" t="s">
        <v>384</v>
      </c>
      <c r="B364" s="2">
        <v>40934</v>
      </c>
      <c r="C364" s="3" t="s">
        <v>22</v>
      </c>
      <c r="D364">
        <v>6</v>
      </c>
      <c r="E364">
        <v>1</v>
      </c>
      <c r="F364" t="s">
        <v>12</v>
      </c>
      <c r="G364">
        <v>0</v>
      </c>
      <c r="H364">
        <v>0</v>
      </c>
      <c r="I364">
        <v>3</v>
      </c>
      <c r="J364">
        <v>1</v>
      </c>
      <c r="K364" t="str">
        <f t="shared" si="5"/>
        <v>Validation</v>
      </c>
    </row>
    <row r="365" spans="1:11" x14ac:dyDescent="0.2">
      <c r="A365" t="s">
        <v>385</v>
      </c>
      <c r="B365" s="2">
        <v>40935</v>
      </c>
      <c r="C365" s="3" t="s">
        <v>24</v>
      </c>
      <c r="D365">
        <v>7</v>
      </c>
      <c r="E365">
        <v>1</v>
      </c>
      <c r="F365" t="s">
        <v>12</v>
      </c>
      <c r="G365">
        <v>0</v>
      </c>
      <c r="H365">
        <v>0</v>
      </c>
      <c r="I365">
        <v>0</v>
      </c>
      <c r="J365">
        <v>0</v>
      </c>
      <c r="K365" t="str">
        <f t="shared" si="5"/>
        <v>Validation</v>
      </c>
    </row>
    <row r="366" spans="1:11" x14ac:dyDescent="0.2">
      <c r="A366" t="s">
        <v>386</v>
      </c>
      <c r="B366" s="2">
        <v>40936</v>
      </c>
      <c r="C366" s="3" t="s">
        <v>11</v>
      </c>
      <c r="D366">
        <v>1</v>
      </c>
      <c r="E366">
        <v>1</v>
      </c>
      <c r="F366" t="s">
        <v>12</v>
      </c>
      <c r="G366">
        <v>0</v>
      </c>
      <c r="H366">
        <v>2</v>
      </c>
      <c r="I366">
        <v>0</v>
      </c>
      <c r="J366">
        <v>1</v>
      </c>
      <c r="K366" t="str">
        <f t="shared" si="5"/>
        <v>Validation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0A7BE-F608-8F49-987E-8FE4CE103196}">
  <dimension ref="A1:N374"/>
  <sheetViews>
    <sheetView workbookViewId="0">
      <selection sqref="A1:C366"/>
    </sheetView>
  </sheetViews>
  <sheetFormatPr baseColWidth="10" defaultRowHeight="16" x14ac:dyDescent="0.2"/>
  <cols>
    <col min="2" max="2" width="13" customWidth="1"/>
  </cols>
  <sheetData>
    <row r="1" spans="1:14" x14ac:dyDescent="0.2">
      <c r="A1" t="s">
        <v>0</v>
      </c>
      <c r="B1" t="s">
        <v>1</v>
      </c>
      <c r="C1" t="s">
        <v>388</v>
      </c>
      <c r="D1" t="s">
        <v>389</v>
      </c>
      <c r="E1" t="s">
        <v>390</v>
      </c>
      <c r="F1" t="s">
        <v>391</v>
      </c>
      <c r="G1" t="s">
        <v>392</v>
      </c>
      <c r="H1" t="s">
        <v>393</v>
      </c>
      <c r="I1" t="s">
        <v>394</v>
      </c>
      <c r="J1" t="s">
        <v>395</v>
      </c>
      <c r="K1" t="s">
        <v>396</v>
      </c>
      <c r="L1" t="s">
        <v>397</v>
      </c>
      <c r="M1" t="s">
        <v>398</v>
      </c>
      <c r="N1" t="s">
        <v>399</v>
      </c>
    </row>
    <row r="2" spans="1:14" x14ac:dyDescent="0.2">
      <c r="A2" t="str" cm="1">
        <f t="array" ref="A2:A366">Table2[d]</f>
        <v>d_1</v>
      </c>
      <c r="B2" s="2" cm="1">
        <f t="array" ref="B2:B366">Table2[date]</f>
        <v>40572</v>
      </c>
      <c r="C2" s="4" cm="1">
        <f t="array" ref="C2:C366">Table2[SKU1_Sales]</f>
        <v>3</v>
      </c>
      <c r="D2" s="4" cm="1">
        <f t="array" ref="D2:D366">Table2[SKU2_Sales]</f>
        <v>0</v>
      </c>
      <c r="E2" s="4" cm="1">
        <f t="array" ref="E2:E366">Table2[SKU3_Sales]</f>
        <v>0</v>
      </c>
    </row>
    <row r="3" spans="1:14" x14ac:dyDescent="0.2">
      <c r="A3" t="str">
        <v>d_2</v>
      </c>
      <c r="B3" s="2">
        <v>40573</v>
      </c>
      <c r="C3" s="4">
        <v>0</v>
      </c>
      <c r="D3" s="4">
        <v>1</v>
      </c>
      <c r="E3" s="4">
        <v>0</v>
      </c>
    </row>
    <row r="4" spans="1:14" x14ac:dyDescent="0.2">
      <c r="A4" t="str">
        <v>d_3</v>
      </c>
      <c r="B4" s="2">
        <v>40574</v>
      </c>
      <c r="C4" s="4">
        <v>0</v>
      </c>
      <c r="D4" s="4">
        <v>0</v>
      </c>
      <c r="E4" s="4">
        <v>0</v>
      </c>
    </row>
    <row r="5" spans="1:14" x14ac:dyDescent="0.2">
      <c r="A5" t="str">
        <v>d_4</v>
      </c>
      <c r="B5" s="2">
        <v>40575</v>
      </c>
      <c r="C5" s="4">
        <v>1</v>
      </c>
      <c r="D5" s="4">
        <v>1</v>
      </c>
      <c r="E5" s="4">
        <v>0</v>
      </c>
    </row>
    <row r="6" spans="1:14" x14ac:dyDescent="0.2">
      <c r="A6" t="str">
        <v>d_5</v>
      </c>
      <c r="B6" s="2">
        <v>40576</v>
      </c>
      <c r="C6" s="4">
        <v>4</v>
      </c>
      <c r="D6" s="4">
        <v>1</v>
      </c>
      <c r="E6" s="4">
        <v>1</v>
      </c>
    </row>
    <row r="7" spans="1:14" x14ac:dyDescent="0.2">
      <c r="A7" t="str">
        <v>d_6</v>
      </c>
      <c r="B7" s="2">
        <v>40577</v>
      </c>
      <c r="C7" s="4">
        <v>2</v>
      </c>
      <c r="D7" s="4">
        <v>1</v>
      </c>
      <c r="E7" s="4">
        <v>3</v>
      </c>
    </row>
    <row r="8" spans="1:14" x14ac:dyDescent="0.2">
      <c r="A8" t="str">
        <v>d_7</v>
      </c>
      <c r="B8" s="2">
        <v>40578</v>
      </c>
      <c r="C8" s="4">
        <v>0</v>
      </c>
      <c r="D8" s="4">
        <v>0</v>
      </c>
      <c r="E8" s="4">
        <v>1</v>
      </c>
      <c r="F8">
        <f>AVERAGE(C2,C8)</f>
        <v>1.5</v>
      </c>
      <c r="G8">
        <f>AVERAGE(D2,D8)</f>
        <v>0</v>
      </c>
      <c r="H8" s="4">
        <f>AVERAGE(E2,E8)</f>
        <v>0.5</v>
      </c>
    </row>
    <row r="9" spans="1:14" x14ac:dyDescent="0.2">
      <c r="A9" t="str">
        <v>d_8</v>
      </c>
      <c r="B9" s="2">
        <v>40579</v>
      </c>
      <c r="C9" s="4">
        <v>2</v>
      </c>
      <c r="D9" s="4">
        <v>0</v>
      </c>
      <c r="E9" s="4">
        <v>1</v>
      </c>
      <c r="F9">
        <f t="shared" ref="F9:F72" si="0">AVERAGE(C3,C9)</f>
        <v>1</v>
      </c>
      <c r="G9">
        <f t="shared" ref="G9:G72" si="1">AVERAGE(D3,D9)</f>
        <v>0.5</v>
      </c>
      <c r="H9" s="4">
        <f t="shared" ref="H9:H72" si="2">AVERAGE(E3,E9)</f>
        <v>0.5</v>
      </c>
    </row>
    <row r="10" spans="1:14" x14ac:dyDescent="0.2">
      <c r="A10" t="str">
        <v>d_9</v>
      </c>
      <c r="B10" s="2">
        <v>40580</v>
      </c>
      <c r="C10" s="4">
        <v>0</v>
      </c>
      <c r="D10" s="4">
        <v>0</v>
      </c>
      <c r="E10" s="4">
        <v>1</v>
      </c>
      <c r="F10">
        <f t="shared" si="0"/>
        <v>0</v>
      </c>
      <c r="G10">
        <f t="shared" si="1"/>
        <v>0</v>
      </c>
      <c r="H10" s="4">
        <f t="shared" si="2"/>
        <v>0.5</v>
      </c>
    </row>
    <row r="11" spans="1:14" x14ac:dyDescent="0.2">
      <c r="A11" t="str">
        <v>d_10</v>
      </c>
      <c r="B11" s="2">
        <v>40581</v>
      </c>
      <c r="C11" s="4">
        <v>0</v>
      </c>
      <c r="D11" s="4">
        <v>0</v>
      </c>
      <c r="E11" s="4">
        <v>0</v>
      </c>
      <c r="F11">
        <f t="shared" si="0"/>
        <v>0.5</v>
      </c>
      <c r="G11">
        <f t="shared" si="1"/>
        <v>0.5</v>
      </c>
      <c r="H11" s="4">
        <f t="shared" si="2"/>
        <v>0</v>
      </c>
    </row>
    <row r="12" spans="1:14" x14ac:dyDescent="0.2">
      <c r="A12" t="str">
        <v>d_11</v>
      </c>
      <c r="B12" s="2">
        <v>40582</v>
      </c>
      <c r="C12" s="4">
        <v>0</v>
      </c>
      <c r="D12" s="4">
        <v>1</v>
      </c>
      <c r="E12" s="4">
        <v>1</v>
      </c>
      <c r="F12">
        <f t="shared" si="0"/>
        <v>2</v>
      </c>
      <c r="G12">
        <f t="shared" si="1"/>
        <v>1</v>
      </c>
      <c r="H12" s="4">
        <f t="shared" si="2"/>
        <v>1</v>
      </c>
    </row>
    <row r="13" spans="1:14" x14ac:dyDescent="0.2">
      <c r="A13" t="str">
        <v>d_12</v>
      </c>
      <c r="B13" s="2">
        <v>40583</v>
      </c>
      <c r="C13" s="4">
        <v>0</v>
      </c>
      <c r="D13" s="4">
        <v>1</v>
      </c>
      <c r="E13" s="4">
        <v>0</v>
      </c>
      <c r="F13">
        <f t="shared" si="0"/>
        <v>1</v>
      </c>
      <c r="G13">
        <f t="shared" si="1"/>
        <v>1</v>
      </c>
      <c r="H13" s="4">
        <f t="shared" si="2"/>
        <v>1.5</v>
      </c>
    </row>
    <row r="14" spans="1:14" x14ac:dyDescent="0.2">
      <c r="A14" t="str">
        <v>d_13</v>
      </c>
      <c r="B14" s="2">
        <v>40584</v>
      </c>
      <c r="C14" s="4">
        <v>3</v>
      </c>
      <c r="D14" s="4">
        <v>0</v>
      </c>
      <c r="E14" s="4">
        <v>0</v>
      </c>
      <c r="F14">
        <f t="shared" si="0"/>
        <v>1.5</v>
      </c>
      <c r="G14">
        <f t="shared" si="1"/>
        <v>0</v>
      </c>
      <c r="H14" s="4">
        <f t="shared" si="2"/>
        <v>0.5</v>
      </c>
    </row>
    <row r="15" spans="1:14" x14ac:dyDescent="0.2">
      <c r="A15" t="str">
        <v>d_14</v>
      </c>
      <c r="B15" s="2">
        <v>40585</v>
      </c>
      <c r="C15" s="4">
        <v>1</v>
      </c>
      <c r="D15" s="4">
        <v>2</v>
      </c>
      <c r="E15" s="4">
        <v>2</v>
      </c>
      <c r="F15">
        <f t="shared" si="0"/>
        <v>1.5</v>
      </c>
      <c r="G15">
        <f t="shared" si="1"/>
        <v>1</v>
      </c>
      <c r="H15" s="4">
        <f t="shared" si="2"/>
        <v>1.5</v>
      </c>
    </row>
    <row r="16" spans="1:14" x14ac:dyDescent="0.2">
      <c r="A16" t="str">
        <v>d_15</v>
      </c>
      <c r="B16" s="2">
        <v>40586</v>
      </c>
      <c r="C16" s="4">
        <v>3</v>
      </c>
      <c r="D16" s="4">
        <v>0</v>
      </c>
      <c r="E16" s="4">
        <v>1</v>
      </c>
      <c r="F16">
        <f t="shared" si="0"/>
        <v>1.5</v>
      </c>
      <c r="G16">
        <f t="shared" si="1"/>
        <v>0</v>
      </c>
      <c r="H16" s="4">
        <f t="shared" si="2"/>
        <v>1</v>
      </c>
      <c r="I16" s="4">
        <f>AVERAGE(C2,C15)</f>
        <v>2</v>
      </c>
      <c r="J16" s="4">
        <f>AVERAGE(D2,D15)</f>
        <v>1</v>
      </c>
      <c r="K16" s="4">
        <f>AVERAGE(E2,E15)</f>
        <v>1</v>
      </c>
    </row>
    <row r="17" spans="1:14" x14ac:dyDescent="0.2">
      <c r="A17" t="str">
        <v>d_16</v>
      </c>
      <c r="B17" s="2">
        <v>40587</v>
      </c>
      <c r="C17" s="4">
        <v>0</v>
      </c>
      <c r="D17" s="4">
        <v>1</v>
      </c>
      <c r="E17" s="4">
        <v>1</v>
      </c>
      <c r="F17">
        <f t="shared" si="0"/>
        <v>0</v>
      </c>
      <c r="G17">
        <f t="shared" si="1"/>
        <v>0.5</v>
      </c>
      <c r="H17" s="4">
        <f t="shared" si="2"/>
        <v>0.5</v>
      </c>
      <c r="I17" s="4">
        <f t="shared" ref="I17:I80" si="3">AVERAGE(C3,C16)</f>
        <v>1.5</v>
      </c>
      <c r="J17" s="4">
        <f t="shared" ref="J17:J80" si="4">AVERAGE(D3,D16)</f>
        <v>0.5</v>
      </c>
      <c r="K17" s="4">
        <f t="shared" ref="K17:K80" si="5">AVERAGE(E3,E16)</f>
        <v>0.5</v>
      </c>
    </row>
    <row r="18" spans="1:14" x14ac:dyDescent="0.2">
      <c r="A18" t="str">
        <v>d_17</v>
      </c>
      <c r="B18" s="2">
        <v>40588</v>
      </c>
      <c r="C18" s="4">
        <v>2</v>
      </c>
      <c r="D18" s="4">
        <v>0</v>
      </c>
      <c r="E18" s="4">
        <v>1</v>
      </c>
      <c r="F18">
        <f t="shared" si="0"/>
        <v>1</v>
      </c>
      <c r="G18">
        <f t="shared" si="1"/>
        <v>0.5</v>
      </c>
      <c r="H18" s="4">
        <f t="shared" si="2"/>
        <v>1</v>
      </c>
      <c r="I18" s="4">
        <f t="shared" si="3"/>
        <v>0</v>
      </c>
      <c r="J18" s="4">
        <f t="shared" si="4"/>
        <v>0.5</v>
      </c>
      <c r="K18" s="4">
        <f t="shared" si="5"/>
        <v>0.5</v>
      </c>
    </row>
    <row r="19" spans="1:14" x14ac:dyDescent="0.2">
      <c r="A19" t="str">
        <v>d_18</v>
      </c>
      <c r="B19" s="2">
        <v>40589</v>
      </c>
      <c r="C19" s="4">
        <v>1</v>
      </c>
      <c r="D19" s="4">
        <v>0</v>
      </c>
      <c r="E19" s="4">
        <v>0</v>
      </c>
      <c r="F19">
        <f t="shared" si="0"/>
        <v>0.5</v>
      </c>
      <c r="G19">
        <f t="shared" si="1"/>
        <v>0.5</v>
      </c>
      <c r="H19" s="4">
        <f t="shared" si="2"/>
        <v>0</v>
      </c>
      <c r="I19" s="4">
        <f t="shared" si="3"/>
        <v>1.5</v>
      </c>
      <c r="J19" s="4">
        <f t="shared" si="4"/>
        <v>0.5</v>
      </c>
      <c r="K19" s="4">
        <f t="shared" si="5"/>
        <v>0.5</v>
      </c>
    </row>
    <row r="20" spans="1:14" x14ac:dyDescent="0.2">
      <c r="A20" t="str">
        <v>d_19</v>
      </c>
      <c r="B20" s="2">
        <v>40590</v>
      </c>
      <c r="C20" s="4">
        <v>2</v>
      </c>
      <c r="D20" s="4">
        <v>0</v>
      </c>
      <c r="E20" s="4">
        <v>0</v>
      </c>
      <c r="F20">
        <f t="shared" si="0"/>
        <v>2.5</v>
      </c>
      <c r="G20">
        <f t="shared" si="1"/>
        <v>0</v>
      </c>
      <c r="H20" s="4">
        <f t="shared" si="2"/>
        <v>0</v>
      </c>
      <c r="I20" s="4">
        <f t="shared" si="3"/>
        <v>2.5</v>
      </c>
      <c r="J20" s="4">
        <f t="shared" si="4"/>
        <v>0.5</v>
      </c>
      <c r="K20" s="4">
        <f t="shared" si="5"/>
        <v>0.5</v>
      </c>
    </row>
    <row r="21" spans="1:14" x14ac:dyDescent="0.2">
      <c r="A21" t="str">
        <v>d_20</v>
      </c>
      <c r="B21" s="2">
        <v>40591</v>
      </c>
      <c r="C21" s="4">
        <v>0</v>
      </c>
      <c r="D21" s="4">
        <v>0</v>
      </c>
      <c r="E21" s="4">
        <v>1</v>
      </c>
      <c r="F21">
        <f t="shared" si="0"/>
        <v>0.5</v>
      </c>
      <c r="G21">
        <f t="shared" si="1"/>
        <v>1</v>
      </c>
      <c r="H21" s="4">
        <f t="shared" si="2"/>
        <v>1.5</v>
      </c>
      <c r="I21" s="4">
        <f t="shared" si="3"/>
        <v>2</v>
      </c>
      <c r="J21" s="4">
        <f t="shared" si="4"/>
        <v>0.5</v>
      </c>
      <c r="K21" s="4">
        <f t="shared" si="5"/>
        <v>1.5</v>
      </c>
    </row>
    <row r="22" spans="1:14" x14ac:dyDescent="0.2">
      <c r="A22" t="str">
        <v>d_21</v>
      </c>
      <c r="B22" s="2">
        <v>40592</v>
      </c>
      <c r="C22" s="4">
        <v>2</v>
      </c>
      <c r="D22" s="4">
        <v>0</v>
      </c>
      <c r="E22" s="4">
        <v>0</v>
      </c>
      <c r="F22">
        <f t="shared" si="0"/>
        <v>2.5</v>
      </c>
      <c r="G22">
        <f t="shared" si="1"/>
        <v>0</v>
      </c>
      <c r="H22" s="4">
        <f t="shared" si="2"/>
        <v>0.5</v>
      </c>
      <c r="I22" s="4">
        <f t="shared" si="3"/>
        <v>0</v>
      </c>
      <c r="J22" s="4">
        <f t="shared" si="4"/>
        <v>0</v>
      </c>
      <c r="K22" s="4">
        <f t="shared" si="5"/>
        <v>1</v>
      </c>
    </row>
    <row r="23" spans="1:14" x14ac:dyDescent="0.2">
      <c r="A23" t="str">
        <v>d_22</v>
      </c>
      <c r="B23" s="2">
        <v>40593</v>
      </c>
      <c r="C23" s="4">
        <v>1</v>
      </c>
      <c r="D23" s="4">
        <v>0</v>
      </c>
      <c r="E23" s="4">
        <v>2</v>
      </c>
      <c r="F23">
        <f t="shared" si="0"/>
        <v>0.5</v>
      </c>
      <c r="G23">
        <f t="shared" si="1"/>
        <v>0.5</v>
      </c>
      <c r="H23" s="4">
        <f t="shared" si="2"/>
        <v>1.5</v>
      </c>
      <c r="I23" s="4">
        <f t="shared" si="3"/>
        <v>2</v>
      </c>
      <c r="J23" s="4">
        <f t="shared" si="4"/>
        <v>0</v>
      </c>
      <c r="K23" s="4">
        <f t="shared" si="5"/>
        <v>0.5</v>
      </c>
    </row>
    <row r="24" spans="1:14" x14ac:dyDescent="0.2">
      <c r="A24" t="str">
        <v>d_23</v>
      </c>
      <c r="B24" s="2">
        <v>40594</v>
      </c>
      <c r="C24" s="4">
        <v>2</v>
      </c>
      <c r="D24" s="4">
        <v>0</v>
      </c>
      <c r="E24" s="4">
        <v>4</v>
      </c>
      <c r="F24">
        <f t="shared" si="0"/>
        <v>2</v>
      </c>
      <c r="G24">
        <f t="shared" si="1"/>
        <v>0</v>
      </c>
      <c r="H24" s="4">
        <f t="shared" si="2"/>
        <v>2.5</v>
      </c>
      <c r="I24" s="4">
        <f t="shared" si="3"/>
        <v>0.5</v>
      </c>
      <c r="J24" s="4">
        <f t="shared" si="4"/>
        <v>0</v>
      </c>
      <c r="K24" s="4">
        <f t="shared" si="5"/>
        <v>1.5</v>
      </c>
    </row>
    <row r="25" spans="1:14" x14ac:dyDescent="0.2">
      <c r="A25" t="str">
        <v>d_24</v>
      </c>
      <c r="B25" s="2">
        <v>40595</v>
      </c>
      <c r="C25" s="4">
        <v>0</v>
      </c>
      <c r="D25" s="4">
        <v>0</v>
      </c>
      <c r="E25" s="4">
        <v>1</v>
      </c>
      <c r="F25">
        <f t="shared" si="0"/>
        <v>0.5</v>
      </c>
      <c r="G25">
        <f t="shared" si="1"/>
        <v>0</v>
      </c>
      <c r="H25" s="4">
        <f t="shared" si="2"/>
        <v>0.5</v>
      </c>
      <c r="I25" s="4">
        <f t="shared" si="3"/>
        <v>1</v>
      </c>
      <c r="J25" s="4">
        <f t="shared" si="4"/>
        <v>0</v>
      </c>
      <c r="K25" s="4">
        <f t="shared" si="5"/>
        <v>2</v>
      </c>
    </row>
    <row r="26" spans="1:14" x14ac:dyDescent="0.2">
      <c r="A26" t="str">
        <v>d_25</v>
      </c>
      <c r="B26" s="2">
        <v>40596</v>
      </c>
      <c r="C26" s="4">
        <v>2</v>
      </c>
      <c r="D26" s="4">
        <v>0</v>
      </c>
      <c r="E26" s="4">
        <v>1</v>
      </c>
      <c r="F26">
        <f t="shared" si="0"/>
        <v>2</v>
      </c>
      <c r="G26">
        <f t="shared" si="1"/>
        <v>0</v>
      </c>
      <c r="H26" s="4">
        <f t="shared" si="2"/>
        <v>0.5</v>
      </c>
      <c r="I26" s="4">
        <f t="shared" si="3"/>
        <v>0</v>
      </c>
      <c r="J26" s="4">
        <f t="shared" si="4"/>
        <v>0.5</v>
      </c>
      <c r="K26" s="4">
        <f t="shared" si="5"/>
        <v>1</v>
      </c>
    </row>
    <row r="27" spans="1:14" x14ac:dyDescent="0.2">
      <c r="A27" t="str">
        <v>d_26</v>
      </c>
      <c r="B27" s="2">
        <v>40597</v>
      </c>
      <c r="C27" s="4">
        <v>2</v>
      </c>
      <c r="D27" s="4">
        <v>0</v>
      </c>
      <c r="E27" s="4">
        <v>2</v>
      </c>
      <c r="F27">
        <f t="shared" si="0"/>
        <v>1</v>
      </c>
      <c r="G27">
        <f t="shared" si="1"/>
        <v>0</v>
      </c>
      <c r="H27" s="4">
        <f t="shared" si="2"/>
        <v>1.5</v>
      </c>
      <c r="I27" s="4">
        <f t="shared" si="3"/>
        <v>1</v>
      </c>
      <c r="J27" s="4">
        <f t="shared" si="4"/>
        <v>0.5</v>
      </c>
      <c r="K27" s="4">
        <f t="shared" si="5"/>
        <v>0.5</v>
      </c>
    </row>
    <row r="28" spans="1:14" x14ac:dyDescent="0.2">
      <c r="A28" t="str">
        <v>d_27</v>
      </c>
      <c r="B28" s="2">
        <v>40598</v>
      </c>
      <c r="C28" s="4">
        <v>2</v>
      </c>
      <c r="D28" s="4">
        <v>0</v>
      </c>
      <c r="E28" s="4">
        <v>1</v>
      </c>
      <c r="F28">
        <f t="shared" si="0"/>
        <v>2</v>
      </c>
      <c r="G28">
        <f t="shared" si="1"/>
        <v>0</v>
      </c>
      <c r="H28" s="4">
        <f t="shared" si="2"/>
        <v>0.5</v>
      </c>
      <c r="I28" s="4">
        <f t="shared" si="3"/>
        <v>2.5</v>
      </c>
      <c r="J28" s="4">
        <f t="shared" si="4"/>
        <v>0</v>
      </c>
      <c r="K28" s="4">
        <f t="shared" si="5"/>
        <v>1</v>
      </c>
    </row>
    <row r="29" spans="1:14" x14ac:dyDescent="0.2">
      <c r="A29" t="str">
        <v>d_28</v>
      </c>
      <c r="B29" s="2">
        <v>40599</v>
      </c>
      <c r="C29" s="4">
        <v>4</v>
      </c>
      <c r="D29" s="4">
        <v>0</v>
      </c>
      <c r="E29" s="4">
        <v>0</v>
      </c>
      <c r="F29">
        <f t="shared" si="0"/>
        <v>2.5</v>
      </c>
      <c r="G29">
        <f t="shared" si="1"/>
        <v>0</v>
      </c>
      <c r="H29" s="4">
        <f t="shared" si="2"/>
        <v>1</v>
      </c>
      <c r="I29" s="4">
        <f t="shared" si="3"/>
        <v>1.5</v>
      </c>
      <c r="J29" s="4">
        <f t="shared" si="4"/>
        <v>1</v>
      </c>
      <c r="K29" s="4">
        <f t="shared" si="5"/>
        <v>1.5</v>
      </c>
    </row>
    <row r="30" spans="1:14" x14ac:dyDescent="0.2">
      <c r="A30" t="str">
        <v>d_29</v>
      </c>
      <c r="B30" s="2">
        <v>40600</v>
      </c>
      <c r="C30" s="4">
        <v>2</v>
      </c>
      <c r="D30" s="4">
        <v>1</v>
      </c>
      <c r="E30" s="4">
        <v>1</v>
      </c>
      <c r="F30">
        <f t="shared" si="0"/>
        <v>2</v>
      </c>
      <c r="G30">
        <f t="shared" si="1"/>
        <v>0.5</v>
      </c>
      <c r="H30" s="4">
        <f t="shared" si="2"/>
        <v>2.5</v>
      </c>
      <c r="I30" s="4">
        <f t="shared" si="3"/>
        <v>3.5</v>
      </c>
      <c r="J30" s="4">
        <f t="shared" si="4"/>
        <v>0</v>
      </c>
      <c r="K30" s="4">
        <f t="shared" si="5"/>
        <v>0.5</v>
      </c>
      <c r="L30" s="4">
        <f>AVERAGE(C2,C29)</f>
        <v>3.5</v>
      </c>
      <c r="M30" s="4">
        <f>AVERAGE(D2,D29)</f>
        <v>0</v>
      </c>
      <c r="N30" s="4">
        <f>AVERAGE(E2,E29)</f>
        <v>0</v>
      </c>
    </row>
    <row r="31" spans="1:14" x14ac:dyDescent="0.2">
      <c r="A31" t="str">
        <v>d_30</v>
      </c>
      <c r="B31" s="2">
        <v>40601</v>
      </c>
      <c r="C31" s="4">
        <v>2</v>
      </c>
      <c r="D31" s="4">
        <v>0</v>
      </c>
      <c r="E31" s="4">
        <v>0</v>
      </c>
      <c r="F31">
        <f t="shared" si="0"/>
        <v>1</v>
      </c>
      <c r="G31">
        <f t="shared" si="1"/>
        <v>0</v>
      </c>
      <c r="H31" s="4">
        <f t="shared" si="2"/>
        <v>0.5</v>
      </c>
      <c r="I31" s="4">
        <f t="shared" si="3"/>
        <v>1</v>
      </c>
      <c r="J31" s="4">
        <f t="shared" si="4"/>
        <v>1</v>
      </c>
      <c r="K31" s="4">
        <f t="shared" si="5"/>
        <v>1</v>
      </c>
      <c r="L31" s="4">
        <f t="shared" ref="L31:L94" si="6">AVERAGE(C3,C30)</f>
        <v>1</v>
      </c>
      <c r="M31" s="4">
        <f t="shared" ref="M31:M94" si="7">AVERAGE(D3,D30)</f>
        <v>1</v>
      </c>
      <c r="N31" s="4">
        <f t="shared" ref="N31:N94" si="8">AVERAGE(E3,E30)</f>
        <v>0.5</v>
      </c>
    </row>
    <row r="32" spans="1:14" x14ac:dyDescent="0.2">
      <c r="A32" t="str">
        <v>d_31</v>
      </c>
      <c r="B32" s="2">
        <v>40602</v>
      </c>
      <c r="C32" s="4">
        <v>0</v>
      </c>
      <c r="D32" s="4">
        <v>0</v>
      </c>
      <c r="E32" s="4">
        <v>1</v>
      </c>
      <c r="F32">
        <f t="shared" si="0"/>
        <v>1</v>
      </c>
      <c r="G32">
        <f t="shared" si="1"/>
        <v>0</v>
      </c>
      <c r="H32" s="4">
        <f t="shared" si="2"/>
        <v>1</v>
      </c>
      <c r="I32" s="4">
        <f t="shared" si="3"/>
        <v>2</v>
      </c>
      <c r="J32" s="4">
        <f t="shared" si="4"/>
        <v>0</v>
      </c>
      <c r="K32" s="4">
        <f t="shared" si="5"/>
        <v>0.5</v>
      </c>
      <c r="L32" s="4">
        <f t="shared" si="6"/>
        <v>1</v>
      </c>
      <c r="M32" s="4">
        <f t="shared" si="7"/>
        <v>0</v>
      </c>
      <c r="N32" s="4">
        <f t="shared" si="8"/>
        <v>0</v>
      </c>
    </row>
    <row r="33" spans="1:14" x14ac:dyDescent="0.2">
      <c r="A33" t="str">
        <v>d_32</v>
      </c>
      <c r="B33" s="2">
        <v>40603</v>
      </c>
      <c r="C33" s="4">
        <v>2</v>
      </c>
      <c r="D33" s="4">
        <v>1</v>
      </c>
      <c r="E33" s="4">
        <v>0</v>
      </c>
      <c r="F33">
        <f t="shared" si="0"/>
        <v>2</v>
      </c>
      <c r="G33">
        <f t="shared" si="1"/>
        <v>0.5</v>
      </c>
      <c r="H33" s="4">
        <f t="shared" si="2"/>
        <v>1</v>
      </c>
      <c r="I33" s="4">
        <f t="shared" si="3"/>
        <v>0.5</v>
      </c>
      <c r="J33" s="4">
        <f t="shared" si="4"/>
        <v>0</v>
      </c>
      <c r="K33" s="4">
        <f t="shared" si="5"/>
        <v>0.5</v>
      </c>
      <c r="L33" s="4">
        <f t="shared" si="6"/>
        <v>0.5</v>
      </c>
      <c r="M33" s="4">
        <f t="shared" si="7"/>
        <v>0.5</v>
      </c>
      <c r="N33" s="4">
        <f t="shared" si="8"/>
        <v>0.5</v>
      </c>
    </row>
    <row r="34" spans="1:14" x14ac:dyDescent="0.2">
      <c r="A34" t="str">
        <v>d_33</v>
      </c>
      <c r="B34" s="2">
        <v>40604</v>
      </c>
      <c r="C34" s="4">
        <v>1</v>
      </c>
      <c r="D34" s="4">
        <v>1</v>
      </c>
      <c r="E34" s="4">
        <v>1</v>
      </c>
      <c r="F34">
        <f t="shared" si="0"/>
        <v>1.5</v>
      </c>
      <c r="G34">
        <f t="shared" si="1"/>
        <v>0.5</v>
      </c>
      <c r="H34" s="4">
        <f t="shared" si="2"/>
        <v>1</v>
      </c>
      <c r="I34" s="4">
        <f t="shared" si="3"/>
        <v>2</v>
      </c>
      <c r="J34" s="4">
        <f t="shared" si="4"/>
        <v>0.5</v>
      </c>
      <c r="K34" s="4">
        <f t="shared" si="5"/>
        <v>0</v>
      </c>
      <c r="L34" s="4">
        <f t="shared" si="6"/>
        <v>3</v>
      </c>
      <c r="M34" s="4">
        <f t="shared" si="7"/>
        <v>1</v>
      </c>
      <c r="N34" s="4">
        <f t="shared" si="8"/>
        <v>0.5</v>
      </c>
    </row>
    <row r="35" spans="1:14" x14ac:dyDescent="0.2">
      <c r="A35" t="str">
        <v>d_34</v>
      </c>
      <c r="B35" s="2">
        <v>40605</v>
      </c>
      <c r="C35" s="4">
        <v>7</v>
      </c>
      <c r="D35" s="4">
        <v>0</v>
      </c>
      <c r="E35" s="4">
        <v>1</v>
      </c>
      <c r="F35">
        <f t="shared" si="0"/>
        <v>5.5</v>
      </c>
      <c r="G35">
        <f t="shared" si="1"/>
        <v>0</v>
      </c>
      <c r="H35" s="4">
        <f t="shared" si="2"/>
        <v>0.5</v>
      </c>
      <c r="I35" s="4">
        <f t="shared" si="3"/>
        <v>0.5</v>
      </c>
      <c r="J35" s="4">
        <f t="shared" si="4"/>
        <v>0.5</v>
      </c>
      <c r="K35" s="4">
        <f t="shared" si="5"/>
        <v>1</v>
      </c>
      <c r="L35" s="4">
        <f t="shared" si="6"/>
        <v>1.5</v>
      </c>
      <c r="M35" s="4">
        <f t="shared" si="7"/>
        <v>1</v>
      </c>
      <c r="N35" s="4">
        <f t="shared" si="8"/>
        <v>2</v>
      </c>
    </row>
    <row r="36" spans="1:14" x14ac:dyDescent="0.2">
      <c r="A36" t="str">
        <v>d_35</v>
      </c>
      <c r="B36" s="2">
        <v>40606</v>
      </c>
      <c r="C36" s="4">
        <v>1</v>
      </c>
      <c r="D36" s="4">
        <v>1</v>
      </c>
      <c r="E36" s="4">
        <v>2</v>
      </c>
      <c r="F36">
        <f t="shared" si="0"/>
        <v>1.5</v>
      </c>
      <c r="G36">
        <f t="shared" si="1"/>
        <v>1</v>
      </c>
      <c r="H36" s="4">
        <f t="shared" si="2"/>
        <v>1.5</v>
      </c>
      <c r="I36" s="4">
        <f t="shared" si="3"/>
        <v>4.5</v>
      </c>
      <c r="J36" s="4">
        <f t="shared" si="4"/>
        <v>0</v>
      </c>
      <c r="K36" s="4">
        <f t="shared" si="5"/>
        <v>0.5</v>
      </c>
      <c r="L36" s="4">
        <f t="shared" si="6"/>
        <v>3.5</v>
      </c>
      <c r="M36" s="4">
        <f t="shared" si="7"/>
        <v>0</v>
      </c>
      <c r="N36" s="4">
        <f t="shared" si="8"/>
        <v>1</v>
      </c>
    </row>
    <row r="37" spans="1:14" x14ac:dyDescent="0.2">
      <c r="A37" t="str">
        <v>d_36</v>
      </c>
      <c r="B37" s="2">
        <v>40607</v>
      </c>
      <c r="C37" s="4">
        <v>2</v>
      </c>
      <c r="D37" s="4">
        <v>1</v>
      </c>
      <c r="E37" s="4">
        <v>3</v>
      </c>
      <c r="F37">
        <f t="shared" si="0"/>
        <v>2</v>
      </c>
      <c r="G37">
        <f t="shared" si="1"/>
        <v>0.5</v>
      </c>
      <c r="H37" s="4">
        <f t="shared" si="2"/>
        <v>1.5</v>
      </c>
      <c r="I37" s="4">
        <f t="shared" si="3"/>
        <v>1</v>
      </c>
      <c r="J37" s="4">
        <f t="shared" si="4"/>
        <v>0.5</v>
      </c>
      <c r="K37" s="4">
        <f t="shared" si="5"/>
        <v>2</v>
      </c>
      <c r="L37" s="4">
        <f t="shared" si="6"/>
        <v>1.5</v>
      </c>
      <c r="M37" s="4">
        <f t="shared" si="7"/>
        <v>0.5</v>
      </c>
      <c r="N37" s="4">
        <f t="shared" si="8"/>
        <v>1.5</v>
      </c>
    </row>
    <row r="38" spans="1:14" x14ac:dyDescent="0.2">
      <c r="A38" t="str">
        <v>d_37</v>
      </c>
      <c r="B38" s="2">
        <v>40608</v>
      </c>
      <c r="C38" s="4">
        <v>3</v>
      </c>
      <c r="D38" s="4">
        <v>3</v>
      </c>
      <c r="E38" s="4">
        <v>1</v>
      </c>
      <c r="F38">
        <f t="shared" si="0"/>
        <v>1.5</v>
      </c>
      <c r="G38">
        <f t="shared" si="1"/>
        <v>1.5</v>
      </c>
      <c r="H38" s="4">
        <f t="shared" si="2"/>
        <v>1</v>
      </c>
      <c r="I38" s="4">
        <f t="shared" si="3"/>
        <v>2</v>
      </c>
      <c r="J38" s="4">
        <f t="shared" si="4"/>
        <v>0.5</v>
      </c>
      <c r="K38" s="4">
        <f t="shared" si="5"/>
        <v>3.5</v>
      </c>
      <c r="L38" s="4">
        <f t="shared" si="6"/>
        <v>1</v>
      </c>
      <c r="M38" s="4">
        <f t="shared" si="7"/>
        <v>0.5</v>
      </c>
      <c r="N38" s="4">
        <f t="shared" si="8"/>
        <v>2</v>
      </c>
    </row>
    <row r="39" spans="1:14" x14ac:dyDescent="0.2">
      <c r="A39" t="str">
        <v>d_38</v>
      </c>
      <c r="B39" s="2">
        <v>40609</v>
      </c>
      <c r="C39" s="4">
        <v>0</v>
      </c>
      <c r="D39" s="4">
        <v>0</v>
      </c>
      <c r="E39" s="4">
        <v>0</v>
      </c>
      <c r="F39">
        <f t="shared" si="0"/>
        <v>1</v>
      </c>
      <c r="G39">
        <f t="shared" si="1"/>
        <v>0.5</v>
      </c>
      <c r="H39" s="4">
        <f t="shared" si="2"/>
        <v>0</v>
      </c>
      <c r="I39" s="4">
        <f t="shared" si="3"/>
        <v>1.5</v>
      </c>
      <c r="J39" s="4">
        <f t="shared" si="4"/>
        <v>1.5</v>
      </c>
      <c r="K39" s="4">
        <f t="shared" si="5"/>
        <v>1</v>
      </c>
      <c r="L39" s="4">
        <f t="shared" si="6"/>
        <v>1.5</v>
      </c>
      <c r="M39" s="4">
        <f t="shared" si="7"/>
        <v>1.5</v>
      </c>
      <c r="N39" s="4">
        <f t="shared" si="8"/>
        <v>0.5</v>
      </c>
    </row>
    <row r="40" spans="1:14" x14ac:dyDescent="0.2">
      <c r="A40" t="str">
        <v>d_39</v>
      </c>
      <c r="B40" s="2">
        <v>40610</v>
      </c>
      <c r="C40" s="4">
        <v>1</v>
      </c>
      <c r="D40" s="4">
        <v>0</v>
      </c>
      <c r="E40" s="4">
        <v>0</v>
      </c>
      <c r="F40">
        <f t="shared" si="0"/>
        <v>1</v>
      </c>
      <c r="G40">
        <f t="shared" si="1"/>
        <v>0.5</v>
      </c>
      <c r="H40" s="4">
        <f t="shared" si="2"/>
        <v>0.5</v>
      </c>
      <c r="I40" s="4">
        <f t="shared" si="3"/>
        <v>1</v>
      </c>
      <c r="J40" s="4">
        <f t="shared" si="4"/>
        <v>0</v>
      </c>
      <c r="K40" s="4">
        <f t="shared" si="5"/>
        <v>0.5</v>
      </c>
      <c r="L40" s="4">
        <f t="shared" si="6"/>
        <v>0</v>
      </c>
      <c r="M40" s="4">
        <f t="shared" si="7"/>
        <v>0.5</v>
      </c>
      <c r="N40" s="4">
        <f t="shared" si="8"/>
        <v>0.5</v>
      </c>
    </row>
    <row r="41" spans="1:14" x14ac:dyDescent="0.2">
      <c r="A41" t="str">
        <v>d_40</v>
      </c>
      <c r="B41" s="2">
        <v>40611</v>
      </c>
      <c r="C41" s="4">
        <v>2</v>
      </c>
      <c r="D41" s="4">
        <v>0</v>
      </c>
      <c r="E41" s="4">
        <v>0</v>
      </c>
      <c r="F41">
        <f t="shared" si="0"/>
        <v>4.5</v>
      </c>
      <c r="G41">
        <f t="shared" si="1"/>
        <v>0</v>
      </c>
      <c r="H41" s="4">
        <f t="shared" si="2"/>
        <v>0.5</v>
      </c>
      <c r="I41" s="4">
        <f t="shared" si="3"/>
        <v>1.5</v>
      </c>
      <c r="J41" s="4">
        <f t="shared" si="4"/>
        <v>0</v>
      </c>
      <c r="K41" s="4">
        <f t="shared" si="5"/>
        <v>1</v>
      </c>
      <c r="L41" s="4">
        <f t="shared" si="6"/>
        <v>0.5</v>
      </c>
      <c r="M41" s="4">
        <f t="shared" si="7"/>
        <v>0.5</v>
      </c>
      <c r="N41" s="4">
        <f t="shared" si="8"/>
        <v>0</v>
      </c>
    </row>
    <row r="42" spans="1:14" x14ac:dyDescent="0.2">
      <c r="A42" t="str">
        <v>d_41</v>
      </c>
      <c r="B42" s="2">
        <v>40612</v>
      </c>
      <c r="C42" s="4">
        <v>3</v>
      </c>
      <c r="D42" s="4">
        <v>0</v>
      </c>
      <c r="E42" s="4">
        <v>2</v>
      </c>
      <c r="F42">
        <f t="shared" si="0"/>
        <v>2</v>
      </c>
      <c r="G42">
        <f t="shared" si="1"/>
        <v>0.5</v>
      </c>
      <c r="H42" s="4">
        <f t="shared" si="2"/>
        <v>2</v>
      </c>
      <c r="I42" s="4">
        <f t="shared" si="3"/>
        <v>2</v>
      </c>
      <c r="J42" s="4">
        <f t="shared" si="4"/>
        <v>0</v>
      </c>
      <c r="K42" s="4">
        <f t="shared" si="5"/>
        <v>0.5</v>
      </c>
      <c r="L42" s="4">
        <f t="shared" si="6"/>
        <v>2.5</v>
      </c>
      <c r="M42" s="4">
        <f t="shared" si="7"/>
        <v>0</v>
      </c>
      <c r="N42" s="4">
        <f t="shared" si="8"/>
        <v>0</v>
      </c>
    </row>
    <row r="43" spans="1:14" x14ac:dyDescent="0.2">
      <c r="A43" t="str">
        <v>d_42</v>
      </c>
      <c r="B43" s="2">
        <v>40613</v>
      </c>
      <c r="C43" s="4">
        <v>0</v>
      </c>
      <c r="D43" s="4">
        <v>0</v>
      </c>
      <c r="E43" s="4">
        <v>0</v>
      </c>
      <c r="F43">
        <f t="shared" si="0"/>
        <v>1</v>
      </c>
      <c r="G43">
        <f t="shared" si="1"/>
        <v>0.5</v>
      </c>
      <c r="H43" s="4">
        <f t="shared" si="2"/>
        <v>1.5</v>
      </c>
      <c r="I43" s="4">
        <f t="shared" si="3"/>
        <v>3.5</v>
      </c>
      <c r="J43" s="4">
        <f t="shared" si="4"/>
        <v>0</v>
      </c>
      <c r="K43" s="4">
        <f t="shared" si="5"/>
        <v>1</v>
      </c>
      <c r="L43" s="4">
        <f t="shared" si="6"/>
        <v>2</v>
      </c>
      <c r="M43" s="4">
        <f t="shared" si="7"/>
        <v>1</v>
      </c>
      <c r="N43" s="4">
        <f t="shared" si="8"/>
        <v>2</v>
      </c>
    </row>
    <row r="44" spans="1:14" x14ac:dyDescent="0.2">
      <c r="A44" t="str">
        <v>d_43</v>
      </c>
      <c r="B44" s="2">
        <v>40614</v>
      </c>
      <c r="C44" s="4">
        <v>1</v>
      </c>
      <c r="D44" s="4">
        <v>0</v>
      </c>
      <c r="E44" s="4">
        <v>0</v>
      </c>
      <c r="F44">
        <f t="shared" si="0"/>
        <v>2</v>
      </c>
      <c r="G44">
        <f t="shared" si="1"/>
        <v>1.5</v>
      </c>
      <c r="H44" s="4">
        <f t="shared" si="2"/>
        <v>0.5</v>
      </c>
      <c r="I44" s="4">
        <f t="shared" si="3"/>
        <v>1</v>
      </c>
      <c r="J44" s="4">
        <f t="shared" si="4"/>
        <v>0.5</v>
      </c>
      <c r="K44" s="4">
        <f t="shared" si="5"/>
        <v>0.5</v>
      </c>
      <c r="L44" s="4">
        <f t="shared" si="6"/>
        <v>1.5</v>
      </c>
      <c r="M44" s="4">
        <f t="shared" si="7"/>
        <v>0</v>
      </c>
      <c r="N44" s="4">
        <f t="shared" si="8"/>
        <v>0.5</v>
      </c>
    </row>
    <row r="45" spans="1:14" x14ac:dyDescent="0.2">
      <c r="A45" t="str">
        <v>d_44</v>
      </c>
      <c r="B45" s="2">
        <v>40615</v>
      </c>
      <c r="C45" s="4">
        <v>5</v>
      </c>
      <c r="D45" s="4">
        <v>0</v>
      </c>
      <c r="E45" s="4">
        <v>0</v>
      </c>
      <c r="F45">
        <f t="shared" si="0"/>
        <v>2.5</v>
      </c>
      <c r="G45">
        <f t="shared" si="1"/>
        <v>0</v>
      </c>
      <c r="H45" s="4">
        <f t="shared" si="2"/>
        <v>0</v>
      </c>
      <c r="I45" s="4">
        <f t="shared" si="3"/>
        <v>1.5</v>
      </c>
      <c r="J45" s="4">
        <f t="shared" si="4"/>
        <v>0</v>
      </c>
      <c r="K45" s="4">
        <f t="shared" si="5"/>
        <v>0</v>
      </c>
      <c r="L45" s="4">
        <f t="shared" si="6"/>
        <v>0.5</v>
      </c>
      <c r="M45" s="4">
        <f t="shared" si="7"/>
        <v>0.5</v>
      </c>
      <c r="N45" s="4">
        <f t="shared" si="8"/>
        <v>0.5</v>
      </c>
    </row>
    <row r="46" spans="1:14" x14ac:dyDescent="0.2">
      <c r="A46" t="str">
        <v>d_45</v>
      </c>
      <c r="B46" s="2">
        <v>40616</v>
      </c>
      <c r="C46" s="4">
        <v>0</v>
      </c>
      <c r="D46" s="4">
        <v>0</v>
      </c>
      <c r="E46" s="4">
        <v>0</v>
      </c>
      <c r="F46">
        <f t="shared" si="0"/>
        <v>0.5</v>
      </c>
      <c r="G46">
        <f t="shared" si="1"/>
        <v>0</v>
      </c>
      <c r="H46" s="4">
        <f t="shared" si="2"/>
        <v>0</v>
      </c>
      <c r="I46" s="4">
        <f t="shared" si="3"/>
        <v>2.5</v>
      </c>
      <c r="J46" s="4">
        <f t="shared" si="4"/>
        <v>0</v>
      </c>
      <c r="K46" s="4">
        <f t="shared" si="5"/>
        <v>0.5</v>
      </c>
      <c r="L46" s="4">
        <f t="shared" si="6"/>
        <v>3.5</v>
      </c>
      <c r="M46" s="4">
        <f t="shared" si="7"/>
        <v>0</v>
      </c>
      <c r="N46" s="4">
        <f t="shared" si="8"/>
        <v>0.5</v>
      </c>
    </row>
    <row r="47" spans="1:14" x14ac:dyDescent="0.2">
      <c r="A47" t="str">
        <v>d_46</v>
      </c>
      <c r="B47" s="2">
        <v>40617</v>
      </c>
      <c r="C47" s="4">
        <v>0</v>
      </c>
      <c r="D47" s="4">
        <v>0</v>
      </c>
      <c r="E47" s="4">
        <v>2</v>
      </c>
      <c r="F47">
        <f t="shared" si="0"/>
        <v>1</v>
      </c>
      <c r="G47">
        <f t="shared" si="1"/>
        <v>0</v>
      </c>
      <c r="H47" s="4">
        <f t="shared" si="2"/>
        <v>1</v>
      </c>
      <c r="I47" s="4">
        <f t="shared" si="3"/>
        <v>1</v>
      </c>
      <c r="J47" s="4">
        <f t="shared" si="4"/>
        <v>0.5</v>
      </c>
      <c r="K47" s="4">
        <f t="shared" si="5"/>
        <v>0</v>
      </c>
      <c r="L47" s="4">
        <f t="shared" si="6"/>
        <v>0.5</v>
      </c>
      <c r="M47" s="4">
        <f t="shared" si="7"/>
        <v>0</v>
      </c>
      <c r="N47" s="4">
        <f t="shared" si="8"/>
        <v>0</v>
      </c>
    </row>
    <row r="48" spans="1:14" x14ac:dyDescent="0.2">
      <c r="A48" t="str">
        <v>d_47</v>
      </c>
      <c r="B48" s="2">
        <v>40618</v>
      </c>
      <c r="C48" s="4">
        <v>1</v>
      </c>
      <c r="D48" s="4">
        <v>0</v>
      </c>
      <c r="E48" s="4">
        <v>2</v>
      </c>
      <c r="F48">
        <f t="shared" si="0"/>
        <v>2</v>
      </c>
      <c r="G48">
        <f t="shared" si="1"/>
        <v>0</v>
      </c>
      <c r="H48" s="4">
        <f t="shared" si="2"/>
        <v>2</v>
      </c>
      <c r="I48" s="4">
        <f t="shared" si="3"/>
        <v>0.5</v>
      </c>
      <c r="J48" s="4">
        <f t="shared" si="4"/>
        <v>0.5</v>
      </c>
      <c r="K48" s="4">
        <f t="shared" si="5"/>
        <v>1.5</v>
      </c>
      <c r="L48" s="4">
        <f t="shared" si="6"/>
        <v>1</v>
      </c>
      <c r="M48" s="4">
        <f t="shared" si="7"/>
        <v>0</v>
      </c>
      <c r="N48" s="4">
        <f t="shared" si="8"/>
        <v>1</v>
      </c>
    </row>
    <row r="49" spans="1:14" x14ac:dyDescent="0.2">
      <c r="A49" t="str">
        <v>d_48</v>
      </c>
      <c r="B49" s="2">
        <v>40619</v>
      </c>
      <c r="C49" s="4">
        <v>0</v>
      </c>
      <c r="D49" s="4">
        <v>0</v>
      </c>
      <c r="E49" s="4">
        <v>1</v>
      </c>
      <c r="F49">
        <f t="shared" si="0"/>
        <v>0</v>
      </c>
      <c r="G49">
        <f t="shared" si="1"/>
        <v>0</v>
      </c>
      <c r="H49" s="4">
        <f t="shared" si="2"/>
        <v>0.5</v>
      </c>
      <c r="I49" s="4">
        <f t="shared" si="3"/>
        <v>4</v>
      </c>
      <c r="J49" s="4">
        <f t="shared" si="4"/>
        <v>0</v>
      </c>
      <c r="K49" s="4">
        <f t="shared" si="5"/>
        <v>1.5</v>
      </c>
      <c r="L49" s="4">
        <f t="shared" si="6"/>
        <v>0.5</v>
      </c>
      <c r="M49" s="4">
        <f t="shared" si="7"/>
        <v>0</v>
      </c>
      <c r="N49" s="4">
        <f t="shared" si="8"/>
        <v>1.5</v>
      </c>
    </row>
    <row r="50" spans="1:14" x14ac:dyDescent="0.2">
      <c r="A50" t="str">
        <v>d_49</v>
      </c>
      <c r="B50" s="2">
        <v>40620</v>
      </c>
      <c r="C50" s="4">
        <v>0</v>
      </c>
      <c r="D50" s="4">
        <v>2</v>
      </c>
      <c r="E50" s="4">
        <v>0</v>
      </c>
      <c r="F50">
        <f t="shared" si="0"/>
        <v>0.5</v>
      </c>
      <c r="G50">
        <f t="shared" si="1"/>
        <v>1</v>
      </c>
      <c r="H50" s="4">
        <f t="shared" si="2"/>
        <v>0</v>
      </c>
      <c r="I50" s="4">
        <f t="shared" si="3"/>
        <v>0.5</v>
      </c>
      <c r="J50" s="4">
        <f t="shared" si="4"/>
        <v>0.5</v>
      </c>
      <c r="K50" s="4">
        <f t="shared" si="5"/>
        <v>1.5</v>
      </c>
      <c r="L50" s="4">
        <f t="shared" si="6"/>
        <v>1</v>
      </c>
      <c r="M50" s="4">
        <f t="shared" si="7"/>
        <v>0</v>
      </c>
      <c r="N50" s="4">
        <f t="shared" si="8"/>
        <v>0.5</v>
      </c>
    </row>
    <row r="51" spans="1:14" x14ac:dyDescent="0.2">
      <c r="A51" t="str">
        <v>d_50</v>
      </c>
      <c r="B51" s="2">
        <v>40621</v>
      </c>
      <c r="C51" s="4">
        <v>1</v>
      </c>
      <c r="D51" s="4">
        <v>1</v>
      </c>
      <c r="E51" s="4">
        <v>3</v>
      </c>
      <c r="F51">
        <f t="shared" si="0"/>
        <v>3</v>
      </c>
      <c r="G51">
        <f t="shared" si="1"/>
        <v>0.5</v>
      </c>
      <c r="H51" s="4">
        <f t="shared" si="2"/>
        <v>1.5</v>
      </c>
      <c r="I51" s="4">
        <f t="shared" si="3"/>
        <v>1</v>
      </c>
      <c r="J51" s="4">
        <f t="shared" si="4"/>
        <v>1.5</v>
      </c>
      <c r="K51" s="4">
        <f t="shared" si="5"/>
        <v>1.5</v>
      </c>
      <c r="L51" s="4">
        <f t="shared" si="6"/>
        <v>0.5</v>
      </c>
      <c r="M51" s="4">
        <f t="shared" si="7"/>
        <v>1</v>
      </c>
      <c r="N51" s="4">
        <f t="shared" si="8"/>
        <v>1</v>
      </c>
    </row>
    <row r="52" spans="1:14" x14ac:dyDescent="0.2">
      <c r="A52" t="str">
        <v>d_51</v>
      </c>
      <c r="B52" s="2">
        <v>40622</v>
      </c>
      <c r="C52" s="4">
        <v>1</v>
      </c>
      <c r="D52" s="4">
        <v>0</v>
      </c>
      <c r="E52" s="4">
        <v>2</v>
      </c>
      <c r="F52">
        <f t="shared" si="0"/>
        <v>0.5</v>
      </c>
      <c r="G52">
        <f t="shared" si="1"/>
        <v>0</v>
      </c>
      <c r="H52" s="4">
        <f t="shared" si="2"/>
        <v>1</v>
      </c>
      <c r="I52" s="4">
        <f t="shared" si="3"/>
        <v>2</v>
      </c>
      <c r="J52" s="4">
        <f t="shared" si="4"/>
        <v>2</v>
      </c>
      <c r="K52" s="4">
        <f t="shared" si="5"/>
        <v>2</v>
      </c>
      <c r="L52" s="4">
        <f t="shared" si="6"/>
        <v>1.5</v>
      </c>
      <c r="M52" s="4">
        <f t="shared" si="7"/>
        <v>0.5</v>
      </c>
      <c r="N52" s="4">
        <f t="shared" si="8"/>
        <v>3.5</v>
      </c>
    </row>
    <row r="53" spans="1:14" x14ac:dyDescent="0.2">
      <c r="A53" t="str">
        <v>d_52</v>
      </c>
      <c r="B53" s="2">
        <v>40623</v>
      </c>
      <c r="C53" s="4">
        <v>1</v>
      </c>
      <c r="D53" s="4">
        <v>1</v>
      </c>
      <c r="E53" s="4">
        <v>1</v>
      </c>
      <c r="F53">
        <f t="shared" si="0"/>
        <v>0.5</v>
      </c>
      <c r="G53">
        <f t="shared" si="1"/>
        <v>0.5</v>
      </c>
      <c r="H53" s="4">
        <f t="shared" si="2"/>
        <v>1.5</v>
      </c>
      <c r="I53" s="4">
        <f t="shared" si="3"/>
        <v>0.5</v>
      </c>
      <c r="J53" s="4">
        <f t="shared" si="4"/>
        <v>0</v>
      </c>
      <c r="K53" s="4">
        <f t="shared" si="5"/>
        <v>1</v>
      </c>
      <c r="L53" s="4">
        <f t="shared" si="6"/>
        <v>0.5</v>
      </c>
      <c r="M53" s="4">
        <f t="shared" si="7"/>
        <v>0</v>
      </c>
      <c r="N53" s="4">
        <f t="shared" si="8"/>
        <v>1.5</v>
      </c>
    </row>
    <row r="54" spans="1:14" x14ac:dyDescent="0.2">
      <c r="A54" t="str">
        <v>d_53</v>
      </c>
      <c r="B54" s="2">
        <v>40624</v>
      </c>
      <c r="C54" s="4">
        <v>1</v>
      </c>
      <c r="D54" s="4">
        <v>0</v>
      </c>
      <c r="E54" s="4">
        <v>0</v>
      </c>
      <c r="F54">
        <f t="shared" si="0"/>
        <v>1</v>
      </c>
      <c r="G54">
        <f t="shared" si="1"/>
        <v>0</v>
      </c>
      <c r="H54" s="4">
        <f t="shared" si="2"/>
        <v>1</v>
      </c>
      <c r="I54" s="4">
        <f t="shared" si="3"/>
        <v>1</v>
      </c>
      <c r="J54" s="4">
        <f t="shared" si="4"/>
        <v>0.5</v>
      </c>
      <c r="K54" s="4">
        <f t="shared" si="5"/>
        <v>0.5</v>
      </c>
      <c r="L54" s="4">
        <f t="shared" si="6"/>
        <v>1.5</v>
      </c>
      <c r="M54" s="4">
        <f t="shared" si="7"/>
        <v>0.5</v>
      </c>
      <c r="N54" s="4">
        <f t="shared" si="8"/>
        <v>1</v>
      </c>
    </row>
    <row r="55" spans="1:14" x14ac:dyDescent="0.2">
      <c r="A55" t="str">
        <v>d_54</v>
      </c>
      <c r="B55" s="2">
        <v>40625</v>
      </c>
      <c r="C55" s="4">
        <v>1</v>
      </c>
      <c r="D55" s="4">
        <v>0</v>
      </c>
      <c r="E55" s="4">
        <v>0</v>
      </c>
      <c r="F55">
        <f t="shared" si="0"/>
        <v>0.5</v>
      </c>
      <c r="G55">
        <f t="shared" si="1"/>
        <v>0</v>
      </c>
      <c r="H55" s="4">
        <f t="shared" si="2"/>
        <v>0.5</v>
      </c>
      <c r="I55" s="4">
        <f t="shared" si="3"/>
        <v>1.5</v>
      </c>
      <c r="J55" s="4">
        <f t="shared" si="4"/>
        <v>0</v>
      </c>
      <c r="K55" s="4">
        <f t="shared" si="5"/>
        <v>0</v>
      </c>
      <c r="L55" s="4">
        <f t="shared" si="6"/>
        <v>1.5</v>
      </c>
      <c r="M55" s="4">
        <f t="shared" si="7"/>
        <v>0</v>
      </c>
      <c r="N55" s="4">
        <f t="shared" si="8"/>
        <v>1</v>
      </c>
    </row>
    <row r="56" spans="1:14" x14ac:dyDescent="0.2">
      <c r="A56" t="str">
        <v>d_55</v>
      </c>
      <c r="B56" s="2">
        <v>40626</v>
      </c>
      <c r="C56" s="4">
        <v>0</v>
      </c>
      <c r="D56" s="4">
        <v>0</v>
      </c>
      <c r="E56" s="4">
        <v>0</v>
      </c>
      <c r="F56">
        <f t="shared" si="0"/>
        <v>0</v>
      </c>
      <c r="G56">
        <f t="shared" si="1"/>
        <v>1</v>
      </c>
      <c r="H56" s="4">
        <f t="shared" si="2"/>
        <v>0</v>
      </c>
      <c r="I56" s="4">
        <f t="shared" si="3"/>
        <v>2</v>
      </c>
      <c r="J56" s="4">
        <f t="shared" si="4"/>
        <v>0</v>
      </c>
      <c r="K56" s="4">
        <f t="shared" si="5"/>
        <v>1</v>
      </c>
      <c r="L56" s="4">
        <f t="shared" si="6"/>
        <v>1.5</v>
      </c>
      <c r="M56" s="4">
        <f t="shared" si="7"/>
        <v>0</v>
      </c>
      <c r="N56" s="4">
        <f t="shared" si="8"/>
        <v>0.5</v>
      </c>
    </row>
    <row r="57" spans="1:14" x14ac:dyDescent="0.2">
      <c r="A57" t="str">
        <v>d_56</v>
      </c>
      <c r="B57" s="2">
        <v>40627</v>
      </c>
      <c r="C57" s="4">
        <v>1</v>
      </c>
      <c r="D57" s="4">
        <v>0</v>
      </c>
      <c r="E57" s="4">
        <v>1</v>
      </c>
      <c r="F57">
        <f t="shared" si="0"/>
        <v>1</v>
      </c>
      <c r="G57">
        <f t="shared" si="1"/>
        <v>0.5</v>
      </c>
      <c r="H57" s="4">
        <f t="shared" si="2"/>
        <v>2</v>
      </c>
      <c r="I57" s="4">
        <f t="shared" si="3"/>
        <v>0</v>
      </c>
      <c r="J57" s="4">
        <f t="shared" si="4"/>
        <v>0</v>
      </c>
      <c r="K57" s="4">
        <f t="shared" si="5"/>
        <v>0</v>
      </c>
      <c r="L57" s="4">
        <f t="shared" si="6"/>
        <v>2</v>
      </c>
      <c r="M57" s="4">
        <f t="shared" si="7"/>
        <v>0</v>
      </c>
      <c r="N57" s="4">
        <f t="shared" si="8"/>
        <v>0</v>
      </c>
    </row>
    <row r="58" spans="1:14" x14ac:dyDescent="0.2">
      <c r="A58" t="str">
        <v>d_57</v>
      </c>
      <c r="B58" s="2">
        <v>40628</v>
      </c>
      <c r="C58" s="4">
        <v>2</v>
      </c>
      <c r="D58" s="4">
        <v>0</v>
      </c>
      <c r="E58" s="4">
        <v>0</v>
      </c>
      <c r="F58">
        <f t="shared" si="0"/>
        <v>1.5</v>
      </c>
      <c r="G58">
        <f t="shared" si="1"/>
        <v>0</v>
      </c>
      <c r="H58" s="4">
        <f t="shared" si="2"/>
        <v>1</v>
      </c>
      <c r="I58" s="4">
        <f t="shared" si="3"/>
        <v>1</v>
      </c>
      <c r="J58" s="4">
        <f t="shared" si="4"/>
        <v>0</v>
      </c>
      <c r="K58" s="4">
        <f t="shared" si="5"/>
        <v>0.5</v>
      </c>
      <c r="L58" s="4">
        <f t="shared" si="6"/>
        <v>1.5</v>
      </c>
      <c r="M58" s="4">
        <f t="shared" si="7"/>
        <v>0.5</v>
      </c>
      <c r="N58" s="4">
        <f t="shared" si="8"/>
        <v>1</v>
      </c>
    </row>
    <row r="59" spans="1:14" x14ac:dyDescent="0.2">
      <c r="A59" t="str">
        <v>d_58</v>
      </c>
      <c r="B59" s="2">
        <v>40629</v>
      </c>
      <c r="C59" s="4">
        <v>2</v>
      </c>
      <c r="D59" s="4">
        <v>1</v>
      </c>
      <c r="E59" s="4">
        <v>3</v>
      </c>
      <c r="F59">
        <f t="shared" si="0"/>
        <v>1.5</v>
      </c>
      <c r="G59">
        <f t="shared" si="1"/>
        <v>1</v>
      </c>
      <c r="H59" s="4">
        <f t="shared" si="2"/>
        <v>2</v>
      </c>
      <c r="I59" s="4">
        <f t="shared" si="3"/>
        <v>3.5</v>
      </c>
      <c r="J59" s="4">
        <f t="shared" si="4"/>
        <v>0</v>
      </c>
      <c r="K59" s="4">
        <f t="shared" si="5"/>
        <v>0</v>
      </c>
      <c r="L59" s="4">
        <f t="shared" si="6"/>
        <v>2</v>
      </c>
      <c r="M59" s="4">
        <f t="shared" si="7"/>
        <v>0</v>
      </c>
      <c r="N59" s="4">
        <f t="shared" si="8"/>
        <v>0</v>
      </c>
    </row>
    <row r="60" spans="1:14" x14ac:dyDescent="0.2">
      <c r="A60" t="str">
        <v>d_59</v>
      </c>
      <c r="B60" s="2">
        <v>40630</v>
      </c>
      <c r="C60" s="4">
        <v>0</v>
      </c>
      <c r="D60" s="4">
        <v>2</v>
      </c>
      <c r="E60" s="4">
        <v>0</v>
      </c>
      <c r="F60">
        <f t="shared" si="0"/>
        <v>0.5</v>
      </c>
      <c r="G60">
        <f t="shared" si="1"/>
        <v>1</v>
      </c>
      <c r="H60" s="4">
        <f t="shared" si="2"/>
        <v>0</v>
      </c>
      <c r="I60" s="4">
        <f t="shared" si="3"/>
        <v>1</v>
      </c>
      <c r="J60" s="4">
        <f t="shared" si="4"/>
        <v>0.5</v>
      </c>
      <c r="K60" s="4">
        <f t="shared" si="5"/>
        <v>1.5</v>
      </c>
      <c r="L60" s="4">
        <f t="shared" si="6"/>
        <v>1</v>
      </c>
      <c r="M60" s="4">
        <f t="shared" si="7"/>
        <v>0.5</v>
      </c>
      <c r="N60" s="4">
        <f t="shared" si="8"/>
        <v>2</v>
      </c>
    </row>
    <row r="61" spans="1:14" x14ac:dyDescent="0.2">
      <c r="A61" t="str">
        <v>d_60</v>
      </c>
      <c r="B61" s="2">
        <v>40631</v>
      </c>
      <c r="C61" s="4">
        <v>1</v>
      </c>
      <c r="D61" s="4">
        <v>0</v>
      </c>
      <c r="E61" s="4">
        <v>2</v>
      </c>
      <c r="F61">
        <f t="shared" si="0"/>
        <v>1</v>
      </c>
      <c r="G61">
        <f t="shared" si="1"/>
        <v>0</v>
      </c>
      <c r="H61" s="4">
        <f t="shared" si="2"/>
        <v>1</v>
      </c>
      <c r="I61" s="4">
        <f t="shared" si="3"/>
        <v>0</v>
      </c>
      <c r="J61" s="4">
        <f t="shared" si="4"/>
        <v>1</v>
      </c>
      <c r="K61" s="4">
        <f t="shared" si="5"/>
        <v>1</v>
      </c>
      <c r="L61" s="4">
        <f t="shared" si="6"/>
        <v>1</v>
      </c>
      <c r="M61" s="4">
        <f t="shared" si="7"/>
        <v>1.5</v>
      </c>
      <c r="N61" s="4">
        <f t="shared" si="8"/>
        <v>0</v>
      </c>
    </row>
    <row r="62" spans="1:14" x14ac:dyDescent="0.2">
      <c r="A62" t="str">
        <v>d_61</v>
      </c>
      <c r="B62" s="2">
        <v>40632</v>
      </c>
      <c r="C62" s="4">
        <v>0</v>
      </c>
      <c r="D62" s="4">
        <v>0</v>
      </c>
      <c r="E62" s="4">
        <v>0</v>
      </c>
      <c r="F62">
        <f t="shared" si="0"/>
        <v>0</v>
      </c>
      <c r="G62">
        <f t="shared" si="1"/>
        <v>0</v>
      </c>
      <c r="H62" s="4">
        <f t="shared" si="2"/>
        <v>0</v>
      </c>
      <c r="I62" s="4">
        <f t="shared" si="3"/>
        <v>1</v>
      </c>
      <c r="J62" s="4">
        <f t="shared" si="4"/>
        <v>0</v>
      </c>
      <c r="K62" s="4">
        <f t="shared" si="5"/>
        <v>2</v>
      </c>
      <c r="L62" s="4">
        <f t="shared" si="6"/>
        <v>1</v>
      </c>
      <c r="M62" s="4">
        <f t="shared" si="7"/>
        <v>0.5</v>
      </c>
      <c r="N62" s="4">
        <f t="shared" si="8"/>
        <v>1.5</v>
      </c>
    </row>
    <row r="63" spans="1:14" x14ac:dyDescent="0.2">
      <c r="A63" t="str">
        <v>d_62</v>
      </c>
      <c r="B63" s="2">
        <v>40633</v>
      </c>
      <c r="C63" s="4">
        <v>0</v>
      </c>
      <c r="D63" s="4">
        <v>0</v>
      </c>
      <c r="E63" s="4">
        <v>2</v>
      </c>
      <c r="F63">
        <f t="shared" si="0"/>
        <v>0.5</v>
      </c>
      <c r="G63">
        <f t="shared" si="1"/>
        <v>0</v>
      </c>
      <c r="H63" s="4">
        <f t="shared" si="2"/>
        <v>1.5</v>
      </c>
      <c r="I63" s="4">
        <f t="shared" si="3"/>
        <v>0</v>
      </c>
      <c r="J63" s="4">
        <f t="shared" si="4"/>
        <v>0</v>
      </c>
      <c r="K63" s="4">
        <f t="shared" si="5"/>
        <v>0.5</v>
      </c>
      <c r="L63" s="4">
        <f t="shared" si="6"/>
        <v>3.5</v>
      </c>
      <c r="M63" s="4">
        <f t="shared" si="7"/>
        <v>0</v>
      </c>
      <c r="N63" s="4">
        <f t="shared" si="8"/>
        <v>0.5</v>
      </c>
    </row>
    <row r="64" spans="1:14" x14ac:dyDescent="0.2">
      <c r="A64" t="str">
        <v>d_63</v>
      </c>
      <c r="B64" s="2">
        <v>40634</v>
      </c>
      <c r="C64" s="4">
        <v>0</v>
      </c>
      <c r="D64" s="4">
        <v>0</v>
      </c>
      <c r="E64" s="4">
        <v>2</v>
      </c>
      <c r="F64">
        <f t="shared" si="0"/>
        <v>1</v>
      </c>
      <c r="G64">
        <f t="shared" si="1"/>
        <v>0</v>
      </c>
      <c r="H64" s="4">
        <f t="shared" si="2"/>
        <v>1</v>
      </c>
      <c r="I64" s="4">
        <f t="shared" si="3"/>
        <v>0</v>
      </c>
      <c r="J64" s="4">
        <f t="shared" si="4"/>
        <v>1</v>
      </c>
      <c r="K64" s="4">
        <f t="shared" si="5"/>
        <v>1</v>
      </c>
      <c r="L64" s="4">
        <f t="shared" si="6"/>
        <v>0.5</v>
      </c>
      <c r="M64" s="4">
        <f t="shared" si="7"/>
        <v>0.5</v>
      </c>
      <c r="N64" s="4">
        <f t="shared" si="8"/>
        <v>2</v>
      </c>
    </row>
    <row r="65" spans="1:14" x14ac:dyDescent="0.2">
      <c r="A65" t="str">
        <v>d_64</v>
      </c>
      <c r="B65" s="2">
        <v>40635</v>
      </c>
      <c r="C65" s="4">
        <v>0</v>
      </c>
      <c r="D65" s="4">
        <v>0</v>
      </c>
      <c r="E65" s="4">
        <v>1</v>
      </c>
      <c r="F65">
        <f t="shared" si="0"/>
        <v>1</v>
      </c>
      <c r="G65">
        <f t="shared" si="1"/>
        <v>0.5</v>
      </c>
      <c r="H65" s="4">
        <f t="shared" si="2"/>
        <v>2</v>
      </c>
      <c r="I65" s="4">
        <f t="shared" si="3"/>
        <v>0.5</v>
      </c>
      <c r="J65" s="4">
        <f t="shared" si="4"/>
        <v>0.5</v>
      </c>
      <c r="K65" s="4">
        <f t="shared" si="5"/>
        <v>2.5</v>
      </c>
      <c r="L65" s="4">
        <f t="shared" si="6"/>
        <v>1</v>
      </c>
      <c r="M65" s="4">
        <f t="shared" si="7"/>
        <v>0.5</v>
      </c>
      <c r="N65" s="4">
        <f t="shared" si="8"/>
        <v>2.5</v>
      </c>
    </row>
    <row r="66" spans="1:14" x14ac:dyDescent="0.2">
      <c r="A66" t="str">
        <v>d_65</v>
      </c>
      <c r="B66" s="2">
        <v>40636</v>
      </c>
      <c r="C66" s="4">
        <v>0</v>
      </c>
      <c r="D66" s="4">
        <v>1</v>
      </c>
      <c r="E66" s="4">
        <v>0</v>
      </c>
      <c r="F66">
        <f t="shared" si="0"/>
        <v>0</v>
      </c>
      <c r="G66">
        <f t="shared" si="1"/>
        <v>1.5</v>
      </c>
      <c r="H66" s="4">
        <f t="shared" si="2"/>
        <v>0</v>
      </c>
      <c r="I66" s="4">
        <f t="shared" si="3"/>
        <v>0.5</v>
      </c>
      <c r="J66" s="4">
        <f t="shared" si="4"/>
        <v>0</v>
      </c>
      <c r="K66" s="4">
        <f t="shared" si="5"/>
        <v>1.5</v>
      </c>
      <c r="L66" s="4">
        <f t="shared" si="6"/>
        <v>1.5</v>
      </c>
      <c r="M66" s="4">
        <f t="shared" si="7"/>
        <v>1.5</v>
      </c>
      <c r="N66" s="4">
        <f t="shared" si="8"/>
        <v>1</v>
      </c>
    </row>
    <row r="67" spans="1:14" x14ac:dyDescent="0.2">
      <c r="A67" t="str">
        <v>d_66</v>
      </c>
      <c r="B67" s="2">
        <v>40637</v>
      </c>
      <c r="C67" s="4">
        <v>4</v>
      </c>
      <c r="D67" s="4">
        <v>0</v>
      </c>
      <c r="E67" s="4">
        <v>1</v>
      </c>
      <c r="F67">
        <f t="shared" si="0"/>
        <v>2.5</v>
      </c>
      <c r="G67">
        <f t="shared" si="1"/>
        <v>0</v>
      </c>
      <c r="H67" s="4">
        <f t="shared" si="2"/>
        <v>1.5</v>
      </c>
      <c r="I67" s="4">
        <f t="shared" si="3"/>
        <v>0.5</v>
      </c>
      <c r="J67" s="4">
        <f t="shared" si="4"/>
        <v>1</v>
      </c>
      <c r="K67" s="4">
        <f t="shared" si="5"/>
        <v>0.5</v>
      </c>
      <c r="L67" s="4">
        <f t="shared" si="6"/>
        <v>0</v>
      </c>
      <c r="M67" s="4">
        <f t="shared" si="7"/>
        <v>0.5</v>
      </c>
      <c r="N67" s="4">
        <f t="shared" si="8"/>
        <v>0</v>
      </c>
    </row>
    <row r="68" spans="1:14" x14ac:dyDescent="0.2">
      <c r="A68" t="str">
        <v>d_67</v>
      </c>
      <c r="B68" s="2">
        <v>40638</v>
      </c>
      <c r="C68" s="4">
        <v>0</v>
      </c>
      <c r="D68" s="4">
        <v>0</v>
      </c>
      <c r="E68" s="4">
        <v>0</v>
      </c>
      <c r="F68">
        <f t="shared" si="0"/>
        <v>0</v>
      </c>
      <c r="G68">
        <f t="shared" si="1"/>
        <v>0</v>
      </c>
      <c r="H68" s="4">
        <f t="shared" si="2"/>
        <v>0</v>
      </c>
      <c r="I68" s="4">
        <f t="shared" si="3"/>
        <v>2.5</v>
      </c>
      <c r="J68" s="4">
        <f t="shared" si="4"/>
        <v>0</v>
      </c>
      <c r="K68" s="4">
        <f t="shared" si="5"/>
        <v>0.5</v>
      </c>
      <c r="L68" s="4">
        <f t="shared" si="6"/>
        <v>2.5</v>
      </c>
      <c r="M68" s="4">
        <f t="shared" si="7"/>
        <v>0</v>
      </c>
      <c r="N68" s="4">
        <f t="shared" si="8"/>
        <v>0.5</v>
      </c>
    </row>
    <row r="69" spans="1:14" x14ac:dyDescent="0.2">
      <c r="A69" t="str">
        <v>d_68</v>
      </c>
      <c r="B69" s="2">
        <v>40639</v>
      </c>
      <c r="C69" s="4">
        <v>1</v>
      </c>
      <c r="D69" s="4">
        <v>2</v>
      </c>
      <c r="E69" s="4">
        <v>0</v>
      </c>
      <c r="F69">
        <f t="shared" si="0"/>
        <v>0.5</v>
      </c>
      <c r="G69">
        <f t="shared" si="1"/>
        <v>1</v>
      </c>
      <c r="H69" s="4">
        <f t="shared" si="2"/>
        <v>1</v>
      </c>
      <c r="I69" s="4">
        <f t="shared" si="3"/>
        <v>0.5</v>
      </c>
      <c r="J69" s="4">
        <f t="shared" si="4"/>
        <v>0</v>
      </c>
      <c r="K69" s="4">
        <f t="shared" si="5"/>
        <v>0</v>
      </c>
      <c r="L69" s="4">
        <f t="shared" si="6"/>
        <v>1</v>
      </c>
      <c r="M69" s="4">
        <f t="shared" si="7"/>
        <v>0</v>
      </c>
      <c r="N69" s="4">
        <f t="shared" si="8"/>
        <v>0</v>
      </c>
    </row>
    <row r="70" spans="1:14" x14ac:dyDescent="0.2">
      <c r="A70" t="str">
        <v>d_69</v>
      </c>
      <c r="B70" s="2">
        <v>40640</v>
      </c>
      <c r="C70" s="4">
        <v>0</v>
      </c>
      <c r="D70" s="4">
        <v>0</v>
      </c>
      <c r="E70" s="4">
        <v>0</v>
      </c>
      <c r="F70">
        <f t="shared" si="0"/>
        <v>0</v>
      </c>
      <c r="G70">
        <f t="shared" si="1"/>
        <v>0</v>
      </c>
      <c r="H70" s="4">
        <f t="shared" si="2"/>
        <v>1</v>
      </c>
      <c r="I70" s="4">
        <f t="shared" si="3"/>
        <v>0.5</v>
      </c>
      <c r="J70" s="4">
        <f t="shared" si="4"/>
        <v>1</v>
      </c>
      <c r="K70" s="4">
        <f t="shared" si="5"/>
        <v>0</v>
      </c>
      <c r="L70" s="4">
        <f t="shared" si="6"/>
        <v>2</v>
      </c>
      <c r="M70" s="4">
        <f t="shared" si="7"/>
        <v>1</v>
      </c>
      <c r="N70" s="4">
        <f t="shared" si="8"/>
        <v>1</v>
      </c>
    </row>
    <row r="71" spans="1:14" x14ac:dyDescent="0.2">
      <c r="A71" t="str">
        <v>d_70</v>
      </c>
      <c r="B71" s="2">
        <v>40641</v>
      </c>
      <c r="C71" s="4">
        <v>1</v>
      </c>
      <c r="D71" s="4">
        <v>0</v>
      </c>
      <c r="E71" s="4">
        <v>0</v>
      </c>
      <c r="F71">
        <f t="shared" si="0"/>
        <v>0.5</v>
      </c>
      <c r="G71">
        <f t="shared" si="1"/>
        <v>0</v>
      </c>
      <c r="H71" s="4">
        <f t="shared" si="2"/>
        <v>0.5</v>
      </c>
      <c r="I71" s="4">
        <f t="shared" si="3"/>
        <v>0.5</v>
      </c>
      <c r="J71" s="4">
        <f t="shared" si="4"/>
        <v>0</v>
      </c>
      <c r="K71" s="4">
        <f t="shared" si="5"/>
        <v>0.5</v>
      </c>
      <c r="L71" s="4">
        <f t="shared" si="6"/>
        <v>0</v>
      </c>
      <c r="M71" s="4">
        <f t="shared" si="7"/>
        <v>0</v>
      </c>
      <c r="N71" s="4">
        <f t="shared" si="8"/>
        <v>0</v>
      </c>
    </row>
    <row r="72" spans="1:14" x14ac:dyDescent="0.2">
      <c r="A72" t="str">
        <v>d_71</v>
      </c>
      <c r="B72" s="2">
        <v>40642</v>
      </c>
      <c r="C72" s="4">
        <v>0</v>
      </c>
      <c r="D72" s="4">
        <v>1</v>
      </c>
      <c r="E72" s="4">
        <v>2</v>
      </c>
      <c r="F72">
        <f t="shared" si="0"/>
        <v>0</v>
      </c>
      <c r="G72">
        <f t="shared" si="1"/>
        <v>1</v>
      </c>
      <c r="H72" s="4">
        <f t="shared" si="2"/>
        <v>1</v>
      </c>
      <c r="I72" s="4">
        <f t="shared" si="3"/>
        <v>1.5</v>
      </c>
      <c r="J72" s="4">
        <f t="shared" si="4"/>
        <v>0</v>
      </c>
      <c r="K72" s="4">
        <f t="shared" si="5"/>
        <v>0</v>
      </c>
      <c r="L72" s="4">
        <f t="shared" si="6"/>
        <v>1</v>
      </c>
      <c r="M72" s="4">
        <f t="shared" si="7"/>
        <v>0</v>
      </c>
      <c r="N72" s="4">
        <f t="shared" si="8"/>
        <v>0</v>
      </c>
    </row>
    <row r="73" spans="1:14" x14ac:dyDescent="0.2">
      <c r="A73" t="str">
        <v>d_72</v>
      </c>
      <c r="B73" s="2">
        <v>40643</v>
      </c>
      <c r="C73" s="4">
        <v>2</v>
      </c>
      <c r="D73" s="4">
        <v>0</v>
      </c>
      <c r="E73" s="4">
        <v>3</v>
      </c>
      <c r="F73">
        <f t="shared" ref="F73:F136" si="9">AVERAGE(C67,C73)</f>
        <v>3</v>
      </c>
      <c r="G73">
        <f t="shared" ref="G73:G136" si="10">AVERAGE(D67,D73)</f>
        <v>0</v>
      </c>
      <c r="H73" s="4">
        <f t="shared" ref="H73:H136" si="11">AVERAGE(E67,E73)</f>
        <v>2</v>
      </c>
      <c r="I73" s="4">
        <f t="shared" si="3"/>
        <v>1</v>
      </c>
      <c r="J73" s="4">
        <f t="shared" si="4"/>
        <v>1</v>
      </c>
      <c r="K73" s="4">
        <f t="shared" si="5"/>
        <v>2.5</v>
      </c>
      <c r="L73" s="4">
        <f t="shared" si="6"/>
        <v>2.5</v>
      </c>
      <c r="M73" s="4">
        <f t="shared" si="7"/>
        <v>0.5</v>
      </c>
      <c r="N73" s="4">
        <f t="shared" si="8"/>
        <v>1</v>
      </c>
    </row>
    <row r="74" spans="1:14" x14ac:dyDescent="0.2">
      <c r="A74" t="str">
        <v>d_73</v>
      </c>
      <c r="B74" s="2">
        <v>40644</v>
      </c>
      <c r="C74" s="4">
        <v>2</v>
      </c>
      <c r="D74" s="4">
        <v>0</v>
      </c>
      <c r="E74" s="4">
        <v>1</v>
      </c>
      <c r="F74">
        <f t="shared" si="9"/>
        <v>1</v>
      </c>
      <c r="G74">
        <f t="shared" si="10"/>
        <v>0</v>
      </c>
      <c r="H74" s="4">
        <f t="shared" si="11"/>
        <v>0.5</v>
      </c>
      <c r="I74" s="4">
        <f t="shared" si="3"/>
        <v>1</v>
      </c>
      <c r="J74" s="4">
        <f t="shared" si="4"/>
        <v>1</v>
      </c>
      <c r="K74" s="4">
        <f t="shared" si="5"/>
        <v>1.5</v>
      </c>
      <c r="L74" s="4">
        <f t="shared" si="6"/>
        <v>1</v>
      </c>
      <c r="M74" s="4">
        <f t="shared" si="7"/>
        <v>0</v>
      </c>
      <c r="N74" s="4">
        <f t="shared" si="8"/>
        <v>1.5</v>
      </c>
    </row>
    <row r="75" spans="1:14" x14ac:dyDescent="0.2">
      <c r="A75" t="str">
        <v>d_74</v>
      </c>
      <c r="B75" s="2">
        <v>40645</v>
      </c>
      <c r="C75" s="4">
        <v>1</v>
      </c>
      <c r="D75" s="4">
        <v>0</v>
      </c>
      <c r="E75" s="4">
        <v>1</v>
      </c>
      <c r="F75">
        <f t="shared" si="9"/>
        <v>1</v>
      </c>
      <c r="G75">
        <f t="shared" si="10"/>
        <v>1</v>
      </c>
      <c r="H75" s="4">
        <f t="shared" si="11"/>
        <v>0.5</v>
      </c>
      <c r="I75" s="4">
        <f t="shared" si="3"/>
        <v>1.5</v>
      </c>
      <c r="J75" s="4">
        <f t="shared" si="4"/>
        <v>0</v>
      </c>
      <c r="K75" s="4">
        <f t="shared" si="5"/>
        <v>1.5</v>
      </c>
      <c r="L75" s="4">
        <f t="shared" si="6"/>
        <v>1</v>
      </c>
      <c r="M75" s="4">
        <f t="shared" si="7"/>
        <v>0</v>
      </c>
      <c r="N75" s="4">
        <f t="shared" si="8"/>
        <v>1.5</v>
      </c>
    </row>
    <row r="76" spans="1:14" x14ac:dyDescent="0.2">
      <c r="A76" t="str">
        <v>d_75</v>
      </c>
      <c r="B76" s="2">
        <v>40646</v>
      </c>
      <c r="C76" s="4">
        <v>1</v>
      </c>
      <c r="D76" s="4">
        <v>0</v>
      </c>
      <c r="E76" s="4">
        <v>0</v>
      </c>
      <c r="F76">
        <f t="shared" si="9"/>
        <v>0.5</v>
      </c>
      <c r="G76">
        <f t="shared" si="10"/>
        <v>0</v>
      </c>
      <c r="H76" s="4">
        <f t="shared" si="11"/>
        <v>0</v>
      </c>
      <c r="I76" s="4">
        <f t="shared" si="3"/>
        <v>0.5</v>
      </c>
      <c r="J76" s="4">
        <f t="shared" si="4"/>
        <v>0</v>
      </c>
      <c r="K76" s="4">
        <f t="shared" si="5"/>
        <v>0.5</v>
      </c>
      <c r="L76" s="4">
        <f t="shared" si="6"/>
        <v>1</v>
      </c>
      <c r="M76" s="4">
        <f t="shared" si="7"/>
        <v>0</v>
      </c>
      <c r="N76" s="4">
        <f t="shared" si="8"/>
        <v>1.5</v>
      </c>
    </row>
    <row r="77" spans="1:14" x14ac:dyDescent="0.2">
      <c r="A77" t="str">
        <v>d_76</v>
      </c>
      <c r="B77" s="2">
        <v>40647</v>
      </c>
      <c r="C77" s="4">
        <v>0</v>
      </c>
      <c r="D77" s="4">
        <v>0</v>
      </c>
      <c r="E77" s="4">
        <v>0</v>
      </c>
      <c r="F77">
        <f t="shared" si="9"/>
        <v>0.5</v>
      </c>
      <c r="G77">
        <f t="shared" si="10"/>
        <v>0</v>
      </c>
      <c r="H77" s="4">
        <f t="shared" si="11"/>
        <v>0</v>
      </c>
      <c r="I77" s="4">
        <f t="shared" si="3"/>
        <v>0.5</v>
      </c>
      <c r="J77" s="4">
        <f t="shared" si="4"/>
        <v>0</v>
      </c>
      <c r="K77" s="4">
        <f t="shared" si="5"/>
        <v>1</v>
      </c>
      <c r="L77" s="4">
        <f t="shared" si="6"/>
        <v>0.5</v>
      </c>
      <c r="M77" s="4">
        <f t="shared" si="7"/>
        <v>0</v>
      </c>
      <c r="N77" s="4">
        <f t="shared" si="8"/>
        <v>0.5</v>
      </c>
    </row>
    <row r="78" spans="1:14" x14ac:dyDescent="0.2">
      <c r="A78" t="str">
        <v>d_77</v>
      </c>
      <c r="B78" s="2">
        <v>40648</v>
      </c>
      <c r="C78" s="4">
        <v>2</v>
      </c>
      <c r="D78" s="4">
        <v>4</v>
      </c>
      <c r="E78" s="4">
        <v>3</v>
      </c>
      <c r="F78">
        <f t="shared" si="9"/>
        <v>1</v>
      </c>
      <c r="G78">
        <f t="shared" si="10"/>
        <v>2.5</v>
      </c>
      <c r="H78" s="4">
        <f t="shared" si="11"/>
        <v>2.5</v>
      </c>
      <c r="I78" s="4">
        <f t="shared" si="3"/>
        <v>0</v>
      </c>
      <c r="J78" s="4">
        <f t="shared" si="4"/>
        <v>0</v>
      </c>
      <c r="K78" s="4">
        <f t="shared" si="5"/>
        <v>1</v>
      </c>
      <c r="L78" s="4">
        <f t="shared" si="6"/>
        <v>0</v>
      </c>
      <c r="M78" s="4">
        <f t="shared" si="7"/>
        <v>1</v>
      </c>
      <c r="N78" s="4">
        <f t="shared" si="8"/>
        <v>0</v>
      </c>
    </row>
    <row r="79" spans="1:14" x14ac:dyDescent="0.2">
      <c r="A79" t="str">
        <v>d_78</v>
      </c>
      <c r="B79" s="2">
        <v>40649</v>
      </c>
      <c r="C79" s="4">
        <v>1</v>
      </c>
      <c r="D79" s="4">
        <v>0</v>
      </c>
      <c r="E79" s="4">
        <v>2</v>
      </c>
      <c r="F79">
        <f t="shared" si="9"/>
        <v>1.5</v>
      </c>
      <c r="G79">
        <f t="shared" si="10"/>
        <v>0</v>
      </c>
      <c r="H79" s="4">
        <f t="shared" si="11"/>
        <v>2.5</v>
      </c>
      <c r="I79" s="4">
        <f t="shared" si="3"/>
        <v>1</v>
      </c>
      <c r="J79" s="4">
        <f t="shared" si="4"/>
        <v>2</v>
      </c>
      <c r="K79" s="4">
        <f t="shared" si="5"/>
        <v>2</v>
      </c>
      <c r="L79" s="4">
        <f t="shared" si="6"/>
        <v>1.5</v>
      </c>
      <c r="M79" s="4">
        <f t="shared" si="7"/>
        <v>2.5</v>
      </c>
      <c r="N79" s="4">
        <f t="shared" si="8"/>
        <v>3</v>
      </c>
    </row>
    <row r="80" spans="1:14" x14ac:dyDescent="0.2">
      <c r="A80" t="str">
        <v>d_79</v>
      </c>
      <c r="B80" s="2">
        <v>40650</v>
      </c>
      <c r="C80" s="4">
        <v>2</v>
      </c>
      <c r="D80" s="4">
        <v>0</v>
      </c>
      <c r="E80" s="4">
        <v>2</v>
      </c>
      <c r="F80">
        <f t="shared" si="9"/>
        <v>2</v>
      </c>
      <c r="G80">
        <f t="shared" si="10"/>
        <v>0</v>
      </c>
      <c r="H80" s="4">
        <f t="shared" si="11"/>
        <v>1.5</v>
      </c>
      <c r="I80" s="4">
        <f t="shared" si="3"/>
        <v>0.5</v>
      </c>
      <c r="J80" s="4">
        <f t="shared" si="4"/>
        <v>0.5</v>
      </c>
      <c r="K80" s="4">
        <f t="shared" si="5"/>
        <v>1</v>
      </c>
      <c r="L80" s="4">
        <f t="shared" si="6"/>
        <v>1</v>
      </c>
      <c r="M80" s="4">
        <f t="shared" si="7"/>
        <v>0</v>
      </c>
      <c r="N80" s="4">
        <f t="shared" si="8"/>
        <v>2</v>
      </c>
    </row>
    <row r="81" spans="1:14" x14ac:dyDescent="0.2">
      <c r="A81" t="str">
        <v>d_80</v>
      </c>
      <c r="B81" s="2">
        <v>40651</v>
      </c>
      <c r="C81" s="4">
        <v>0</v>
      </c>
      <c r="D81" s="4">
        <v>0</v>
      </c>
      <c r="E81" s="4">
        <v>0</v>
      </c>
      <c r="F81">
        <f t="shared" si="9"/>
        <v>0.5</v>
      </c>
      <c r="G81">
        <f t="shared" si="10"/>
        <v>0</v>
      </c>
      <c r="H81" s="4">
        <f t="shared" si="11"/>
        <v>0.5</v>
      </c>
      <c r="I81" s="4">
        <f t="shared" ref="I81:I144" si="12">AVERAGE(C67,C80)</f>
        <v>3</v>
      </c>
      <c r="J81" s="4">
        <f t="shared" ref="J81:J144" si="13">AVERAGE(D67,D80)</f>
        <v>0</v>
      </c>
      <c r="K81" s="4">
        <f t="shared" ref="K81:K144" si="14">AVERAGE(E67,E80)</f>
        <v>1.5</v>
      </c>
      <c r="L81" s="4">
        <f t="shared" si="6"/>
        <v>1.5</v>
      </c>
      <c r="M81" s="4">
        <f t="shared" si="7"/>
        <v>0.5</v>
      </c>
      <c r="N81" s="4">
        <f t="shared" si="8"/>
        <v>1.5</v>
      </c>
    </row>
    <row r="82" spans="1:14" x14ac:dyDescent="0.2">
      <c r="A82" t="str">
        <v>d_81</v>
      </c>
      <c r="B82" s="2">
        <v>40652</v>
      </c>
      <c r="C82" s="4">
        <v>2</v>
      </c>
      <c r="D82" s="4">
        <v>0</v>
      </c>
      <c r="E82" s="4">
        <v>1</v>
      </c>
      <c r="F82">
        <f t="shared" si="9"/>
        <v>1.5</v>
      </c>
      <c r="G82">
        <f t="shared" si="10"/>
        <v>0</v>
      </c>
      <c r="H82" s="4">
        <f t="shared" si="11"/>
        <v>0.5</v>
      </c>
      <c r="I82" s="4">
        <f t="shared" si="12"/>
        <v>0</v>
      </c>
      <c r="J82" s="4">
        <f t="shared" si="13"/>
        <v>0</v>
      </c>
      <c r="K82" s="4">
        <f t="shared" si="14"/>
        <v>0</v>
      </c>
      <c r="L82" s="4">
        <f t="shared" si="6"/>
        <v>0.5</v>
      </c>
      <c r="M82" s="4">
        <f t="shared" si="7"/>
        <v>0</v>
      </c>
      <c r="N82" s="4">
        <f t="shared" si="8"/>
        <v>0</v>
      </c>
    </row>
    <row r="83" spans="1:14" x14ac:dyDescent="0.2">
      <c r="A83" t="str">
        <v>d_82</v>
      </c>
      <c r="B83" s="2">
        <v>40653</v>
      </c>
      <c r="C83" s="4">
        <v>0</v>
      </c>
      <c r="D83" s="4">
        <v>3</v>
      </c>
      <c r="E83" s="4">
        <v>0</v>
      </c>
      <c r="F83">
        <f t="shared" si="9"/>
        <v>0</v>
      </c>
      <c r="G83">
        <f t="shared" si="10"/>
        <v>1.5</v>
      </c>
      <c r="H83" s="4">
        <f t="shared" si="11"/>
        <v>0</v>
      </c>
      <c r="I83" s="4">
        <f t="shared" si="12"/>
        <v>1.5</v>
      </c>
      <c r="J83" s="4">
        <f t="shared" si="13"/>
        <v>1</v>
      </c>
      <c r="K83" s="4">
        <f t="shared" si="14"/>
        <v>0.5</v>
      </c>
      <c r="L83" s="4">
        <f t="shared" si="6"/>
        <v>1.5</v>
      </c>
      <c r="M83" s="4">
        <f t="shared" si="7"/>
        <v>0</v>
      </c>
      <c r="N83" s="4">
        <f t="shared" si="8"/>
        <v>0.5</v>
      </c>
    </row>
    <row r="84" spans="1:14" x14ac:dyDescent="0.2">
      <c r="A84" t="str">
        <v>d_83</v>
      </c>
      <c r="B84" s="2">
        <v>40654</v>
      </c>
      <c r="C84" s="4">
        <v>0</v>
      </c>
      <c r="D84" s="4">
        <v>0</v>
      </c>
      <c r="E84" s="4">
        <v>3</v>
      </c>
      <c r="F84">
        <f t="shared" si="9"/>
        <v>1</v>
      </c>
      <c r="G84">
        <f t="shared" si="10"/>
        <v>2</v>
      </c>
      <c r="H84" s="4">
        <f t="shared" si="11"/>
        <v>3</v>
      </c>
      <c r="I84" s="4">
        <f t="shared" si="12"/>
        <v>0</v>
      </c>
      <c r="J84" s="4">
        <f t="shared" si="13"/>
        <v>1.5</v>
      </c>
      <c r="K84" s="4">
        <f t="shared" si="14"/>
        <v>0</v>
      </c>
      <c r="L84" s="4">
        <f t="shared" si="6"/>
        <v>0</v>
      </c>
      <c r="M84" s="4">
        <f t="shared" si="7"/>
        <v>1.5</v>
      </c>
      <c r="N84" s="4">
        <f t="shared" si="8"/>
        <v>0</v>
      </c>
    </row>
    <row r="85" spans="1:14" x14ac:dyDescent="0.2">
      <c r="A85" t="str">
        <v>d_84</v>
      </c>
      <c r="B85" s="2">
        <v>40655</v>
      </c>
      <c r="C85" s="4">
        <v>0</v>
      </c>
      <c r="D85" s="4">
        <v>1</v>
      </c>
      <c r="E85" s="4">
        <v>1</v>
      </c>
      <c r="F85">
        <f t="shared" si="9"/>
        <v>0.5</v>
      </c>
      <c r="G85">
        <f t="shared" si="10"/>
        <v>0.5</v>
      </c>
      <c r="H85" s="4">
        <f t="shared" si="11"/>
        <v>1.5</v>
      </c>
      <c r="I85" s="4">
        <f t="shared" si="12"/>
        <v>0.5</v>
      </c>
      <c r="J85" s="4">
        <f t="shared" si="13"/>
        <v>0</v>
      </c>
      <c r="K85" s="4">
        <f t="shared" si="14"/>
        <v>1.5</v>
      </c>
      <c r="L85" s="4">
        <f t="shared" si="6"/>
        <v>0.5</v>
      </c>
      <c r="M85" s="4">
        <f t="shared" si="7"/>
        <v>0</v>
      </c>
      <c r="N85" s="4">
        <f t="shared" si="8"/>
        <v>2</v>
      </c>
    </row>
    <row r="86" spans="1:14" x14ac:dyDescent="0.2">
      <c r="A86" t="str">
        <v>d_85</v>
      </c>
      <c r="B86" s="2">
        <v>40656</v>
      </c>
      <c r="C86" s="4">
        <v>1</v>
      </c>
      <c r="D86" s="4">
        <v>0</v>
      </c>
      <c r="E86" s="4">
        <v>0</v>
      </c>
      <c r="F86">
        <f t="shared" si="9"/>
        <v>1.5</v>
      </c>
      <c r="G86">
        <f t="shared" si="10"/>
        <v>0</v>
      </c>
      <c r="H86" s="4">
        <f t="shared" si="11"/>
        <v>1</v>
      </c>
      <c r="I86" s="4">
        <f t="shared" si="12"/>
        <v>0</v>
      </c>
      <c r="J86" s="4">
        <f t="shared" si="13"/>
        <v>1</v>
      </c>
      <c r="K86" s="4">
        <f t="shared" si="14"/>
        <v>1.5</v>
      </c>
      <c r="L86" s="4">
        <f t="shared" si="6"/>
        <v>1</v>
      </c>
      <c r="M86" s="4">
        <f t="shared" si="7"/>
        <v>0.5</v>
      </c>
      <c r="N86" s="4">
        <f t="shared" si="8"/>
        <v>0.5</v>
      </c>
    </row>
    <row r="87" spans="1:14" x14ac:dyDescent="0.2">
      <c r="A87" t="str">
        <v>d_86</v>
      </c>
      <c r="B87" s="2">
        <v>40657</v>
      </c>
      <c r="C87" s="4">
        <v>0</v>
      </c>
      <c r="D87" s="4">
        <v>1</v>
      </c>
      <c r="E87" s="4">
        <v>0</v>
      </c>
      <c r="F87">
        <f t="shared" si="9"/>
        <v>0</v>
      </c>
      <c r="G87">
        <f t="shared" si="10"/>
        <v>0.5</v>
      </c>
      <c r="H87" s="4">
        <f t="shared" si="11"/>
        <v>0</v>
      </c>
      <c r="I87" s="4">
        <f t="shared" si="12"/>
        <v>1.5</v>
      </c>
      <c r="J87" s="4">
        <f t="shared" si="13"/>
        <v>0</v>
      </c>
      <c r="K87" s="4">
        <f t="shared" si="14"/>
        <v>1.5</v>
      </c>
      <c r="L87" s="4">
        <f t="shared" si="6"/>
        <v>1.5</v>
      </c>
      <c r="M87" s="4">
        <f t="shared" si="7"/>
        <v>0.5</v>
      </c>
      <c r="N87" s="4">
        <f t="shared" si="8"/>
        <v>1.5</v>
      </c>
    </row>
    <row r="88" spans="1:14" x14ac:dyDescent="0.2">
      <c r="A88" t="str">
        <v>d_87</v>
      </c>
      <c r="B88" s="2">
        <v>40658</v>
      </c>
      <c r="C88" s="4">
        <v>0</v>
      </c>
      <c r="D88" s="4">
        <v>1</v>
      </c>
      <c r="E88" s="4">
        <v>0</v>
      </c>
      <c r="F88">
        <f t="shared" si="9"/>
        <v>1</v>
      </c>
      <c r="G88">
        <f t="shared" si="10"/>
        <v>0.5</v>
      </c>
      <c r="H88" s="4">
        <f t="shared" si="11"/>
        <v>0.5</v>
      </c>
      <c r="I88" s="4">
        <f t="shared" si="12"/>
        <v>1</v>
      </c>
      <c r="J88" s="4">
        <f t="shared" si="13"/>
        <v>0.5</v>
      </c>
      <c r="K88" s="4">
        <f t="shared" si="14"/>
        <v>0.5</v>
      </c>
      <c r="L88" s="4">
        <f t="shared" si="6"/>
        <v>0</v>
      </c>
      <c r="M88" s="4">
        <f t="shared" si="7"/>
        <v>1.5</v>
      </c>
      <c r="N88" s="4">
        <f t="shared" si="8"/>
        <v>0</v>
      </c>
    </row>
    <row r="89" spans="1:14" x14ac:dyDescent="0.2">
      <c r="A89" t="str">
        <v>d_88</v>
      </c>
      <c r="B89" s="2">
        <v>40659</v>
      </c>
      <c r="C89" s="4">
        <v>0</v>
      </c>
      <c r="D89" s="4">
        <v>1</v>
      </c>
      <c r="E89" s="4">
        <v>2</v>
      </c>
      <c r="F89">
        <f t="shared" si="9"/>
        <v>0</v>
      </c>
      <c r="G89">
        <f t="shared" si="10"/>
        <v>2</v>
      </c>
      <c r="H89" s="4">
        <f t="shared" si="11"/>
        <v>1</v>
      </c>
      <c r="I89" s="4">
        <f t="shared" si="12"/>
        <v>0.5</v>
      </c>
      <c r="J89" s="4">
        <f t="shared" si="13"/>
        <v>0.5</v>
      </c>
      <c r="K89" s="4">
        <f t="shared" si="14"/>
        <v>0.5</v>
      </c>
      <c r="L89" s="4">
        <f t="shared" si="6"/>
        <v>0.5</v>
      </c>
      <c r="M89" s="4">
        <f t="shared" si="7"/>
        <v>0.5</v>
      </c>
      <c r="N89" s="4">
        <f t="shared" si="8"/>
        <v>1</v>
      </c>
    </row>
    <row r="90" spans="1:14" x14ac:dyDescent="0.2">
      <c r="A90" t="str">
        <v>d_89</v>
      </c>
      <c r="B90" s="2">
        <v>40660</v>
      </c>
      <c r="C90" s="4">
        <v>0</v>
      </c>
      <c r="D90" s="4">
        <v>1</v>
      </c>
      <c r="E90" s="4">
        <v>0</v>
      </c>
      <c r="F90">
        <f t="shared" si="9"/>
        <v>0</v>
      </c>
      <c r="G90">
        <f t="shared" si="10"/>
        <v>0.5</v>
      </c>
      <c r="H90" s="4">
        <f t="shared" si="11"/>
        <v>1.5</v>
      </c>
      <c r="I90" s="4">
        <f t="shared" si="12"/>
        <v>0.5</v>
      </c>
      <c r="J90" s="4">
        <f t="shared" si="13"/>
        <v>0.5</v>
      </c>
      <c r="K90" s="4">
        <f t="shared" si="14"/>
        <v>1</v>
      </c>
      <c r="L90" s="4">
        <f t="shared" si="6"/>
        <v>0</v>
      </c>
      <c r="M90" s="4">
        <f t="shared" si="7"/>
        <v>0.5</v>
      </c>
      <c r="N90" s="4">
        <f t="shared" si="8"/>
        <v>1</v>
      </c>
    </row>
    <row r="91" spans="1:14" x14ac:dyDescent="0.2">
      <c r="A91" t="str">
        <v>d_90</v>
      </c>
      <c r="B91" s="2">
        <v>40661</v>
      </c>
      <c r="C91" s="4">
        <v>0</v>
      </c>
      <c r="D91" s="4">
        <v>1</v>
      </c>
      <c r="E91" s="4">
        <v>2</v>
      </c>
      <c r="F91">
        <f t="shared" si="9"/>
        <v>0</v>
      </c>
      <c r="G91">
        <f t="shared" si="10"/>
        <v>1</v>
      </c>
      <c r="H91" s="4">
        <f t="shared" si="11"/>
        <v>1.5</v>
      </c>
      <c r="I91" s="4">
        <f t="shared" si="12"/>
        <v>0</v>
      </c>
      <c r="J91" s="4">
        <f t="shared" si="13"/>
        <v>0.5</v>
      </c>
      <c r="K91" s="4">
        <f t="shared" si="14"/>
        <v>0</v>
      </c>
      <c r="L91" s="4">
        <f t="shared" si="6"/>
        <v>0</v>
      </c>
      <c r="M91" s="4">
        <f t="shared" si="7"/>
        <v>0.5</v>
      </c>
      <c r="N91" s="4">
        <f t="shared" si="8"/>
        <v>1</v>
      </c>
    </row>
    <row r="92" spans="1:14" x14ac:dyDescent="0.2">
      <c r="A92" t="str">
        <v>d_91</v>
      </c>
      <c r="B92" s="2">
        <v>40662</v>
      </c>
      <c r="C92" s="4">
        <v>0</v>
      </c>
      <c r="D92" s="4">
        <v>1</v>
      </c>
      <c r="E92" s="4">
        <v>1</v>
      </c>
      <c r="F92">
        <f t="shared" si="9"/>
        <v>0.5</v>
      </c>
      <c r="G92">
        <f t="shared" si="10"/>
        <v>0.5</v>
      </c>
      <c r="H92" s="4">
        <f t="shared" si="11"/>
        <v>0.5</v>
      </c>
      <c r="I92" s="4">
        <f t="shared" si="12"/>
        <v>1</v>
      </c>
      <c r="J92" s="4">
        <f t="shared" si="13"/>
        <v>2.5</v>
      </c>
      <c r="K92" s="4">
        <f t="shared" si="14"/>
        <v>2.5</v>
      </c>
      <c r="L92" s="4">
        <f t="shared" si="6"/>
        <v>0</v>
      </c>
      <c r="M92" s="4">
        <f t="shared" si="7"/>
        <v>0.5</v>
      </c>
      <c r="N92" s="4">
        <f t="shared" si="8"/>
        <v>2</v>
      </c>
    </row>
    <row r="93" spans="1:14" x14ac:dyDescent="0.2">
      <c r="A93" t="str">
        <v>d_92</v>
      </c>
      <c r="B93" s="2">
        <v>40663</v>
      </c>
      <c r="C93" s="4">
        <v>3</v>
      </c>
      <c r="D93" s="4">
        <v>3</v>
      </c>
      <c r="E93" s="4">
        <v>1</v>
      </c>
      <c r="F93">
        <f t="shared" si="9"/>
        <v>1.5</v>
      </c>
      <c r="G93">
        <f t="shared" si="10"/>
        <v>2</v>
      </c>
      <c r="H93" s="4">
        <f t="shared" si="11"/>
        <v>0.5</v>
      </c>
      <c r="I93" s="4">
        <f t="shared" si="12"/>
        <v>0.5</v>
      </c>
      <c r="J93" s="4">
        <f t="shared" si="13"/>
        <v>0.5</v>
      </c>
      <c r="K93" s="4">
        <f t="shared" si="14"/>
        <v>1.5</v>
      </c>
      <c r="L93" s="4">
        <f t="shared" si="6"/>
        <v>0</v>
      </c>
      <c r="M93" s="4">
        <f t="shared" si="7"/>
        <v>0.5</v>
      </c>
      <c r="N93" s="4">
        <f t="shared" si="8"/>
        <v>1</v>
      </c>
    </row>
    <row r="94" spans="1:14" x14ac:dyDescent="0.2">
      <c r="A94" t="str">
        <v>d_93</v>
      </c>
      <c r="B94" s="2">
        <v>40664</v>
      </c>
      <c r="C94" s="4">
        <v>2</v>
      </c>
      <c r="D94" s="4">
        <v>0</v>
      </c>
      <c r="E94" s="4">
        <v>1</v>
      </c>
      <c r="F94">
        <f t="shared" si="9"/>
        <v>1</v>
      </c>
      <c r="G94">
        <f t="shared" si="10"/>
        <v>0.5</v>
      </c>
      <c r="H94" s="4">
        <f t="shared" si="11"/>
        <v>0.5</v>
      </c>
      <c r="I94" s="4">
        <f t="shared" si="12"/>
        <v>2.5</v>
      </c>
      <c r="J94" s="4">
        <f t="shared" si="13"/>
        <v>1.5</v>
      </c>
      <c r="K94" s="4">
        <f t="shared" si="14"/>
        <v>1.5</v>
      </c>
      <c r="L94" s="4">
        <f t="shared" si="6"/>
        <v>1.5</v>
      </c>
      <c r="M94" s="4">
        <f t="shared" si="7"/>
        <v>2</v>
      </c>
      <c r="N94" s="4">
        <f t="shared" si="8"/>
        <v>0.5</v>
      </c>
    </row>
    <row r="95" spans="1:14" x14ac:dyDescent="0.2">
      <c r="A95" t="str">
        <v>d_94</v>
      </c>
      <c r="B95" s="2">
        <v>40665</v>
      </c>
      <c r="C95" s="4">
        <v>7</v>
      </c>
      <c r="D95" s="4">
        <v>2</v>
      </c>
      <c r="E95" s="4">
        <v>3</v>
      </c>
      <c r="F95">
        <f t="shared" si="9"/>
        <v>3.5</v>
      </c>
      <c r="G95">
        <f t="shared" si="10"/>
        <v>1.5</v>
      </c>
      <c r="H95" s="4">
        <f t="shared" si="11"/>
        <v>2.5</v>
      </c>
      <c r="I95" s="4">
        <f t="shared" si="12"/>
        <v>1</v>
      </c>
      <c r="J95" s="4">
        <f t="shared" si="13"/>
        <v>0</v>
      </c>
      <c r="K95" s="4">
        <f t="shared" si="14"/>
        <v>0.5</v>
      </c>
      <c r="L95" s="4">
        <f t="shared" ref="L95:L158" si="15">AVERAGE(C67,C94)</f>
        <v>3</v>
      </c>
      <c r="M95" s="4">
        <f t="shared" ref="M95:M158" si="16">AVERAGE(D67,D94)</f>
        <v>0</v>
      </c>
      <c r="N95" s="4">
        <f t="shared" ref="N95:N158" si="17">AVERAGE(E67,E94)</f>
        <v>1</v>
      </c>
    </row>
    <row r="96" spans="1:14" x14ac:dyDescent="0.2">
      <c r="A96" t="str">
        <v>d_95</v>
      </c>
      <c r="B96" s="2">
        <v>40666</v>
      </c>
      <c r="C96" s="4">
        <v>1</v>
      </c>
      <c r="D96" s="4">
        <v>1</v>
      </c>
      <c r="E96" s="4">
        <v>4</v>
      </c>
      <c r="F96">
        <f t="shared" si="9"/>
        <v>0.5</v>
      </c>
      <c r="G96">
        <f t="shared" si="10"/>
        <v>1</v>
      </c>
      <c r="H96" s="4">
        <f t="shared" si="11"/>
        <v>2</v>
      </c>
      <c r="I96" s="4">
        <f t="shared" si="12"/>
        <v>4.5</v>
      </c>
      <c r="J96" s="4">
        <f t="shared" si="13"/>
        <v>1</v>
      </c>
      <c r="K96" s="4">
        <f t="shared" si="14"/>
        <v>2</v>
      </c>
      <c r="L96" s="4">
        <f t="shared" si="15"/>
        <v>3.5</v>
      </c>
      <c r="M96" s="4">
        <f t="shared" si="16"/>
        <v>1</v>
      </c>
      <c r="N96" s="4">
        <f t="shared" si="17"/>
        <v>1.5</v>
      </c>
    </row>
    <row r="97" spans="1:14" x14ac:dyDescent="0.2">
      <c r="A97" t="str">
        <v>d_96</v>
      </c>
      <c r="B97" s="2">
        <v>40667</v>
      </c>
      <c r="C97" s="4">
        <v>0</v>
      </c>
      <c r="D97" s="4">
        <v>1</v>
      </c>
      <c r="E97" s="4">
        <v>0</v>
      </c>
      <c r="F97">
        <f t="shared" si="9"/>
        <v>0</v>
      </c>
      <c r="G97">
        <f t="shared" si="10"/>
        <v>1</v>
      </c>
      <c r="H97" s="4">
        <f t="shared" si="11"/>
        <v>1</v>
      </c>
      <c r="I97" s="4">
        <f t="shared" si="12"/>
        <v>0.5</v>
      </c>
      <c r="J97" s="4">
        <f t="shared" si="13"/>
        <v>2</v>
      </c>
      <c r="K97" s="4">
        <f t="shared" si="14"/>
        <v>2</v>
      </c>
      <c r="L97" s="4">
        <f t="shared" si="15"/>
        <v>1</v>
      </c>
      <c r="M97" s="4">
        <f t="shared" si="16"/>
        <v>1.5</v>
      </c>
      <c r="N97" s="4">
        <f t="shared" si="17"/>
        <v>2</v>
      </c>
    </row>
    <row r="98" spans="1:14" x14ac:dyDescent="0.2">
      <c r="A98" t="str">
        <v>d_97</v>
      </c>
      <c r="B98" s="2">
        <v>40668</v>
      </c>
      <c r="C98" s="4">
        <v>0</v>
      </c>
      <c r="D98" s="4">
        <v>0</v>
      </c>
      <c r="E98" s="4">
        <v>3</v>
      </c>
      <c r="F98">
        <f t="shared" si="9"/>
        <v>0</v>
      </c>
      <c r="G98">
        <f t="shared" si="10"/>
        <v>0.5</v>
      </c>
      <c r="H98" s="4">
        <f t="shared" si="11"/>
        <v>2</v>
      </c>
      <c r="I98" s="4">
        <f t="shared" si="12"/>
        <v>0</v>
      </c>
      <c r="J98" s="4">
        <f t="shared" si="13"/>
        <v>0.5</v>
      </c>
      <c r="K98" s="4">
        <f t="shared" si="14"/>
        <v>1.5</v>
      </c>
      <c r="L98" s="4">
        <f t="shared" si="15"/>
        <v>0</v>
      </c>
      <c r="M98" s="4">
        <f t="shared" si="16"/>
        <v>0.5</v>
      </c>
      <c r="N98" s="4">
        <f t="shared" si="17"/>
        <v>0</v>
      </c>
    </row>
    <row r="99" spans="1:14" x14ac:dyDescent="0.2">
      <c r="A99" t="str">
        <v>d_98</v>
      </c>
      <c r="B99" s="2">
        <v>40669</v>
      </c>
      <c r="C99" s="4">
        <v>9</v>
      </c>
      <c r="D99" s="4">
        <v>1</v>
      </c>
      <c r="E99" s="4">
        <v>7</v>
      </c>
      <c r="F99">
        <f t="shared" si="9"/>
        <v>6</v>
      </c>
      <c r="G99">
        <f t="shared" si="10"/>
        <v>2</v>
      </c>
      <c r="H99" s="4">
        <f t="shared" si="11"/>
        <v>4</v>
      </c>
      <c r="I99" s="4">
        <f t="shared" si="12"/>
        <v>0</v>
      </c>
      <c r="J99" s="4">
        <f t="shared" si="13"/>
        <v>0.5</v>
      </c>
      <c r="K99" s="4">
        <f t="shared" si="14"/>
        <v>2</v>
      </c>
      <c r="L99" s="4">
        <f t="shared" si="15"/>
        <v>0.5</v>
      </c>
      <c r="M99" s="4">
        <f t="shared" si="16"/>
        <v>0</v>
      </c>
      <c r="N99" s="4">
        <f t="shared" si="17"/>
        <v>1.5</v>
      </c>
    </row>
    <row r="100" spans="1:14" x14ac:dyDescent="0.2">
      <c r="A100" t="str">
        <v>d_99</v>
      </c>
      <c r="B100" s="2">
        <v>40670</v>
      </c>
      <c r="C100" s="4">
        <v>0</v>
      </c>
      <c r="D100" s="4">
        <v>3</v>
      </c>
      <c r="E100" s="4">
        <v>2</v>
      </c>
      <c r="F100">
        <f t="shared" si="9"/>
        <v>1</v>
      </c>
      <c r="G100">
        <f t="shared" si="10"/>
        <v>1.5</v>
      </c>
      <c r="H100" s="4">
        <f t="shared" si="11"/>
        <v>1.5</v>
      </c>
      <c r="I100" s="4">
        <f t="shared" si="12"/>
        <v>5</v>
      </c>
      <c r="J100" s="4">
        <f t="shared" si="13"/>
        <v>0.5</v>
      </c>
      <c r="K100" s="4">
        <f t="shared" si="14"/>
        <v>3.5</v>
      </c>
      <c r="L100" s="4">
        <f t="shared" si="15"/>
        <v>4.5</v>
      </c>
      <c r="M100" s="4">
        <f t="shared" si="16"/>
        <v>1</v>
      </c>
      <c r="N100" s="4">
        <f t="shared" si="17"/>
        <v>4.5</v>
      </c>
    </row>
    <row r="101" spans="1:14" x14ac:dyDescent="0.2">
      <c r="A101" t="str">
        <v>d_100</v>
      </c>
      <c r="B101" s="2">
        <v>40671</v>
      </c>
      <c r="C101" s="4">
        <v>0</v>
      </c>
      <c r="D101" s="4">
        <v>1</v>
      </c>
      <c r="E101" s="4">
        <v>0</v>
      </c>
      <c r="F101">
        <f t="shared" si="9"/>
        <v>3.5</v>
      </c>
      <c r="G101">
        <f t="shared" si="10"/>
        <v>1.5</v>
      </c>
      <c r="H101" s="4">
        <f t="shared" si="11"/>
        <v>1.5</v>
      </c>
      <c r="I101" s="4">
        <f t="shared" si="12"/>
        <v>0</v>
      </c>
      <c r="J101" s="4">
        <f t="shared" si="13"/>
        <v>2</v>
      </c>
      <c r="K101" s="4">
        <f t="shared" si="14"/>
        <v>1</v>
      </c>
      <c r="L101" s="4">
        <f t="shared" si="15"/>
        <v>1</v>
      </c>
      <c r="M101" s="4">
        <f t="shared" si="16"/>
        <v>1.5</v>
      </c>
      <c r="N101" s="4">
        <f t="shared" si="17"/>
        <v>2.5</v>
      </c>
    </row>
    <row r="102" spans="1:14" x14ac:dyDescent="0.2">
      <c r="A102" t="str">
        <v>d_101</v>
      </c>
      <c r="B102" s="2">
        <v>40672</v>
      </c>
      <c r="C102" s="4">
        <v>0</v>
      </c>
      <c r="D102" s="4">
        <v>2</v>
      </c>
      <c r="E102" s="4">
        <v>0</v>
      </c>
      <c r="F102">
        <f t="shared" si="9"/>
        <v>0.5</v>
      </c>
      <c r="G102">
        <f t="shared" si="10"/>
        <v>1.5</v>
      </c>
      <c r="H102" s="4">
        <f t="shared" si="11"/>
        <v>2</v>
      </c>
      <c r="I102" s="4">
        <f t="shared" si="12"/>
        <v>0</v>
      </c>
      <c r="J102" s="4">
        <f t="shared" si="13"/>
        <v>1</v>
      </c>
      <c r="K102" s="4">
        <f t="shared" si="14"/>
        <v>0</v>
      </c>
      <c r="L102" s="4">
        <f t="shared" si="15"/>
        <v>1</v>
      </c>
      <c r="M102" s="4">
        <f t="shared" si="16"/>
        <v>0.5</v>
      </c>
      <c r="N102" s="4">
        <f t="shared" si="17"/>
        <v>0.5</v>
      </c>
    </row>
    <row r="103" spans="1:14" x14ac:dyDescent="0.2">
      <c r="A103" t="str">
        <v>d_102</v>
      </c>
      <c r="B103" s="2">
        <v>40673</v>
      </c>
      <c r="C103" s="4">
        <v>1</v>
      </c>
      <c r="D103" s="4">
        <v>0</v>
      </c>
      <c r="E103" s="4">
        <v>0</v>
      </c>
      <c r="F103">
        <f t="shared" si="9"/>
        <v>0.5</v>
      </c>
      <c r="G103">
        <f t="shared" si="10"/>
        <v>0.5</v>
      </c>
      <c r="H103" s="4">
        <f t="shared" si="11"/>
        <v>0</v>
      </c>
      <c r="I103" s="4">
        <f t="shared" si="12"/>
        <v>0</v>
      </c>
      <c r="J103" s="4">
        <f t="shared" si="13"/>
        <v>1.5</v>
      </c>
      <c r="K103" s="4">
        <f t="shared" si="14"/>
        <v>1</v>
      </c>
      <c r="L103" s="4">
        <f t="shared" si="15"/>
        <v>0.5</v>
      </c>
      <c r="M103" s="4">
        <f t="shared" si="16"/>
        <v>1</v>
      </c>
      <c r="N103" s="4">
        <f t="shared" si="17"/>
        <v>0.5</v>
      </c>
    </row>
    <row r="104" spans="1:14" x14ac:dyDescent="0.2">
      <c r="A104" t="str">
        <v>d_103</v>
      </c>
      <c r="B104" s="2">
        <v>40674</v>
      </c>
      <c r="C104" s="4">
        <v>2</v>
      </c>
      <c r="D104" s="4">
        <v>0</v>
      </c>
      <c r="E104" s="4">
        <v>0</v>
      </c>
      <c r="F104">
        <f t="shared" si="9"/>
        <v>1</v>
      </c>
      <c r="G104">
        <f t="shared" si="10"/>
        <v>0</v>
      </c>
      <c r="H104" s="4">
        <f t="shared" si="11"/>
        <v>1.5</v>
      </c>
      <c r="I104" s="4">
        <f t="shared" si="12"/>
        <v>0.5</v>
      </c>
      <c r="J104" s="4">
        <f t="shared" si="13"/>
        <v>0.5</v>
      </c>
      <c r="K104" s="4">
        <f t="shared" si="14"/>
        <v>0</v>
      </c>
      <c r="L104" s="4">
        <f t="shared" si="15"/>
        <v>1</v>
      </c>
      <c r="M104" s="4">
        <f t="shared" si="16"/>
        <v>0</v>
      </c>
      <c r="N104" s="4">
        <f t="shared" si="17"/>
        <v>0</v>
      </c>
    </row>
    <row r="105" spans="1:14" x14ac:dyDescent="0.2">
      <c r="A105" t="str">
        <v>d_104</v>
      </c>
      <c r="B105" s="2">
        <v>40675</v>
      </c>
      <c r="C105" s="4">
        <v>0</v>
      </c>
      <c r="D105" s="4">
        <v>0</v>
      </c>
      <c r="E105" s="4">
        <v>0</v>
      </c>
      <c r="F105">
        <f t="shared" si="9"/>
        <v>4.5</v>
      </c>
      <c r="G105">
        <f t="shared" si="10"/>
        <v>0.5</v>
      </c>
      <c r="H105" s="4">
        <f t="shared" si="11"/>
        <v>3.5</v>
      </c>
      <c r="I105" s="4">
        <f t="shared" si="12"/>
        <v>1</v>
      </c>
      <c r="J105" s="4">
        <f t="shared" si="13"/>
        <v>0.5</v>
      </c>
      <c r="K105" s="4">
        <f t="shared" si="14"/>
        <v>1</v>
      </c>
      <c r="L105" s="4">
        <f t="shared" si="15"/>
        <v>1</v>
      </c>
      <c r="M105" s="4">
        <f t="shared" si="16"/>
        <v>0</v>
      </c>
      <c r="N105" s="4">
        <f t="shared" si="17"/>
        <v>0</v>
      </c>
    </row>
    <row r="106" spans="1:14" x14ac:dyDescent="0.2">
      <c r="A106" t="str">
        <v>d_105</v>
      </c>
      <c r="B106" s="2">
        <v>40676</v>
      </c>
      <c r="C106" s="4">
        <v>1</v>
      </c>
      <c r="D106" s="4">
        <v>0</v>
      </c>
      <c r="E106" s="4">
        <v>0</v>
      </c>
      <c r="F106">
        <f t="shared" si="9"/>
        <v>0.5</v>
      </c>
      <c r="G106">
        <f t="shared" si="10"/>
        <v>1.5</v>
      </c>
      <c r="H106" s="4">
        <f t="shared" si="11"/>
        <v>1</v>
      </c>
      <c r="I106" s="4">
        <f t="shared" si="12"/>
        <v>0</v>
      </c>
      <c r="J106" s="4">
        <f t="shared" si="13"/>
        <v>0.5</v>
      </c>
      <c r="K106" s="4">
        <f t="shared" si="14"/>
        <v>0.5</v>
      </c>
      <c r="L106" s="4">
        <f t="shared" si="15"/>
        <v>1</v>
      </c>
      <c r="M106" s="4">
        <f t="shared" si="16"/>
        <v>2</v>
      </c>
      <c r="N106" s="4">
        <f t="shared" si="17"/>
        <v>1.5</v>
      </c>
    </row>
    <row r="107" spans="1:14" x14ac:dyDescent="0.2">
      <c r="A107" t="str">
        <v>d_106</v>
      </c>
      <c r="B107" s="2">
        <v>40677</v>
      </c>
      <c r="C107" s="4">
        <v>3</v>
      </c>
      <c r="D107" s="4">
        <v>2</v>
      </c>
      <c r="E107" s="4">
        <v>2</v>
      </c>
      <c r="F107">
        <f t="shared" si="9"/>
        <v>1.5</v>
      </c>
      <c r="G107">
        <f t="shared" si="10"/>
        <v>1.5</v>
      </c>
      <c r="H107" s="4">
        <f t="shared" si="11"/>
        <v>1</v>
      </c>
      <c r="I107" s="4">
        <f t="shared" si="12"/>
        <v>2</v>
      </c>
      <c r="J107" s="4">
        <f t="shared" si="13"/>
        <v>1.5</v>
      </c>
      <c r="K107" s="4">
        <f t="shared" si="14"/>
        <v>0.5</v>
      </c>
      <c r="L107" s="4">
        <f t="shared" si="15"/>
        <v>1</v>
      </c>
      <c r="M107" s="4">
        <f t="shared" si="16"/>
        <v>0</v>
      </c>
      <c r="N107" s="4">
        <f t="shared" si="17"/>
        <v>1</v>
      </c>
    </row>
    <row r="108" spans="1:14" x14ac:dyDescent="0.2">
      <c r="A108" t="str">
        <v>d_107</v>
      </c>
      <c r="B108" s="2">
        <v>40678</v>
      </c>
      <c r="C108" s="4">
        <v>1</v>
      </c>
      <c r="D108" s="4">
        <v>1</v>
      </c>
      <c r="E108" s="4">
        <v>1</v>
      </c>
      <c r="F108">
        <f t="shared" si="9"/>
        <v>0.5</v>
      </c>
      <c r="G108">
        <f t="shared" si="10"/>
        <v>1.5</v>
      </c>
      <c r="H108" s="4">
        <f t="shared" si="11"/>
        <v>0.5</v>
      </c>
      <c r="I108" s="4">
        <f t="shared" si="12"/>
        <v>2.5</v>
      </c>
      <c r="J108" s="4">
        <f t="shared" si="13"/>
        <v>1</v>
      </c>
      <c r="K108" s="4">
        <f t="shared" si="14"/>
        <v>1.5</v>
      </c>
      <c r="L108" s="4">
        <f t="shared" si="15"/>
        <v>2.5</v>
      </c>
      <c r="M108" s="4">
        <f t="shared" si="16"/>
        <v>1</v>
      </c>
      <c r="N108" s="4">
        <f t="shared" si="17"/>
        <v>2</v>
      </c>
    </row>
    <row r="109" spans="1:14" x14ac:dyDescent="0.2">
      <c r="A109" t="str">
        <v>d_108</v>
      </c>
      <c r="B109" s="2">
        <v>40679</v>
      </c>
      <c r="C109" s="4">
        <v>3</v>
      </c>
      <c r="D109" s="4">
        <v>0</v>
      </c>
      <c r="E109" s="4">
        <v>2</v>
      </c>
      <c r="F109">
        <f t="shared" si="9"/>
        <v>2</v>
      </c>
      <c r="G109">
        <f t="shared" si="10"/>
        <v>0</v>
      </c>
      <c r="H109" s="4">
        <f t="shared" si="11"/>
        <v>1</v>
      </c>
      <c r="I109" s="4">
        <f t="shared" si="12"/>
        <v>4</v>
      </c>
      <c r="J109" s="4">
        <f t="shared" si="13"/>
        <v>1.5</v>
      </c>
      <c r="K109" s="4">
        <f t="shared" si="14"/>
        <v>2</v>
      </c>
      <c r="L109" s="4">
        <f t="shared" si="15"/>
        <v>0.5</v>
      </c>
      <c r="M109" s="4">
        <f t="shared" si="16"/>
        <v>0.5</v>
      </c>
      <c r="N109" s="4">
        <f t="shared" si="17"/>
        <v>0.5</v>
      </c>
    </row>
    <row r="110" spans="1:14" x14ac:dyDescent="0.2">
      <c r="A110" t="str">
        <v>d_109</v>
      </c>
      <c r="B110" s="2">
        <v>40680</v>
      </c>
      <c r="C110" s="4">
        <v>0</v>
      </c>
      <c r="D110" s="4">
        <v>0</v>
      </c>
      <c r="E110" s="4">
        <v>4</v>
      </c>
      <c r="F110">
        <f t="shared" si="9"/>
        <v>1</v>
      </c>
      <c r="G110">
        <f t="shared" si="10"/>
        <v>0</v>
      </c>
      <c r="H110" s="4">
        <f t="shared" si="11"/>
        <v>2</v>
      </c>
      <c r="I110" s="4">
        <f t="shared" si="12"/>
        <v>2</v>
      </c>
      <c r="J110" s="4">
        <f t="shared" si="13"/>
        <v>0.5</v>
      </c>
      <c r="K110" s="4">
        <f t="shared" si="14"/>
        <v>3</v>
      </c>
      <c r="L110" s="4">
        <f t="shared" si="15"/>
        <v>2.5</v>
      </c>
      <c r="M110" s="4">
        <f t="shared" si="16"/>
        <v>0</v>
      </c>
      <c r="N110" s="4">
        <f t="shared" si="17"/>
        <v>1.5</v>
      </c>
    </row>
    <row r="111" spans="1:14" x14ac:dyDescent="0.2">
      <c r="A111" t="str">
        <v>d_110</v>
      </c>
      <c r="B111" s="2">
        <v>40681</v>
      </c>
      <c r="C111" s="4">
        <v>0</v>
      </c>
      <c r="D111" s="4">
        <v>1</v>
      </c>
      <c r="E111" s="4">
        <v>0</v>
      </c>
      <c r="F111">
        <f t="shared" si="9"/>
        <v>0</v>
      </c>
      <c r="G111">
        <f t="shared" si="10"/>
        <v>0.5</v>
      </c>
      <c r="H111" s="4">
        <f t="shared" si="11"/>
        <v>0</v>
      </c>
      <c r="I111" s="4">
        <f t="shared" si="12"/>
        <v>0</v>
      </c>
      <c r="J111" s="4">
        <f t="shared" si="13"/>
        <v>0.5</v>
      </c>
      <c r="K111" s="4">
        <f t="shared" si="14"/>
        <v>2</v>
      </c>
      <c r="L111" s="4">
        <f t="shared" si="15"/>
        <v>0</v>
      </c>
      <c r="M111" s="4">
        <f t="shared" si="16"/>
        <v>1.5</v>
      </c>
      <c r="N111" s="4">
        <f t="shared" si="17"/>
        <v>2</v>
      </c>
    </row>
    <row r="112" spans="1:14" x14ac:dyDescent="0.2">
      <c r="A112" t="str">
        <v>d_111</v>
      </c>
      <c r="B112" s="2">
        <v>40682</v>
      </c>
      <c r="C112" s="4">
        <v>1</v>
      </c>
      <c r="D112" s="4">
        <v>0</v>
      </c>
      <c r="E112" s="4">
        <v>1</v>
      </c>
      <c r="F112">
        <f t="shared" si="9"/>
        <v>1</v>
      </c>
      <c r="G112">
        <f t="shared" si="10"/>
        <v>0</v>
      </c>
      <c r="H112" s="4">
        <f t="shared" si="11"/>
        <v>0.5</v>
      </c>
      <c r="I112" s="4">
        <f t="shared" si="12"/>
        <v>0</v>
      </c>
      <c r="J112" s="4">
        <f t="shared" si="13"/>
        <v>0.5</v>
      </c>
      <c r="K112" s="4">
        <f t="shared" si="14"/>
        <v>1.5</v>
      </c>
      <c r="L112" s="4">
        <f t="shared" si="15"/>
        <v>0</v>
      </c>
      <c r="M112" s="4">
        <f t="shared" si="16"/>
        <v>0.5</v>
      </c>
      <c r="N112" s="4">
        <f t="shared" si="17"/>
        <v>1.5</v>
      </c>
    </row>
    <row r="113" spans="1:14" x14ac:dyDescent="0.2">
      <c r="A113" t="str">
        <v>d_112</v>
      </c>
      <c r="B113" s="2">
        <v>40683</v>
      </c>
      <c r="C113" s="4">
        <v>1</v>
      </c>
      <c r="D113" s="4">
        <v>1</v>
      </c>
      <c r="E113" s="4">
        <v>0</v>
      </c>
      <c r="F113">
        <f t="shared" si="9"/>
        <v>2</v>
      </c>
      <c r="G113">
        <f t="shared" si="10"/>
        <v>1.5</v>
      </c>
      <c r="H113" s="4">
        <f t="shared" si="11"/>
        <v>1</v>
      </c>
      <c r="I113" s="4">
        <f t="shared" si="12"/>
        <v>5</v>
      </c>
      <c r="J113" s="4">
        <f t="shared" si="13"/>
        <v>0.5</v>
      </c>
      <c r="K113" s="4">
        <f t="shared" si="14"/>
        <v>4</v>
      </c>
      <c r="L113" s="4">
        <f t="shared" si="15"/>
        <v>0.5</v>
      </c>
      <c r="M113" s="4">
        <f t="shared" si="16"/>
        <v>0.5</v>
      </c>
      <c r="N113" s="4">
        <f t="shared" si="17"/>
        <v>1</v>
      </c>
    </row>
    <row r="114" spans="1:14" x14ac:dyDescent="0.2">
      <c r="A114" t="str">
        <v>d_113</v>
      </c>
      <c r="B114" s="2">
        <v>40684</v>
      </c>
      <c r="C114" s="4">
        <v>1</v>
      </c>
      <c r="D114" s="4">
        <v>0</v>
      </c>
      <c r="E114" s="4">
        <v>3</v>
      </c>
      <c r="F114">
        <f t="shared" si="9"/>
        <v>1</v>
      </c>
      <c r="G114">
        <f t="shared" si="10"/>
        <v>0.5</v>
      </c>
      <c r="H114" s="4">
        <f t="shared" si="11"/>
        <v>2</v>
      </c>
      <c r="I114" s="4">
        <f t="shared" si="12"/>
        <v>0.5</v>
      </c>
      <c r="J114" s="4">
        <f t="shared" si="13"/>
        <v>2</v>
      </c>
      <c r="K114" s="4">
        <f t="shared" si="14"/>
        <v>1</v>
      </c>
      <c r="L114" s="4">
        <f t="shared" si="15"/>
        <v>1</v>
      </c>
      <c r="M114" s="4">
        <f t="shared" si="16"/>
        <v>0.5</v>
      </c>
      <c r="N114" s="4">
        <f t="shared" si="17"/>
        <v>0</v>
      </c>
    </row>
    <row r="115" spans="1:14" x14ac:dyDescent="0.2">
      <c r="A115" t="str">
        <v>d_114</v>
      </c>
      <c r="B115" s="2">
        <v>40685</v>
      </c>
      <c r="C115" s="4">
        <v>3</v>
      </c>
      <c r="D115" s="4">
        <v>3</v>
      </c>
      <c r="E115" s="4">
        <v>0</v>
      </c>
      <c r="F115">
        <f t="shared" si="9"/>
        <v>3</v>
      </c>
      <c r="G115">
        <f t="shared" si="10"/>
        <v>1.5</v>
      </c>
      <c r="H115" s="4">
        <f t="shared" si="11"/>
        <v>1</v>
      </c>
      <c r="I115" s="4">
        <f t="shared" si="12"/>
        <v>0.5</v>
      </c>
      <c r="J115" s="4">
        <f t="shared" si="13"/>
        <v>0.5</v>
      </c>
      <c r="K115" s="4">
        <f t="shared" si="14"/>
        <v>1.5</v>
      </c>
      <c r="L115" s="4">
        <f t="shared" si="15"/>
        <v>0.5</v>
      </c>
      <c r="M115" s="4">
        <f t="shared" si="16"/>
        <v>0.5</v>
      </c>
      <c r="N115" s="4">
        <f t="shared" si="17"/>
        <v>1.5</v>
      </c>
    </row>
    <row r="116" spans="1:14" x14ac:dyDescent="0.2">
      <c r="A116" t="str">
        <v>d_115</v>
      </c>
      <c r="B116" s="2">
        <v>40686</v>
      </c>
      <c r="C116" s="4">
        <v>0</v>
      </c>
      <c r="D116" s="4">
        <v>2</v>
      </c>
      <c r="E116" s="4">
        <v>1</v>
      </c>
      <c r="F116">
        <f t="shared" si="9"/>
        <v>0</v>
      </c>
      <c r="G116">
        <f t="shared" si="10"/>
        <v>1</v>
      </c>
      <c r="H116" s="4">
        <f t="shared" si="11"/>
        <v>2.5</v>
      </c>
      <c r="I116" s="4">
        <f t="shared" si="12"/>
        <v>1.5</v>
      </c>
      <c r="J116" s="4">
        <f t="shared" si="13"/>
        <v>2.5</v>
      </c>
      <c r="K116" s="4">
        <f t="shared" si="14"/>
        <v>0</v>
      </c>
      <c r="L116" s="4">
        <f t="shared" si="15"/>
        <v>1.5</v>
      </c>
      <c r="M116" s="4">
        <f t="shared" si="16"/>
        <v>2</v>
      </c>
      <c r="N116" s="4">
        <f t="shared" si="17"/>
        <v>0</v>
      </c>
    </row>
    <row r="117" spans="1:14" x14ac:dyDescent="0.2">
      <c r="A117" t="str">
        <v>d_116</v>
      </c>
      <c r="B117" s="2">
        <v>40687</v>
      </c>
      <c r="C117" s="4">
        <v>1</v>
      </c>
      <c r="D117" s="4">
        <v>1</v>
      </c>
      <c r="E117" s="4">
        <v>1</v>
      </c>
      <c r="F117">
        <f t="shared" si="9"/>
        <v>0.5</v>
      </c>
      <c r="G117">
        <f t="shared" si="10"/>
        <v>1</v>
      </c>
      <c r="H117" s="4">
        <f t="shared" si="11"/>
        <v>0.5</v>
      </c>
      <c r="I117" s="4">
        <f t="shared" si="12"/>
        <v>0.5</v>
      </c>
      <c r="J117" s="4">
        <f t="shared" si="13"/>
        <v>1</v>
      </c>
      <c r="K117" s="4">
        <f t="shared" si="14"/>
        <v>0.5</v>
      </c>
      <c r="L117" s="4">
        <f t="shared" si="15"/>
        <v>0</v>
      </c>
      <c r="M117" s="4">
        <f t="shared" si="16"/>
        <v>1.5</v>
      </c>
      <c r="N117" s="4">
        <f t="shared" si="17"/>
        <v>1.5</v>
      </c>
    </row>
    <row r="118" spans="1:14" x14ac:dyDescent="0.2">
      <c r="A118" t="str">
        <v>d_117</v>
      </c>
      <c r="B118" s="2">
        <v>40688</v>
      </c>
      <c r="C118" s="4">
        <v>2</v>
      </c>
      <c r="D118" s="4">
        <v>0</v>
      </c>
      <c r="E118" s="4">
        <v>0</v>
      </c>
      <c r="F118">
        <f t="shared" si="9"/>
        <v>1.5</v>
      </c>
      <c r="G118">
        <f t="shared" si="10"/>
        <v>0</v>
      </c>
      <c r="H118" s="4">
        <f t="shared" si="11"/>
        <v>0.5</v>
      </c>
      <c r="I118" s="4">
        <f t="shared" si="12"/>
        <v>1.5</v>
      </c>
      <c r="J118" s="4">
        <f t="shared" si="13"/>
        <v>0.5</v>
      </c>
      <c r="K118" s="4">
        <f t="shared" si="14"/>
        <v>0.5</v>
      </c>
      <c r="L118" s="4">
        <f t="shared" si="15"/>
        <v>0.5</v>
      </c>
      <c r="M118" s="4">
        <f t="shared" si="16"/>
        <v>1</v>
      </c>
      <c r="N118" s="4">
        <f t="shared" si="17"/>
        <v>0.5</v>
      </c>
    </row>
    <row r="119" spans="1:14" x14ac:dyDescent="0.2">
      <c r="A119" t="str">
        <v>d_118</v>
      </c>
      <c r="B119" s="2">
        <v>40689</v>
      </c>
      <c r="C119" s="4">
        <v>0</v>
      </c>
      <c r="D119" s="4">
        <v>3</v>
      </c>
      <c r="E119" s="4">
        <v>0</v>
      </c>
      <c r="F119">
        <f t="shared" si="9"/>
        <v>0.5</v>
      </c>
      <c r="G119">
        <f t="shared" si="10"/>
        <v>2</v>
      </c>
      <c r="H119" s="4">
        <f t="shared" si="11"/>
        <v>0</v>
      </c>
      <c r="I119" s="4">
        <f t="shared" si="12"/>
        <v>1</v>
      </c>
      <c r="J119" s="4">
        <f t="shared" si="13"/>
        <v>0</v>
      </c>
      <c r="K119" s="4">
        <f t="shared" si="14"/>
        <v>0</v>
      </c>
      <c r="L119" s="4">
        <f t="shared" si="15"/>
        <v>1</v>
      </c>
      <c r="M119" s="4">
        <f t="shared" si="16"/>
        <v>0.5</v>
      </c>
      <c r="N119" s="4">
        <f t="shared" si="17"/>
        <v>1</v>
      </c>
    </row>
    <row r="120" spans="1:14" x14ac:dyDescent="0.2">
      <c r="A120" t="str">
        <v>d_119</v>
      </c>
      <c r="B120" s="2">
        <v>40690</v>
      </c>
      <c r="C120" s="4">
        <v>6</v>
      </c>
      <c r="D120" s="4">
        <v>0</v>
      </c>
      <c r="E120" s="4">
        <v>0</v>
      </c>
      <c r="F120">
        <f t="shared" si="9"/>
        <v>3.5</v>
      </c>
      <c r="G120">
        <f t="shared" si="10"/>
        <v>0</v>
      </c>
      <c r="H120" s="4">
        <f t="shared" si="11"/>
        <v>1.5</v>
      </c>
      <c r="I120" s="4">
        <f t="shared" si="12"/>
        <v>0.5</v>
      </c>
      <c r="J120" s="4">
        <f t="shared" si="13"/>
        <v>1.5</v>
      </c>
      <c r="K120" s="4">
        <f t="shared" si="14"/>
        <v>0</v>
      </c>
      <c r="L120" s="4">
        <f t="shared" si="15"/>
        <v>0</v>
      </c>
      <c r="M120" s="4">
        <f t="shared" si="16"/>
        <v>2</v>
      </c>
      <c r="N120" s="4">
        <f t="shared" si="17"/>
        <v>0.5</v>
      </c>
    </row>
    <row r="121" spans="1:14" x14ac:dyDescent="0.2">
      <c r="A121" t="str">
        <v>d_120</v>
      </c>
      <c r="B121" s="2">
        <v>40691</v>
      </c>
      <c r="C121" s="4">
        <v>3</v>
      </c>
      <c r="D121" s="4">
        <v>0</v>
      </c>
      <c r="E121" s="4">
        <v>0</v>
      </c>
      <c r="F121">
        <f t="shared" si="9"/>
        <v>3</v>
      </c>
      <c r="G121">
        <f t="shared" si="10"/>
        <v>1.5</v>
      </c>
      <c r="H121" s="4">
        <f t="shared" si="11"/>
        <v>0</v>
      </c>
      <c r="I121" s="4">
        <f t="shared" si="12"/>
        <v>4.5</v>
      </c>
      <c r="J121" s="4">
        <f t="shared" si="13"/>
        <v>1</v>
      </c>
      <c r="K121" s="4">
        <f t="shared" si="14"/>
        <v>1</v>
      </c>
      <c r="L121" s="4">
        <f t="shared" si="15"/>
        <v>4.5</v>
      </c>
      <c r="M121" s="4">
        <f t="shared" si="16"/>
        <v>1.5</v>
      </c>
      <c r="N121" s="4">
        <f t="shared" si="17"/>
        <v>0.5</v>
      </c>
    </row>
    <row r="122" spans="1:14" x14ac:dyDescent="0.2">
      <c r="A122" t="str">
        <v>d_121</v>
      </c>
      <c r="B122" s="2">
        <v>40692</v>
      </c>
      <c r="C122" s="4">
        <v>1</v>
      </c>
      <c r="D122" s="4">
        <v>0</v>
      </c>
      <c r="E122" s="4">
        <v>1</v>
      </c>
      <c r="F122">
        <f t="shared" si="9"/>
        <v>0.5</v>
      </c>
      <c r="G122">
        <f t="shared" si="10"/>
        <v>1</v>
      </c>
      <c r="H122" s="4">
        <f t="shared" si="11"/>
        <v>1</v>
      </c>
      <c r="I122" s="4">
        <f t="shared" si="12"/>
        <v>2</v>
      </c>
      <c r="J122" s="4">
        <f t="shared" si="13"/>
        <v>0.5</v>
      </c>
      <c r="K122" s="4">
        <f t="shared" si="14"/>
        <v>0.5</v>
      </c>
      <c r="L122" s="4">
        <f t="shared" si="15"/>
        <v>2.5</v>
      </c>
      <c r="M122" s="4">
        <f t="shared" si="16"/>
        <v>0</v>
      </c>
      <c r="N122" s="4">
        <f t="shared" si="17"/>
        <v>0.5</v>
      </c>
    </row>
    <row r="123" spans="1:14" x14ac:dyDescent="0.2">
      <c r="A123" t="str">
        <v>d_122</v>
      </c>
      <c r="B123" s="2">
        <v>40693</v>
      </c>
      <c r="C123" s="4">
        <v>0</v>
      </c>
      <c r="D123" s="4">
        <v>0</v>
      </c>
      <c r="E123" s="4">
        <v>2</v>
      </c>
      <c r="F123">
        <f t="shared" si="9"/>
        <v>0.5</v>
      </c>
      <c r="G123">
        <f t="shared" si="10"/>
        <v>0.5</v>
      </c>
      <c r="H123" s="4">
        <f t="shared" si="11"/>
        <v>1.5</v>
      </c>
      <c r="I123" s="4">
        <f t="shared" si="12"/>
        <v>2</v>
      </c>
      <c r="J123" s="4">
        <f t="shared" si="13"/>
        <v>0</v>
      </c>
      <c r="K123" s="4">
        <f t="shared" si="14"/>
        <v>1.5</v>
      </c>
      <c r="L123" s="4">
        <f t="shared" si="15"/>
        <v>4</v>
      </c>
      <c r="M123" s="4">
        <f t="shared" si="16"/>
        <v>1</v>
      </c>
      <c r="N123" s="4">
        <f t="shared" si="17"/>
        <v>2</v>
      </c>
    </row>
    <row r="124" spans="1:14" x14ac:dyDescent="0.2">
      <c r="A124" t="str">
        <v>d_123</v>
      </c>
      <c r="B124" s="2">
        <v>40694</v>
      </c>
      <c r="C124" s="4">
        <v>1</v>
      </c>
      <c r="D124" s="4">
        <v>0</v>
      </c>
      <c r="E124" s="4">
        <v>0</v>
      </c>
      <c r="F124">
        <f t="shared" si="9"/>
        <v>1.5</v>
      </c>
      <c r="G124">
        <f t="shared" si="10"/>
        <v>0</v>
      </c>
      <c r="H124" s="4">
        <f t="shared" si="11"/>
        <v>0</v>
      </c>
      <c r="I124" s="4">
        <f t="shared" si="12"/>
        <v>0</v>
      </c>
      <c r="J124" s="4">
        <f t="shared" si="13"/>
        <v>0</v>
      </c>
      <c r="K124" s="4">
        <f t="shared" si="14"/>
        <v>3</v>
      </c>
      <c r="L124" s="4">
        <f t="shared" si="15"/>
        <v>0.5</v>
      </c>
      <c r="M124" s="4">
        <f t="shared" si="16"/>
        <v>0.5</v>
      </c>
      <c r="N124" s="4">
        <f t="shared" si="17"/>
        <v>3</v>
      </c>
    </row>
    <row r="125" spans="1:14" x14ac:dyDescent="0.2">
      <c r="A125" t="str">
        <v>d_124</v>
      </c>
      <c r="B125" s="2">
        <v>40695</v>
      </c>
      <c r="C125" s="4">
        <v>0</v>
      </c>
      <c r="D125" s="4">
        <v>1</v>
      </c>
      <c r="E125" s="4">
        <v>0</v>
      </c>
      <c r="F125">
        <f t="shared" si="9"/>
        <v>0</v>
      </c>
      <c r="G125">
        <f t="shared" si="10"/>
        <v>2</v>
      </c>
      <c r="H125" s="4">
        <f t="shared" si="11"/>
        <v>0</v>
      </c>
      <c r="I125" s="4">
        <f t="shared" si="12"/>
        <v>0.5</v>
      </c>
      <c r="J125" s="4">
        <f t="shared" si="13"/>
        <v>0.5</v>
      </c>
      <c r="K125" s="4">
        <f t="shared" si="14"/>
        <v>0</v>
      </c>
      <c r="L125" s="4">
        <f t="shared" si="15"/>
        <v>0.5</v>
      </c>
      <c r="M125" s="4">
        <f t="shared" si="16"/>
        <v>0.5</v>
      </c>
      <c r="N125" s="4">
        <f t="shared" si="17"/>
        <v>0</v>
      </c>
    </row>
    <row r="126" spans="1:14" x14ac:dyDescent="0.2">
      <c r="A126" t="str">
        <v>d_125</v>
      </c>
      <c r="B126" s="2">
        <v>40696</v>
      </c>
      <c r="C126" s="4">
        <v>2</v>
      </c>
      <c r="D126" s="4">
        <v>0</v>
      </c>
      <c r="E126" s="4">
        <v>3</v>
      </c>
      <c r="F126">
        <f t="shared" si="9"/>
        <v>4</v>
      </c>
      <c r="G126">
        <f t="shared" si="10"/>
        <v>0</v>
      </c>
      <c r="H126" s="4">
        <f t="shared" si="11"/>
        <v>1.5</v>
      </c>
      <c r="I126" s="4">
        <f t="shared" si="12"/>
        <v>0.5</v>
      </c>
      <c r="J126" s="4">
        <f t="shared" si="13"/>
        <v>0.5</v>
      </c>
      <c r="K126" s="4">
        <f t="shared" si="14"/>
        <v>0.5</v>
      </c>
      <c r="L126" s="4">
        <f t="shared" si="15"/>
        <v>0</v>
      </c>
      <c r="M126" s="4">
        <f t="shared" si="16"/>
        <v>0.5</v>
      </c>
      <c r="N126" s="4">
        <f t="shared" si="17"/>
        <v>1.5</v>
      </c>
    </row>
    <row r="127" spans="1:14" x14ac:dyDescent="0.2">
      <c r="A127" t="str">
        <v>d_126</v>
      </c>
      <c r="B127" s="2">
        <v>40697</v>
      </c>
      <c r="C127" s="4">
        <v>0</v>
      </c>
      <c r="D127" s="4">
        <v>2</v>
      </c>
      <c r="E127" s="4">
        <v>0</v>
      </c>
      <c r="F127">
        <f t="shared" si="9"/>
        <v>1.5</v>
      </c>
      <c r="G127">
        <f t="shared" si="10"/>
        <v>1</v>
      </c>
      <c r="H127" s="4">
        <f t="shared" si="11"/>
        <v>0</v>
      </c>
      <c r="I127" s="4">
        <f t="shared" si="12"/>
        <v>1.5</v>
      </c>
      <c r="J127" s="4">
        <f t="shared" si="13"/>
        <v>0.5</v>
      </c>
      <c r="K127" s="4">
        <f t="shared" si="14"/>
        <v>1.5</v>
      </c>
      <c r="L127" s="4">
        <f t="shared" si="15"/>
        <v>5.5</v>
      </c>
      <c r="M127" s="4">
        <f t="shared" si="16"/>
        <v>0.5</v>
      </c>
      <c r="N127" s="4">
        <f t="shared" si="17"/>
        <v>5</v>
      </c>
    </row>
    <row r="128" spans="1:14" x14ac:dyDescent="0.2">
      <c r="A128" t="str">
        <v>d_127</v>
      </c>
      <c r="B128" s="2">
        <v>40698</v>
      </c>
      <c r="C128" s="4">
        <v>0</v>
      </c>
      <c r="D128" s="4">
        <v>0</v>
      </c>
      <c r="E128" s="4">
        <v>1</v>
      </c>
      <c r="F128">
        <f t="shared" si="9"/>
        <v>0.5</v>
      </c>
      <c r="G128">
        <f t="shared" si="10"/>
        <v>0</v>
      </c>
      <c r="H128" s="4">
        <f t="shared" si="11"/>
        <v>1</v>
      </c>
      <c r="I128" s="4">
        <f t="shared" si="12"/>
        <v>0.5</v>
      </c>
      <c r="J128" s="4">
        <f t="shared" si="13"/>
        <v>1</v>
      </c>
      <c r="K128" s="4">
        <f t="shared" si="14"/>
        <v>1.5</v>
      </c>
      <c r="L128" s="4">
        <f t="shared" si="15"/>
        <v>0</v>
      </c>
      <c r="M128" s="4">
        <f t="shared" si="16"/>
        <v>2.5</v>
      </c>
      <c r="N128" s="4">
        <f t="shared" si="17"/>
        <v>1</v>
      </c>
    </row>
    <row r="129" spans="1:14" x14ac:dyDescent="0.2">
      <c r="A129" t="str">
        <v>d_128</v>
      </c>
      <c r="B129" s="2">
        <v>40699</v>
      </c>
      <c r="C129" s="4">
        <v>0</v>
      </c>
      <c r="D129" s="4">
        <v>0</v>
      </c>
      <c r="E129" s="4">
        <v>0</v>
      </c>
      <c r="F129">
        <f t="shared" si="9"/>
        <v>0</v>
      </c>
      <c r="G129">
        <f t="shared" si="10"/>
        <v>0</v>
      </c>
      <c r="H129" s="4">
        <f t="shared" si="11"/>
        <v>1</v>
      </c>
      <c r="I129" s="4">
        <f t="shared" si="12"/>
        <v>1.5</v>
      </c>
      <c r="J129" s="4">
        <f t="shared" si="13"/>
        <v>1.5</v>
      </c>
      <c r="K129" s="4">
        <f t="shared" si="14"/>
        <v>0.5</v>
      </c>
      <c r="L129" s="4">
        <f t="shared" si="15"/>
        <v>0</v>
      </c>
      <c r="M129" s="4">
        <f t="shared" si="16"/>
        <v>0.5</v>
      </c>
      <c r="N129" s="4">
        <f t="shared" si="17"/>
        <v>0.5</v>
      </c>
    </row>
    <row r="130" spans="1:14" x14ac:dyDescent="0.2">
      <c r="A130" t="str">
        <v>d_129</v>
      </c>
      <c r="B130" s="2">
        <v>40700</v>
      </c>
      <c r="C130" s="4">
        <v>0</v>
      </c>
      <c r="D130" s="4">
        <v>4</v>
      </c>
      <c r="E130" s="4">
        <v>4</v>
      </c>
      <c r="F130">
        <f t="shared" si="9"/>
        <v>0.5</v>
      </c>
      <c r="G130">
        <f t="shared" si="10"/>
        <v>2</v>
      </c>
      <c r="H130" s="4">
        <f t="shared" si="11"/>
        <v>2</v>
      </c>
      <c r="I130" s="4">
        <f t="shared" si="12"/>
        <v>0</v>
      </c>
      <c r="J130" s="4">
        <f t="shared" si="13"/>
        <v>1</v>
      </c>
      <c r="K130" s="4">
        <f t="shared" si="14"/>
        <v>0.5</v>
      </c>
      <c r="L130" s="4">
        <f t="shared" si="15"/>
        <v>0</v>
      </c>
      <c r="M130" s="4">
        <f t="shared" si="16"/>
        <v>1</v>
      </c>
      <c r="N130" s="4">
        <f t="shared" si="17"/>
        <v>0</v>
      </c>
    </row>
    <row r="131" spans="1:14" x14ac:dyDescent="0.2">
      <c r="A131" t="str">
        <v>d_130</v>
      </c>
      <c r="B131" s="2">
        <v>40701</v>
      </c>
      <c r="C131" s="4">
        <v>0</v>
      </c>
      <c r="D131" s="4">
        <v>2</v>
      </c>
      <c r="E131" s="4">
        <v>0</v>
      </c>
      <c r="F131">
        <f t="shared" si="9"/>
        <v>0</v>
      </c>
      <c r="G131">
        <f t="shared" si="10"/>
        <v>1.5</v>
      </c>
      <c r="H131" s="4">
        <f t="shared" si="11"/>
        <v>0</v>
      </c>
      <c r="I131" s="4">
        <f t="shared" si="12"/>
        <v>0.5</v>
      </c>
      <c r="J131" s="4">
        <f t="shared" si="13"/>
        <v>2.5</v>
      </c>
      <c r="K131" s="4">
        <f t="shared" si="14"/>
        <v>2.5</v>
      </c>
      <c r="L131" s="4">
        <f t="shared" si="15"/>
        <v>0.5</v>
      </c>
      <c r="M131" s="4">
        <f t="shared" si="16"/>
        <v>2</v>
      </c>
      <c r="N131" s="4">
        <f t="shared" si="17"/>
        <v>2</v>
      </c>
    </row>
    <row r="132" spans="1:14" x14ac:dyDescent="0.2">
      <c r="A132" t="str">
        <v>d_131</v>
      </c>
      <c r="B132" s="2">
        <v>40702</v>
      </c>
      <c r="C132" s="4">
        <v>1</v>
      </c>
      <c r="D132" s="4">
        <v>4</v>
      </c>
      <c r="E132" s="4">
        <v>0</v>
      </c>
      <c r="F132">
        <f t="shared" si="9"/>
        <v>1.5</v>
      </c>
      <c r="G132">
        <f t="shared" si="10"/>
        <v>2</v>
      </c>
      <c r="H132" s="4">
        <f t="shared" si="11"/>
        <v>1.5</v>
      </c>
      <c r="I132" s="4">
        <f t="shared" si="12"/>
        <v>1</v>
      </c>
      <c r="J132" s="4">
        <f t="shared" si="13"/>
        <v>1</v>
      </c>
      <c r="K132" s="4">
        <f t="shared" si="14"/>
        <v>0</v>
      </c>
      <c r="L132" s="4">
        <f t="shared" si="15"/>
        <v>1</v>
      </c>
      <c r="M132" s="4">
        <f t="shared" si="16"/>
        <v>1</v>
      </c>
      <c r="N132" s="4">
        <f t="shared" si="17"/>
        <v>0</v>
      </c>
    </row>
    <row r="133" spans="1:14" x14ac:dyDescent="0.2">
      <c r="A133" t="str">
        <v>d_132</v>
      </c>
      <c r="B133" s="2">
        <v>40703</v>
      </c>
      <c r="C133" s="4">
        <v>4</v>
      </c>
      <c r="D133" s="4">
        <v>0</v>
      </c>
      <c r="E133" s="4">
        <v>0</v>
      </c>
      <c r="F133">
        <f t="shared" si="9"/>
        <v>2</v>
      </c>
      <c r="G133">
        <f t="shared" si="10"/>
        <v>1</v>
      </c>
      <c r="H133" s="4">
        <f t="shared" si="11"/>
        <v>0</v>
      </c>
      <c r="I133" s="4">
        <f t="shared" si="12"/>
        <v>0.5</v>
      </c>
      <c r="J133" s="4">
        <f t="shared" si="13"/>
        <v>3.5</v>
      </c>
      <c r="K133" s="4">
        <f t="shared" si="14"/>
        <v>0</v>
      </c>
      <c r="L133" s="4">
        <f t="shared" si="15"/>
        <v>0.5</v>
      </c>
      <c r="M133" s="4">
        <f t="shared" si="16"/>
        <v>2</v>
      </c>
      <c r="N133" s="4">
        <f t="shared" si="17"/>
        <v>0</v>
      </c>
    </row>
    <row r="134" spans="1:14" x14ac:dyDescent="0.2">
      <c r="A134" t="str">
        <v>d_133</v>
      </c>
      <c r="B134" s="2">
        <v>40704</v>
      </c>
      <c r="C134" s="4">
        <v>0</v>
      </c>
      <c r="D134" s="4">
        <v>3</v>
      </c>
      <c r="E134" s="4">
        <v>0</v>
      </c>
      <c r="F134">
        <f t="shared" si="9"/>
        <v>0</v>
      </c>
      <c r="G134">
        <f t="shared" si="10"/>
        <v>1.5</v>
      </c>
      <c r="H134" s="4">
        <f t="shared" si="11"/>
        <v>0.5</v>
      </c>
      <c r="I134" s="4">
        <f t="shared" si="12"/>
        <v>5</v>
      </c>
      <c r="J134" s="4">
        <f t="shared" si="13"/>
        <v>0</v>
      </c>
      <c r="K134" s="4">
        <f t="shared" si="14"/>
        <v>0</v>
      </c>
      <c r="L134" s="4">
        <f t="shared" si="15"/>
        <v>2.5</v>
      </c>
      <c r="M134" s="4">
        <f t="shared" si="16"/>
        <v>0</v>
      </c>
      <c r="N134" s="4">
        <f t="shared" si="17"/>
        <v>0</v>
      </c>
    </row>
    <row r="135" spans="1:14" x14ac:dyDescent="0.2">
      <c r="A135" t="str">
        <v>d_134</v>
      </c>
      <c r="B135" s="2">
        <v>40705</v>
      </c>
      <c r="C135" s="4">
        <v>0</v>
      </c>
      <c r="D135" s="4">
        <v>1</v>
      </c>
      <c r="E135" s="4">
        <v>6</v>
      </c>
      <c r="F135">
        <f t="shared" si="9"/>
        <v>0</v>
      </c>
      <c r="G135">
        <f t="shared" si="10"/>
        <v>0.5</v>
      </c>
      <c r="H135" s="4">
        <f t="shared" si="11"/>
        <v>3</v>
      </c>
      <c r="I135" s="4">
        <f t="shared" si="12"/>
        <v>1.5</v>
      </c>
      <c r="J135" s="4">
        <f t="shared" si="13"/>
        <v>1.5</v>
      </c>
      <c r="K135" s="4">
        <f t="shared" si="14"/>
        <v>0</v>
      </c>
      <c r="L135" s="4">
        <f t="shared" si="15"/>
        <v>1.5</v>
      </c>
      <c r="M135" s="4">
        <f t="shared" si="16"/>
        <v>2.5</v>
      </c>
      <c r="N135" s="4">
        <f t="shared" si="17"/>
        <v>1</v>
      </c>
    </row>
    <row r="136" spans="1:14" x14ac:dyDescent="0.2">
      <c r="A136" t="str">
        <v>d_135</v>
      </c>
      <c r="B136" s="2">
        <v>40706</v>
      </c>
      <c r="C136" s="4">
        <v>3</v>
      </c>
      <c r="D136" s="4">
        <v>1</v>
      </c>
      <c r="E136" s="4">
        <v>4</v>
      </c>
      <c r="F136">
        <f t="shared" si="9"/>
        <v>1.5</v>
      </c>
      <c r="G136">
        <f t="shared" si="10"/>
        <v>2.5</v>
      </c>
      <c r="H136" s="4">
        <f t="shared" si="11"/>
        <v>4</v>
      </c>
      <c r="I136" s="4">
        <f t="shared" si="12"/>
        <v>0.5</v>
      </c>
      <c r="J136" s="4">
        <f t="shared" si="13"/>
        <v>0.5</v>
      </c>
      <c r="K136" s="4">
        <f t="shared" si="14"/>
        <v>3.5</v>
      </c>
      <c r="L136" s="4">
        <f t="shared" si="15"/>
        <v>0.5</v>
      </c>
      <c r="M136" s="4">
        <f t="shared" si="16"/>
        <v>1</v>
      </c>
      <c r="N136" s="4">
        <f t="shared" si="17"/>
        <v>3.5</v>
      </c>
    </row>
    <row r="137" spans="1:14" x14ac:dyDescent="0.2">
      <c r="A137" t="str">
        <v>d_136</v>
      </c>
      <c r="B137" s="2">
        <v>40707</v>
      </c>
      <c r="C137" s="4">
        <v>0</v>
      </c>
      <c r="D137" s="4">
        <v>1</v>
      </c>
      <c r="E137" s="4">
        <v>0</v>
      </c>
      <c r="F137">
        <f t="shared" ref="F137:F200" si="18">AVERAGE(C131,C137)</f>
        <v>0</v>
      </c>
      <c r="G137">
        <f t="shared" ref="G137:G200" si="19">AVERAGE(D131,D137)</f>
        <v>1.5</v>
      </c>
      <c r="H137" s="4">
        <f t="shared" ref="H137:H200" si="20">AVERAGE(E131,E137)</f>
        <v>0</v>
      </c>
      <c r="I137" s="4">
        <f t="shared" si="12"/>
        <v>1.5</v>
      </c>
      <c r="J137" s="4">
        <f t="shared" si="13"/>
        <v>0.5</v>
      </c>
      <c r="K137" s="4">
        <f t="shared" si="14"/>
        <v>3</v>
      </c>
      <c r="L137" s="4">
        <f t="shared" si="15"/>
        <v>3</v>
      </c>
      <c r="M137" s="4">
        <f t="shared" si="16"/>
        <v>0.5</v>
      </c>
      <c r="N137" s="4">
        <f t="shared" si="17"/>
        <v>3</v>
      </c>
    </row>
    <row r="138" spans="1:14" x14ac:dyDescent="0.2">
      <c r="A138" t="str">
        <v>d_137</v>
      </c>
      <c r="B138" s="2">
        <v>40708</v>
      </c>
      <c r="C138" s="4">
        <v>1</v>
      </c>
      <c r="D138" s="4">
        <v>2</v>
      </c>
      <c r="E138" s="4">
        <v>0</v>
      </c>
      <c r="F138">
        <f t="shared" si="18"/>
        <v>1</v>
      </c>
      <c r="G138">
        <f t="shared" si="19"/>
        <v>3</v>
      </c>
      <c r="H138" s="4">
        <f t="shared" si="20"/>
        <v>0</v>
      </c>
      <c r="I138" s="4">
        <f t="shared" si="12"/>
        <v>0.5</v>
      </c>
      <c r="J138" s="4">
        <f t="shared" si="13"/>
        <v>0.5</v>
      </c>
      <c r="K138" s="4">
        <f t="shared" si="14"/>
        <v>0</v>
      </c>
      <c r="L138" s="4">
        <f t="shared" si="15"/>
        <v>0</v>
      </c>
      <c r="M138" s="4">
        <f t="shared" si="16"/>
        <v>0.5</v>
      </c>
      <c r="N138" s="4">
        <f t="shared" si="17"/>
        <v>2</v>
      </c>
    </row>
    <row r="139" spans="1:14" x14ac:dyDescent="0.2">
      <c r="A139" t="str">
        <v>d_138</v>
      </c>
      <c r="B139" s="2">
        <v>40709</v>
      </c>
      <c r="C139" s="4">
        <v>1</v>
      </c>
      <c r="D139" s="4">
        <v>2</v>
      </c>
      <c r="E139" s="4">
        <v>0</v>
      </c>
      <c r="F139">
        <f t="shared" si="18"/>
        <v>2.5</v>
      </c>
      <c r="G139">
        <f t="shared" si="19"/>
        <v>1</v>
      </c>
      <c r="H139" s="4">
        <f t="shared" si="20"/>
        <v>0</v>
      </c>
      <c r="I139" s="4">
        <f t="shared" si="12"/>
        <v>0.5</v>
      </c>
      <c r="J139" s="4">
        <f t="shared" si="13"/>
        <v>1.5</v>
      </c>
      <c r="K139" s="4">
        <f t="shared" si="14"/>
        <v>0</v>
      </c>
      <c r="L139" s="4">
        <f t="shared" si="15"/>
        <v>0.5</v>
      </c>
      <c r="M139" s="4">
        <f t="shared" si="16"/>
        <v>1.5</v>
      </c>
      <c r="N139" s="4">
        <f t="shared" si="17"/>
        <v>0</v>
      </c>
    </row>
    <row r="140" spans="1:14" x14ac:dyDescent="0.2">
      <c r="A140" t="str">
        <v>d_139</v>
      </c>
      <c r="B140" s="2">
        <v>40710</v>
      </c>
      <c r="C140" s="4">
        <v>0</v>
      </c>
      <c r="D140" s="4">
        <v>1</v>
      </c>
      <c r="E140" s="4">
        <v>1</v>
      </c>
      <c r="F140">
        <f t="shared" si="18"/>
        <v>0</v>
      </c>
      <c r="G140">
        <f t="shared" si="19"/>
        <v>2</v>
      </c>
      <c r="H140" s="4">
        <f t="shared" si="20"/>
        <v>0.5</v>
      </c>
      <c r="I140" s="4">
        <f t="shared" si="12"/>
        <v>1.5</v>
      </c>
      <c r="J140" s="4">
        <f t="shared" si="13"/>
        <v>1</v>
      </c>
      <c r="K140" s="4">
        <f t="shared" si="14"/>
        <v>1.5</v>
      </c>
      <c r="L140" s="4">
        <f t="shared" si="15"/>
        <v>1</v>
      </c>
      <c r="M140" s="4">
        <f t="shared" si="16"/>
        <v>1</v>
      </c>
      <c r="N140" s="4">
        <f t="shared" si="17"/>
        <v>0.5</v>
      </c>
    </row>
    <row r="141" spans="1:14" x14ac:dyDescent="0.2">
      <c r="A141" t="str">
        <v>d_140</v>
      </c>
      <c r="B141" s="2">
        <v>40711</v>
      </c>
      <c r="C141" s="4">
        <v>2</v>
      </c>
      <c r="D141" s="4">
        <v>0</v>
      </c>
      <c r="E141" s="4">
        <v>1</v>
      </c>
      <c r="F141">
        <f t="shared" si="18"/>
        <v>1</v>
      </c>
      <c r="G141">
        <f t="shared" si="19"/>
        <v>0.5</v>
      </c>
      <c r="H141" s="4">
        <f t="shared" si="20"/>
        <v>3.5</v>
      </c>
      <c r="I141" s="4">
        <f t="shared" si="12"/>
        <v>0</v>
      </c>
      <c r="J141" s="4">
        <f t="shared" si="13"/>
        <v>1.5</v>
      </c>
      <c r="K141" s="4">
        <f t="shared" si="14"/>
        <v>0.5</v>
      </c>
      <c r="L141" s="4">
        <f t="shared" si="15"/>
        <v>0.5</v>
      </c>
      <c r="M141" s="4">
        <f t="shared" si="16"/>
        <v>1</v>
      </c>
      <c r="N141" s="4">
        <f t="shared" si="17"/>
        <v>0.5</v>
      </c>
    </row>
    <row r="142" spans="1:14" x14ac:dyDescent="0.2">
      <c r="A142" t="str">
        <v>d_141</v>
      </c>
      <c r="B142" s="2">
        <v>40712</v>
      </c>
      <c r="C142" s="4">
        <v>3</v>
      </c>
      <c r="D142" s="4">
        <v>2</v>
      </c>
      <c r="E142" s="4">
        <v>0</v>
      </c>
      <c r="F142">
        <f t="shared" si="18"/>
        <v>3</v>
      </c>
      <c r="G142">
        <f t="shared" si="19"/>
        <v>1.5</v>
      </c>
      <c r="H142" s="4">
        <f t="shared" si="20"/>
        <v>2</v>
      </c>
      <c r="I142" s="4">
        <f t="shared" si="12"/>
        <v>1</v>
      </c>
      <c r="J142" s="4">
        <f t="shared" si="13"/>
        <v>0</v>
      </c>
      <c r="K142" s="4">
        <f t="shared" si="14"/>
        <v>1</v>
      </c>
      <c r="L142" s="4">
        <f t="shared" si="15"/>
        <v>1.5</v>
      </c>
      <c r="M142" s="4">
        <f t="shared" si="16"/>
        <v>0</v>
      </c>
      <c r="N142" s="4">
        <f t="shared" si="17"/>
        <v>2</v>
      </c>
    </row>
    <row r="143" spans="1:14" x14ac:dyDescent="0.2">
      <c r="A143" t="str">
        <v>d_142</v>
      </c>
      <c r="B143" s="2">
        <v>40713</v>
      </c>
      <c r="C143" s="4">
        <v>2</v>
      </c>
      <c r="D143" s="4">
        <v>3</v>
      </c>
      <c r="E143" s="4">
        <v>1</v>
      </c>
      <c r="F143">
        <f t="shared" si="18"/>
        <v>1</v>
      </c>
      <c r="G143">
        <f t="shared" si="19"/>
        <v>2</v>
      </c>
      <c r="H143" s="4">
        <f t="shared" si="20"/>
        <v>0.5</v>
      </c>
      <c r="I143" s="4">
        <f t="shared" si="12"/>
        <v>1.5</v>
      </c>
      <c r="J143" s="4">
        <f t="shared" si="13"/>
        <v>1</v>
      </c>
      <c r="K143" s="4">
        <f t="shared" si="14"/>
        <v>0</v>
      </c>
      <c r="L143" s="4">
        <f t="shared" si="15"/>
        <v>3</v>
      </c>
      <c r="M143" s="4">
        <f t="shared" si="16"/>
        <v>2.5</v>
      </c>
      <c r="N143" s="4">
        <f t="shared" si="17"/>
        <v>0</v>
      </c>
    </row>
    <row r="144" spans="1:14" x14ac:dyDescent="0.2">
      <c r="A144" t="str">
        <v>d_143</v>
      </c>
      <c r="B144" s="2">
        <v>40714</v>
      </c>
      <c r="C144" s="4">
        <v>3</v>
      </c>
      <c r="D144" s="4">
        <v>1</v>
      </c>
      <c r="E144" s="4">
        <v>0</v>
      </c>
      <c r="F144">
        <f t="shared" si="18"/>
        <v>2</v>
      </c>
      <c r="G144">
        <f t="shared" si="19"/>
        <v>1.5</v>
      </c>
      <c r="H144" s="4">
        <f t="shared" si="20"/>
        <v>0</v>
      </c>
      <c r="I144" s="4">
        <f t="shared" si="12"/>
        <v>1</v>
      </c>
      <c r="J144" s="4">
        <f t="shared" si="13"/>
        <v>3.5</v>
      </c>
      <c r="K144" s="4">
        <f t="shared" si="14"/>
        <v>2.5</v>
      </c>
      <c r="L144" s="4">
        <f t="shared" si="15"/>
        <v>1</v>
      </c>
      <c r="M144" s="4">
        <f t="shared" si="16"/>
        <v>2.5</v>
      </c>
      <c r="N144" s="4">
        <f t="shared" si="17"/>
        <v>1</v>
      </c>
    </row>
    <row r="145" spans="1:14" x14ac:dyDescent="0.2">
      <c r="A145" t="str">
        <v>d_144</v>
      </c>
      <c r="B145" s="2">
        <v>40715</v>
      </c>
      <c r="C145" s="4">
        <v>1</v>
      </c>
      <c r="D145" s="4">
        <v>2</v>
      </c>
      <c r="E145" s="4">
        <v>0</v>
      </c>
      <c r="F145">
        <f t="shared" si="18"/>
        <v>1</v>
      </c>
      <c r="G145">
        <f t="shared" si="19"/>
        <v>2</v>
      </c>
      <c r="H145" s="4">
        <f t="shared" si="20"/>
        <v>0</v>
      </c>
      <c r="I145" s="4">
        <f t="shared" ref="I145:I208" si="21">AVERAGE(C131,C144)</f>
        <v>1.5</v>
      </c>
      <c r="J145" s="4">
        <f t="shared" ref="J145:J208" si="22">AVERAGE(D131,D144)</f>
        <v>1.5</v>
      </c>
      <c r="K145" s="4">
        <f t="shared" ref="K145:K208" si="23">AVERAGE(E131,E144)</f>
        <v>0</v>
      </c>
      <c r="L145" s="4">
        <f t="shared" si="15"/>
        <v>2</v>
      </c>
      <c r="M145" s="4">
        <f t="shared" si="16"/>
        <v>1</v>
      </c>
      <c r="N145" s="4">
        <f t="shared" si="17"/>
        <v>0.5</v>
      </c>
    </row>
    <row r="146" spans="1:14" x14ac:dyDescent="0.2">
      <c r="A146" t="str">
        <v>d_145</v>
      </c>
      <c r="B146" s="2">
        <v>40716</v>
      </c>
      <c r="C146" s="4">
        <v>1</v>
      </c>
      <c r="D146" s="4">
        <v>0</v>
      </c>
      <c r="E146" s="4">
        <v>1</v>
      </c>
      <c r="F146">
        <f t="shared" si="18"/>
        <v>0.5</v>
      </c>
      <c r="G146">
        <f t="shared" si="19"/>
        <v>0.5</v>
      </c>
      <c r="H146" s="4">
        <f t="shared" si="20"/>
        <v>1</v>
      </c>
      <c r="I146" s="4">
        <f t="shared" si="21"/>
        <v>1</v>
      </c>
      <c r="J146" s="4">
        <f t="shared" si="22"/>
        <v>3</v>
      </c>
      <c r="K146" s="4">
        <f t="shared" si="23"/>
        <v>0</v>
      </c>
      <c r="L146" s="4">
        <f t="shared" si="15"/>
        <v>1.5</v>
      </c>
      <c r="M146" s="4">
        <f t="shared" si="16"/>
        <v>1</v>
      </c>
      <c r="N146" s="4">
        <f t="shared" si="17"/>
        <v>0</v>
      </c>
    </row>
    <row r="147" spans="1:14" x14ac:dyDescent="0.2">
      <c r="A147" t="str">
        <v>d_146</v>
      </c>
      <c r="B147" s="2">
        <v>40717</v>
      </c>
      <c r="C147" s="4">
        <v>0</v>
      </c>
      <c r="D147" s="4">
        <v>2</v>
      </c>
      <c r="E147" s="4">
        <v>2</v>
      </c>
      <c r="F147">
        <f t="shared" si="18"/>
        <v>1</v>
      </c>
      <c r="G147">
        <f t="shared" si="19"/>
        <v>1</v>
      </c>
      <c r="H147" s="4">
        <f t="shared" si="20"/>
        <v>1.5</v>
      </c>
      <c r="I147" s="4">
        <f t="shared" si="21"/>
        <v>2.5</v>
      </c>
      <c r="J147" s="4">
        <f t="shared" si="22"/>
        <v>0</v>
      </c>
      <c r="K147" s="4">
        <f t="shared" si="23"/>
        <v>0.5</v>
      </c>
      <c r="L147" s="4">
        <f t="shared" si="15"/>
        <v>0.5</v>
      </c>
      <c r="M147" s="4">
        <f t="shared" si="16"/>
        <v>1.5</v>
      </c>
      <c r="N147" s="4">
        <f t="shared" si="17"/>
        <v>0.5</v>
      </c>
    </row>
    <row r="148" spans="1:14" x14ac:dyDescent="0.2">
      <c r="A148" t="str">
        <v>d_147</v>
      </c>
      <c r="B148" s="2">
        <v>40718</v>
      </c>
      <c r="C148" s="4">
        <v>2</v>
      </c>
      <c r="D148" s="4">
        <v>2</v>
      </c>
      <c r="E148" s="4">
        <v>2</v>
      </c>
      <c r="F148">
        <f t="shared" si="18"/>
        <v>2.5</v>
      </c>
      <c r="G148">
        <f t="shared" si="19"/>
        <v>2</v>
      </c>
      <c r="H148" s="4">
        <f t="shared" si="20"/>
        <v>1</v>
      </c>
      <c r="I148" s="4">
        <f t="shared" si="21"/>
        <v>0</v>
      </c>
      <c r="J148" s="4">
        <f t="shared" si="22"/>
        <v>2.5</v>
      </c>
      <c r="K148" s="4">
        <f t="shared" si="23"/>
        <v>1</v>
      </c>
      <c r="L148" s="4">
        <f t="shared" si="15"/>
        <v>3</v>
      </c>
      <c r="M148" s="4">
        <f t="shared" si="16"/>
        <v>1</v>
      </c>
      <c r="N148" s="4">
        <f t="shared" si="17"/>
        <v>1</v>
      </c>
    </row>
    <row r="149" spans="1:14" x14ac:dyDescent="0.2">
      <c r="A149" t="str">
        <v>d_148</v>
      </c>
      <c r="B149" s="2">
        <v>40719</v>
      </c>
      <c r="C149" s="4">
        <v>1</v>
      </c>
      <c r="D149" s="4">
        <v>1</v>
      </c>
      <c r="E149" s="4">
        <v>1</v>
      </c>
      <c r="F149">
        <f t="shared" si="18"/>
        <v>1.5</v>
      </c>
      <c r="G149">
        <f t="shared" si="19"/>
        <v>2</v>
      </c>
      <c r="H149" s="4">
        <f t="shared" si="20"/>
        <v>1</v>
      </c>
      <c r="I149" s="4">
        <f t="shared" si="21"/>
        <v>1</v>
      </c>
      <c r="J149" s="4">
        <f t="shared" si="22"/>
        <v>1.5</v>
      </c>
      <c r="K149" s="4">
        <f t="shared" si="23"/>
        <v>4</v>
      </c>
      <c r="L149" s="4">
        <f t="shared" si="15"/>
        <v>2.5</v>
      </c>
      <c r="M149" s="4">
        <f t="shared" si="16"/>
        <v>1</v>
      </c>
      <c r="N149" s="4">
        <f t="shared" si="17"/>
        <v>1</v>
      </c>
    </row>
    <row r="150" spans="1:14" x14ac:dyDescent="0.2">
      <c r="A150" t="str">
        <v>d_149</v>
      </c>
      <c r="B150" s="2">
        <v>40720</v>
      </c>
      <c r="C150" s="4">
        <v>0</v>
      </c>
      <c r="D150" s="4">
        <v>0</v>
      </c>
      <c r="E150" s="4">
        <v>0</v>
      </c>
      <c r="F150">
        <f t="shared" si="18"/>
        <v>1.5</v>
      </c>
      <c r="G150">
        <f t="shared" si="19"/>
        <v>0.5</v>
      </c>
      <c r="H150" s="4">
        <f t="shared" si="20"/>
        <v>0</v>
      </c>
      <c r="I150" s="4">
        <f t="shared" si="21"/>
        <v>2</v>
      </c>
      <c r="J150" s="4">
        <f t="shared" si="22"/>
        <v>1</v>
      </c>
      <c r="K150" s="4">
        <f t="shared" si="23"/>
        <v>2.5</v>
      </c>
      <c r="L150" s="4">
        <f t="shared" si="15"/>
        <v>1</v>
      </c>
      <c r="M150" s="4">
        <f t="shared" si="16"/>
        <v>0.5</v>
      </c>
      <c r="N150" s="4">
        <f t="shared" si="17"/>
        <v>1</v>
      </c>
    </row>
    <row r="151" spans="1:14" x14ac:dyDescent="0.2">
      <c r="A151" t="str">
        <v>d_150</v>
      </c>
      <c r="B151" s="2">
        <v>40721</v>
      </c>
      <c r="C151" s="4">
        <v>1</v>
      </c>
      <c r="D151" s="4">
        <v>2</v>
      </c>
      <c r="E151" s="4">
        <v>0</v>
      </c>
      <c r="F151">
        <f t="shared" si="18"/>
        <v>1</v>
      </c>
      <c r="G151">
        <f t="shared" si="19"/>
        <v>2</v>
      </c>
      <c r="H151" s="4">
        <f t="shared" si="20"/>
        <v>0</v>
      </c>
      <c r="I151" s="4">
        <f t="shared" si="21"/>
        <v>0</v>
      </c>
      <c r="J151" s="4">
        <f t="shared" si="22"/>
        <v>0.5</v>
      </c>
      <c r="K151" s="4">
        <f t="shared" si="23"/>
        <v>0</v>
      </c>
      <c r="L151" s="4">
        <f t="shared" si="15"/>
        <v>0</v>
      </c>
      <c r="M151" s="4">
        <f t="shared" si="16"/>
        <v>0</v>
      </c>
      <c r="N151" s="4">
        <f t="shared" si="17"/>
        <v>1</v>
      </c>
    </row>
    <row r="152" spans="1:14" x14ac:dyDescent="0.2">
      <c r="A152" t="str">
        <v>d_151</v>
      </c>
      <c r="B152" s="2">
        <v>40722</v>
      </c>
      <c r="C152" s="4">
        <v>0</v>
      </c>
      <c r="D152" s="4">
        <v>1</v>
      </c>
      <c r="E152" s="4">
        <v>1</v>
      </c>
      <c r="F152">
        <f t="shared" si="18"/>
        <v>0.5</v>
      </c>
      <c r="G152">
        <f t="shared" si="19"/>
        <v>0.5</v>
      </c>
      <c r="H152" s="4">
        <f t="shared" si="20"/>
        <v>1</v>
      </c>
      <c r="I152" s="4">
        <f t="shared" si="21"/>
        <v>1</v>
      </c>
      <c r="J152" s="4">
        <f t="shared" si="22"/>
        <v>2</v>
      </c>
      <c r="K152" s="4">
        <f t="shared" si="23"/>
        <v>0</v>
      </c>
      <c r="L152" s="4">
        <f t="shared" si="15"/>
        <v>1</v>
      </c>
      <c r="M152" s="4">
        <f t="shared" si="16"/>
        <v>1</v>
      </c>
      <c r="N152" s="4">
        <f t="shared" si="17"/>
        <v>0</v>
      </c>
    </row>
    <row r="153" spans="1:14" x14ac:dyDescent="0.2">
      <c r="A153" t="str">
        <v>d_152</v>
      </c>
      <c r="B153" s="2">
        <v>40723</v>
      </c>
      <c r="C153" s="4">
        <v>0</v>
      </c>
      <c r="D153" s="4">
        <v>1</v>
      </c>
      <c r="E153" s="4">
        <v>0</v>
      </c>
      <c r="F153">
        <f t="shared" si="18"/>
        <v>0</v>
      </c>
      <c r="G153">
        <f t="shared" si="19"/>
        <v>1.5</v>
      </c>
      <c r="H153" s="4">
        <f t="shared" si="20"/>
        <v>1</v>
      </c>
      <c r="I153" s="4">
        <f t="shared" si="21"/>
        <v>0.5</v>
      </c>
      <c r="J153" s="4">
        <f t="shared" si="22"/>
        <v>1.5</v>
      </c>
      <c r="K153" s="4">
        <f t="shared" si="23"/>
        <v>0.5</v>
      </c>
      <c r="L153" s="4">
        <f t="shared" si="15"/>
        <v>0</v>
      </c>
      <c r="M153" s="4">
        <f t="shared" si="16"/>
        <v>1</v>
      </c>
      <c r="N153" s="4">
        <f t="shared" si="17"/>
        <v>0.5</v>
      </c>
    </row>
    <row r="154" spans="1:14" x14ac:dyDescent="0.2">
      <c r="A154" t="str">
        <v>d_153</v>
      </c>
      <c r="B154" s="2">
        <v>40724</v>
      </c>
      <c r="C154" s="4">
        <v>0</v>
      </c>
      <c r="D154" s="4">
        <v>0</v>
      </c>
      <c r="E154" s="4">
        <v>4</v>
      </c>
      <c r="F154">
        <f t="shared" si="18"/>
        <v>1</v>
      </c>
      <c r="G154">
        <f t="shared" si="19"/>
        <v>1</v>
      </c>
      <c r="H154" s="4">
        <f t="shared" si="20"/>
        <v>3</v>
      </c>
      <c r="I154" s="4">
        <f t="shared" si="21"/>
        <v>0</v>
      </c>
      <c r="J154" s="4">
        <f t="shared" si="22"/>
        <v>1</v>
      </c>
      <c r="K154" s="4">
        <f t="shared" si="23"/>
        <v>0.5</v>
      </c>
      <c r="L154" s="4">
        <f t="shared" si="15"/>
        <v>1</v>
      </c>
      <c r="M154" s="4">
        <f t="shared" si="16"/>
        <v>0.5</v>
      </c>
      <c r="N154" s="4">
        <f t="shared" si="17"/>
        <v>1.5</v>
      </c>
    </row>
    <row r="155" spans="1:14" x14ac:dyDescent="0.2">
      <c r="A155" t="str">
        <v>d_154</v>
      </c>
      <c r="B155" s="2">
        <v>40725</v>
      </c>
      <c r="C155" s="4">
        <v>0</v>
      </c>
      <c r="D155" s="4">
        <v>0</v>
      </c>
      <c r="E155" s="4">
        <v>0</v>
      </c>
      <c r="F155">
        <f t="shared" si="18"/>
        <v>0.5</v>
      </c>
      <c r="G155">
        <f t="shared" si="19"/>
        <v>0.5</v>
      </c>
      <c r="H155" s="4">
        <f t="shared" si="20"/>
        <v>0.5</v>
      </c>
      <c r="I155" s="4">
        <f t="shared" si="21"/>
        <v>1</v>
      </c>
      <c r="J155" s="4">
        <f t="shared" si="22"/>
        <v>0</v>
      </c>
      <c r="K155" s="4">
        <f t="shared" si="23"/>
        <v>2.5</v>
      </c>
      <c r="L155" s="4">
        <f t="shared" si="15"/>
        <v>0</v>
      </c>
      <c r="M155" s="4">
        <f t="shared" si="16"/>
        <v>1</v>
      </c>
      <c r="N155" s="4">
        <f t="shared" si="17"/>
        <v>2</v>
      </c>
    </row>
    <row r="156" spans="1:14" x14ac:dyDescent="0.2">
      <c r="A156" t="str">
        <v>d_155</v>
      </c>
      <c r="B156" s="2">
        <v>40726</v>
      </c>
      <c r="C156" s="4">
        <v>3</v>
      </c>
      <c r="D156" s="4">
        <v>1</v>
      </c>
      <c r="E156" s="4">
        <v>0</v>
      </c>
      <c r="F156">
        <f t="shared" si="18"/>
        <v>1.5</v>
      </c>
      <c r="G156">
        <f t="shared" si="19"/>
        <v>0.5</v>
      </c>
      <c r="H156" s="4">
        <f t="shared" si="20"/>
        <v>0</v>
      </c>
      <c r="I156" s="4">
        <f t="shared" si="21"/>
        <v>1.5</v>
      </c>
      <c r="J156" s="4">
        <f t="shared" si="22"/>
        <v>1</v>
      </c>
      <c r="K156" s="4">
        <f t="shared" si="23"/>
        <v>0</v>
      </c>
      <c r="L156" s="4">
        <f t="shared" si="15"/>
        <v>0</v>
      </c>
      <c r="M156" s="4">
        <f t="shared" si="16"/>
        <v>0</v>
      </c>
      <c r="N156" s="4">
        <f t="shared" si="17"/>
        <v>0.5</v>
      </c>
    </row>
    <row r="157" spans="1:14" x14ac:dyDescent="0.2">
      <c r="A157" t="str">
        <v>d_156</v>
      </c>
      <c r="B157" s="2">
        <v>40727</v>
      </c>
      <c r="C157" s="4">
        <v>0</v>
      </c>
      <c r="D157" s="4">
        <v>0</v>
      </c>
      <c r="E157" s="4">
        <v>0</v>
      </c>
      <c r="F157">
        <f t="shared" si="18"/>
        <v>0.5</v>
      </c>
      <c r="G157">
        <f t="shared" si="19"/>
        <v>1</v>
      </c>
      <c r="H157" s="4">
        <f t="shared" si="20"/>
        <v>0</v>
      </c>
      <c r="I157" s="4">
        <f t="shared" si="21"/>
        <v>2.5</v>
      </c>
      <c r="J157" s="4">
        <f t="shared" si="22"/>
        <v>2</v>
      </c>
      <c r="K157" s="4">
        <f t="shared" si="23"/>
        <v>0.5</v>
      </c>
      <c r="L157" s="4">
        <f t="shared" si="15"/>
        <v>1.5</v>
      </c>
      <c r="M157" s="4">
        <f t="shared" si="16"/>
        <v>0.5</v>
      </c>
      <c r="N157" s="4">
        <f t="shared" si="17"/>
        <v>0</v>
      </c>
    </row>
    <row r="158" spans="1:14" x14ac:dyDescent="0.2">
      <c r="A158" t="str">
        <v>d_157</v>
      </c>
      <c r="B158" s="2">
        <v>40728</v>
      </c>
      <c r="C158" s="4">
        <v>1</v>
      </c>
      <c r="D158" s="4">
        <v>0</v>
      </c>
      <c r="E158" s="4">
        <v>0</v>
      </c>
      <c r="F158">
        <f t="shared" si="18"/>
        <v>0.5</v>
      </c>
      <c r="G158">
        <f t="shared" si="19"/>
        <v>0.5</v>
      </c>
      <c r="H158" s="4">
        <f t="shared" si="20"/>
        <v>0.5</v>
      </c>
      <c r="I158" s="4">
        <f t="shared" si="21"/>
        <v>1.5</v>
      </c>
      <c r="J158" s="4">
        <f t="shared" si="22"/>
        <v>0.5</v>
      </c>
      <c r="K158" s="4">
        <f t="shared" si="23"/>
        <v>0</v>
      </c>
      <c r="L158" s="4">
        <f t="shared" si="15"/>
        <v>0</v>
      </c>
      <c r="M158" s="4">
        <f t="shared" si="16"/>
        <v>2</v>
      </c>
      <c r="N158" s="4">
        <f t="shared" si="17"/>
        <v>2</v>
      </c>
    </row>
    <row r="159" spans="1:14" x14ac:dyDescent="0.2">
      <c r="A159" t="str">
        <v>d_158</v>
      </c>
      <c r="B159" s="2">
        <v>40729</v>
      </c>
      <c r="C159" s="4">
        <v>0</v>
      </c>
      <c r="D159" s="4">
        <v>0</v>
      </c>
      <c r="E159" s="4">
        <v>0</v>
      </c>
      <c r="F159">
        <f t="shared" si="18"/>
        <v>0</v>
      </c>
      <c r="G159">
        <f t="shared" si="19"/>
        <v>0.5</v>
      </c>
      <c r="H159" s="4">
        <f t="shared" si="20"/>
        <v>0</v>
      </c>
      <c r="I159" s="4">
        <f t="shared" si="21"/>
        <v>1</v>
      </c>
      <c r="J159" s="4">
        <f t="shared" si="22"/>
        <v>1</v>
      </c>
      <c r="K159" s="4">
        <f t="shared" si="23"/>
        <v>0</v>
      </c>
      <c r="L159" s="4">
        <f t="shared" ref="L159:L222" si="24">AVERAGE(C131,C158)</f>
        <v>0.5</v>
      </c>
      <c r="M159" s="4">
        <f t="shared" ref="M159:M222" si="25">AVERAGE(D131,D158)</f>
        <v>1</v>
      </c>
      <c r="N159" s="4">
        <f t="shared" ref="N159:N222" si="26">AVERAGE(E131,E158)</f>
        <v>0</v>
      </c>
    </row>
    <row r="160" spans="1:14" x14ac:dyDescent="0.2">
      <c r="A160" t="str">
        <v>d_159</v>
      </c>
      <c r="B160" s="2">
        <v>40730</v>
      </c>
      <c r="C160" s="4">
        <v>1</v>
      </c>
      <c r="D160" s="4">
        <v>0</v>
      </c>
      <c r="E160" s="4">
        <v>1</v>
      </c>
      <c r="F160">
        <f t="shared" si="18"/>
        <v>0.5</v>
      </c>
      <c r="G160">
        <f t="shared" si="19"/>
        <v>0</v>
      </c>
      <c r="H160" s="4">
        <f t="shared" si="20"/>
        <v>2.5</v>
      </c>
      <c r="I160" s="4">
        <f t="shared" si="21"/>
        <v>0.5</v>
      </c>
      <c r="J160" s="4">
        <f t="shared" si="22"/>
        <v>0</v>
      </c>
      <c r="K160" s="4">
        <f t="shared" si="23"/>
        <v>0.5</v>
      </c>
      <c r="L160" s="4">
        <f t="shared" si="24"/>
        <v>0.5</v>
      </c>
      <c r="M160" s="4">
        <f t="shared" si="25"/>
        <v>2</v>
      </c>
      <c r="N160" s="4">
        <f t="shared" si="26"/>
        <v>0</v>
      </c>
    </row>
    <row r="161" spans="1:14" x14ac:dyDescent="0.2">
      <c r="A161" t="str">
        <v>d_160</v>
      </c>
      <c r="B161" s="2">
        <v>40731</v>
      </c>
      <c r="C161" s="4">
        <v>0</v>
      </c>
      <c r="D161" s="4">
        <v>0</v>
      </c>
      <c r="E161" s="4">
        <v>0</v>
      </c>
      <c r="F161">
        <f t="shared" si="18"/>
        <v>0</v>
      </c>
      <c r="G161">
        <f t="shared" si="19"/>
        <v>0</v>
      </c>
      <c r="H161" s="4">
        <f t="shared" si="20"/>
        <v>0</v>
      </c>
      <c r="I161" s="4">
        <f t="shared" si="21"/>
        <v>0.5</v>
      </c>
      <c r="J161" s="4">
        <f t="shared" si="22"/>
        <v>1</v>
      </c>
      <c r="K161" s="4">
        <f t="shared" si="23"/>
        <v>1.5</v>
      </c>
      <c r="L161" s="4">
        <f t="shared" si="24"/>
        <v>2.5</v>
      </c>
      <c r="M161" s="4">
        <f t="shared" si="25"/>
        <v>0</v>
      </c>
      <c r="N161" s="4">
        <f t="shared" si="26"/>
        <v>0.5</v>
      </c>
    </row>
    <row r="162" spans="1:14" x14ac:dyDescent="0.2">
      <c r="A162" t="str">
        <v>d_161</v>
      </c>
      <c r="B162" s="2">
        <v>40732</v>
      </c>
      <c r="C162" s="4">
        <v>1</v>
      </c>
      <c r="D162" s="4">
        <v>0</v>
      </c>
      <c r="E162" s="4">
        <v>0</v>
      </c>
      <c r="F162">
        <f t="shared" si="18"/>
        <v>2</v>
      </c>
      <c r="G162">
        <f t="shared" si="19"/>
        <v>0.5</v>
      </c>
      <c r="H162" s="4">
        <f t="shared" si="20"/>
        <v>0</v>
      </c>
      <c r="I162" s="4">
        <f t="shared" si="21"/>
        <v>1</v>
      </c>
      <c r="J162" s="4">
        <f t="shared" si="22"/>
        <v>1</v>
      </c>
      <c r="K162" s="4">
        <f t="shared" si="23"/>
        <v>1</v>
      </c>
      <c r="L162" s="4">
        <f t="shared" si="24"/>
        <v>0</v>
      </c>
      <c r="M162" s="4">
        <f t="shared" si="25"/>
        <v>1.5</v>
      </c>
      <c r="N162" s="4">
        <f t="shared" si="26"/>
        <v>0</v>
      </c>
    </row>
    <row r="163" spans="1:14" x14ac:dyDescent="0.2">
      <c r="A163" t="str">
        <v>d_162</v>
      </c>
      <c r="B163" s="2">
        <v>40733</v>
      </c>
      <c r="C163" s="4">
        <v>2</v>
      </c>
      <c r="D163" s="4">
        <v>2</v>
      </c>
      <c r="E163" s="4">
        <v>0</v>
      </c>
      <c r="F163">
        <f t="shared" si="18"/>
        <v>1</v>
      </c>
      <c r="G163">
        <f t="shared" si="19"/>
        <v>1</v>
      </c>
      <c r="H163" s="4">
        <f t="shared" si="20"/>
        <v>0</v>
      </c>
      <c r="I163" s="4">
        <f t="shared" si="21"/>
        <v>1</v>
      </c>
      <c r="J163" s="4">
        <f t="shared" si="22"/>
        <v>0.5</v>
      </c>
      <c r="K163" s="4">
        <f t="shared" si="23"/>
        <v>0.5</v>
      </c>
      <c r="L163" s="4">
        <f t="shared" si="24"/>
        <v>0.5</v>
      </c>
      <c r="M163" s="4">
        <f t="shared" si="25"/>
        <v>0.5</v>
      </c>
      <c r="N163" s="4">
        <f t="shared" si="26"/>
        <v>3</v>
      </c>
    </row>
    <row r="164" spans="1:14" x14ac:dyDescent="0.2">
      <c r="A164" t="str">
        <v>d_163</v>
      </c>
      <c r="B164" s="2">
        <v>40734</v>
      </c>
      <c r="C164" s="4">
        <v>0</v>
      </c>
      <c r="D164" s="4">
        <v>2</v>
      </c>
      <c r="E164" s="4">
        <v>1</v>
      </c>
      <c r="F164">
        <f t="shared" si="18"/>
        <v>0.5</v>
      </c>
      <c r="G164">
        <f t="shared" si="19"/>
        <v>1</v>
      </c>
      <c r="H164" s="4">
        <f t="shared" si="20"/>
        <v>0.5</v>
      </c>
      <c r="I164" s="4">
        <f t="shared" si="21"/>
        <v>1</v>
      </c>
      <c r="J164" s="4">
        <f t="shared" si="22"/>
        <v>1</v>
      </c>
      <c r="K164" s="4">
        <f t="shared" si="23"/>
        <v>0</v>
      </c>
      <c r="L164" s="4">
        <f t="shared" si="24"/>
        <v>2.5</v>
      </c>
      <c r="M164" s="4">
        <f t="shared" si="25"/>
        <v>1.5</v>
      </c>
      <c r="N164" s="4">
        <f t="shared" si="26"/>
        <v>2</v>
      </c>
    </row>
    <row r="165" spans="1:14" x14ac:dyDescent="0.2">
      <c r="A165" t="str">
        <v>d_164</v>
      </c>
      <c r="B165" s="2">
        <v>40735</v>
      </c>
      <c r="C165" s="4">
        <v>0</v>
      </c>
      <c r="D165" s="4">
        <v>1</v>
      </c>
      <c r="E165" s="4">
        <v>0</v>
      </c>
      <c r="F165">
        <f t="shared" si="18"/>
        <v>0</v>
      </c>
      <c r="G165">
        <f t="shared" si="19"/>
        <v>0.5</v>
      </c>
      <c r="H165" s="4">
        <f t="shared" si="20"/>
        <v>0</v>
      </c>
      <c r="I165" s="4">
        <f t="shared" si="21"/>
        <v>0.5</v>
      </c>
      <c r="J165" s="4">
        <f t="shared" si="22"/>
        <v>2</v>
      </c>
      <c r="K165" s="4">
        <f t="shared" si="23"/>
        <v>0.5</v>
      </c>
      <c r="L165" s="4">
        <f t="shared" si="24"/>
        <v>0</v>
      </c>
      <c r="M165" s="4">
        <f t="shared" si="25"/>
        <v>1.5</v>
      </c>
      <c r="N165" s="4">
        <f t="shared" si="26"/>
        <v>0.5</v>
      </c>
    </row>
    <row r="166" spans="1:14" x14ac:dyDescent="0.2">
      <c r="A166" t="str">
        <v>d_165</v>
      </c>
      <c r="B166" s="2">
        <v>40736</v>
      </c>
      <c r="C166" s="4">
        <v>4</v>
      </c>
      <c r="D166" s="4">
        <v>1</v>
      </c>
      <c r="E166" s="4">
        <v>0</v>
      </c>
      <c r="F166">
        <f t="shared" si="18"/>
        <v>2.5</v>
      </c>
      <c r="G166">
        <f t="shared" si="19"/>
        <v>0.5</v>
      </c>
      <c r="H166" s="4">
        <f t="shared" si="20"/>
        <v>0.5</v>
      </c>
      <c r="I166" s="4">
        <f t="shared" si="21"/>
        <v>0</v>
      </c>
      <c r="J166" s="4">
        <f t="shared" si="22"/>
        <v>1</v>
      </c>
      <c r="K166" s="4">
        <f t="shared" si="23"/>
        <v>0.5</v>
      </c>
      <c r="L166" s="4">
        <f t="shared" si="24"/>
        <v>0.5</v>
      </c>
      <c r="M166" s="4">
        <f t="shared" si="25"/>
        <v>1.5</v>
      </c>
      <c r="N166" s="4">
        <f t="shared" si="26"/>
        <v>0</v>
      </c>
    </row>
    <row r="167" spans="1:14" x14ac:dyDescent="0.2">
      <c r="A167" t="str">
        <v>d_166</v>
      </c>
      <c r="B167" s="2">
        <v>40737</v>
      </c>
      <c r="C167" s="4">
        <v>0</v>
      </c>
      <c r="D167" s="4">
        <v>1</v>
      </c>
      <c r="E167" s="4">
        <v>1</v>
      </c>
      <c r="F167">
        <f t="shared" si="18"/>
        <v>0</v>
      </c>
      <c r="G167">
        <f t="shared" si="19"/>
        <v>0.5</v>
      </c>
      <c r="H167" s="4">
        <f t="shared" si="20"/>
        <v>0.5</v>
      </c>
      <c r="I167" s="4">
        <f t="shared" si="21"/>
        <v>2</v>
      </c>
      <c r="J167" s="4">
        <f t="shared" si="22"/>
        <v>1</v>
      </c>
      <c r="K167" s="4">
        <f t="shared" si="23"/>
        <v>0</v>
      </c>
      <c r="L167" s="4">
        <f t="shared" si="24"/>
        <v>2.5</v>
      </c>
      <c r="M167" s="4">
        <f t="shared" si="25"/>
        <v>1.5</v>
      </c>
      <c r="N167" s="4">
        <f t="shared" si="26"/>
        <v>0</v>
      </c>
    </row>
    <row r="168" spans="1:14" x14ac:dyDescent="0.2">
      <c r="A168" t="str">
        <v>d_167</v>
      </c>
      <c r="B168" s="2">
        <v>40738</v>
      </c>
      <c r="C168" s="4">
        <v>1</v>
      </c>
      <c r="D168" s="4">
        <v>4</v>
      </c>
      <c r="E168" s="4">
        <v>0</v>
      </c>
      <c r="F168">
        <f t="shared" si="18"/>
        <v>1</v>
      </c>
      <c r="G168">
        <f t="shared" si="19"/>
        <v>2</v>
      </c>
      <c r="H168" s="4">
        <f t="shared" si="20"/>
        <v>0</v>
      </c>
      <c r="I168" s="4">
        <f t="shared" si="21"/>
        <v>0</v>
      </c>
      <c r="J168" s="4">
        <f t="shared" si="22"/>
        <v>0.5</v>
      </c>
      <c r="K168" s="4">
        <f t="shared" si="23"/>
        <v>2.5</v>
      </c>
      <c r="L168" s="4">
        <f t="shared" si="24"/>
        <v>0</v>
      </c>
      <c r="M168" s="4">
        <f t="shared" si="25"/>
        <v>1</v>
      </c>
      <c r="N168" s="4">
        <f t="shared" si="26"/>
        <v>1</v>
      </c>
    </row>
    <row r="169" spans="1:14" x14ac:dyDescent="0.2">
      <c r="A169" t="str">
        <v>d_168</v>
      </c>
      <c r="B169" s="2">
        <v>40739</v>
      </c>
      <c r="C169" s="4">
        <v>1</v>
      </c>
      <c r="D169" s="4">
        <v>0</v>
      </c>
      <c r="E169" s="4">
        <v>0</v>
      </c>
      <c r="F169">
        <f t="shared" si="18"/>
        <v>1.5</v>
      </c>
      <c r="G169">
        <f t="shared" si="19"/>
        <v>1</v>
      </c>
      <c r="H169" s="4">
        <f t="shared" si="20"/>
        <v>0</v>
      </c>
      <c r="I169" s="4">
        <f t="shared" si="21"/>
        <v>0.5</v>
      </c>
      <c r="J169" s="4">
        <f t="shared" si="22"/>
        <v>2</v>
      </c>
      <c r="K169" s="4">
        <f t="shared" si="23"/>
        <v>0</v>
      </c>
      <c r="L169" s="4">
        <f t="shared" si="24"/>
        <v>1.5</v>
      </c>
      <c r="M169" s="4">
        <f t="shared" si="25"/>
        <v>2</v>
      </c>
      <c r="N169" s="4">
        <f t="shared" si="26"/>
        <v>0.5</v>
      </c>
    </row>
    <row r="170" spans="1:14" x14ac:dyDescent="0.2">
      <c r="A170" t="str">
        <v>d_169</v>
      </c>
      <c r="B170" s="2">
        <v>40740</v>
      </c>
      <c r="C170" s="4">
        <v>1</v>
      </c>
      <c r="D170" s="4">
        <v>2</v>
      </c>
      <c r="E170" s="4">
        <v>0</v>
      </c>
      <c r="F170">
        <f t="shared" si="18"/>
        <v>0.5</v>
      </c>
      <c r="G170">
        <f t="shared" si="19"/>
        <v>2</v>
      </c>
      <c r="H170" s="4">
        <f t="shared" si="20"/>
        <v>0.5</v>
      </c>
      <c r="I170" s="4">
        <f t="shared" si="21"/>
        <v>2</v>
      </c>
      <c r="J170" s="4">
        <f t="shared" si="22"/>
        <v>0.5</v>
      </c>
      <c r="K170" s="4">
        <f t="shared" si="23"/>
        <v>0</v>
      </c>
      <c r="L170" s="4">
        <f t="shared" si="24"/>
        <v>2</v>
      </c>
      <c r="M170" s="4">
        <f t="shared" si="25"/>
        <v>1</v>
      </c>
      <c r="N170" s="4">
        <f t="shared" si="26"/>
        <v>0</v>
      </c>
    </row>
    <row r="171" spans="1:14" x14ac:dyDescent="0.2">
      <c r="A171" t="str">
        <v>d_170</v>
      </c>
      <c r="B171" s="2">
        <v>40741</v>
      </c>
      <c r="C171" s="4">
        <v>1</v>
      </c>
      <c r="D171" s="4">
        <v>1</v>
      </c>
      <c r="E171" s="4">
        <v>2</v>
      </c>
      <c r="F171">
        <f t="shared" si="18"/>
        <v>0.5</v>
      </c>
      <c r="G171">
        <f t="shared" si="19"/>
        <v>1</v>
      </c>
      <c r="H171" s="4">
        <f t="shared" si="20"/>
        <v>1</v>
      </c>
      <c r="I171" s="4">
        <f t="shared" si="21"/>
        <v>0.5</v>
      </c>
      <c r="J171" s="4">
        <f t="shared" si="22"/>
        <v>1</v>
      </c>
      <c r="K171" s="4">
        <f t="shared" si="23"/>
        <v>0</v>
      </c>
      <c r="L171" s="4">
        <f t="shared" si="24"/>
        <v>1.5</v>
      </c>
      <c r="M171" s="4">
        <f t="shared" si="25"/>
        <v>2.5</v>
      </c>
      <c r="N171" s="4">
        <f t="shared" si="26"/>
        <v>0.5</v>
      </c>
    </row>
    <row r="172" spans="1:14" x14ac:dyDescent="0.2">
      <c r="A172" t="str">
        <v>d_171</v>
      </c>
      <c r="B172" s="2">
        <v>40742</v>
      </c>
      <c r="C172" s="4">
        <v>1</v>
      </c>
      <c r="D172" s="4">
        <v>0</v>
      </c>
      <c r="E172" s="4">
        <v>2</v>
      </c>
      <c r="F172">
        <f t="shared" si="18"/>
        <v>2.5</v>
      </c>
      <c r="G172">
        <f t="shared" si="19"/>
        <v>0.5</v>
      </c>
      <c r="H172" s="4">
        <f t="shared" si="20"/>
        <v>1</v>
      </c>
      <c r="I172" s="4">
        <f t="shared" si="21"/>
        <v>1</v>
      </c>
      <c r="J172" s="4">
        <f t="shared" si="22"/>
        <v>0.5</v>
      </c>
      <c r="K172" s="4">
        <f t="shared" si="23"/>
        <v>1</v>
      </c>
      <c r="L172" s="4">
        <f t="shared" si="24"/>
        <v>2</v>
      </c>
      <c r="M172" s="4">
        <f t="shared" si="25"/>
        <v>1</v>
      </c>
      <c r="N172" s="4">
        <f t="shared" si="26"/>
        <v>1</v>
      </c>
    </row>
    <row r="173" spans="1:14" x14ac:dyDescent="0.2">
      <c r="A173" t="str">
        <v>d_172</v>
      </c>
      <c r="B173" s="2">
        <v>40743</v>
      </c>
      <c r="C173" s="4">
        <v>1</v>
      </c>
      <c r="D173" s="4">
        <v>2</v>
      </c>
      <c r="E173" s="4">
        <v>1</v>
      </c>
      <c r="F173">
        <f t="shared" si="18"/>
        <v>0.5</v>
      </c>
      <c r="G173">
        <f t="shared" si="19"/>
        <v>1.5</v>
      </c>
      <c r="H173" s="4">
        <f t="shared" si="20"/>
        <v>1</v>
      </c>
      <c r="I173" s="4">
        <f t="shared" si="21"/>
        <v>0.5</v>
      </c>
      <c r="J173" s="4">
        <f t="shared" si="22"/>
        <v>0</v>
      </c>
      <c r="K173" s="4">
        <f t="shared" si="23"/>
        <v>1</v>
      </c>
      <c r="L173" s="4">
        <f t="shared" si="24"/>
        <v>1</v>
      </c>
      <c r="M173" s="4">
        <f t="shared" si="25"/>
        <v>1</v>
      </c>
      <c r="N173" s="4">
        <f t="shared" si="26"/>
        <v>1</v>
      </c>
    </row>
    <row r="174" spans="1:14" x14ac:dyDescent="0.2">
      <c r="A174" t="str">
        <v>d_173</v>
      </c>
      <c r="B174" s="2">
        <v>40744</v>
      </c>
      <c r="C174" s="4">
        <v>1</v>
      </c>
      <c r="D174" s="4">
        <v>1</v>
      </c>
      <c r="E174" s="4">
        <v>0</v>
      </c>
      <c r="F174">
        <f t="shared" si="18"/>
        <v>1</v>
      </c>
      <c r="G174">
        <f t="shared" si="19"/>
        <v>2.5</v>
      </c>
      <c r="H174" s="4">
        <f t="shared" si="20"/>
        <v>0</v>
      </c>
      <c r="I174" s="4">
        <f t="shared" si="21"/>
        <v>1</v>
      </c>
      <c r="J174" s="4">
        <f t="shared" si="22"/>
        <v>1</v>
      </c>
      <c r="K174" s="4">
        <f t="shared" si="23"/>
        <v>1</v>
      </c>
      <c r="L174" s="4">
        <f t="shared" si="24"/>
        <v>1</v>
      </c>
      <c r="M174" s="4">
        <f t="shared" si="25"/>
        <v>1</v>
      </c>
      <c r="N174" s="4">
        <f t="shared" si="26"/>
        <v>1</v>
      </c>
    </row>
    <row r="175" spans="1:14" x14ac:dyDescent="0.2">
      <c r="A175" t="str">
        <v>d_174</v>
      </c>
      <c r="B175" s="2">
        <v>40745</v>
      </c>
      <c r="C175" s="4">
        <v>2</v>
      </c>
      <c r="D175" s="4">
        <v>1</v>
      </c>
      <c r="E175" s="4">
        <v>0</v>
      </c>
      <c r="F175">
        <f t="shared" si="18"/>
        <v>1.5</v>
      </c>
      <c r="G175">
        <f t="shared" si="19"/>
        <v>0.5</v>
      </c>
      <c r="H175" s="4">
        <f t="shared" si="20"/>
        <v>0</v>
      </c>
      <c r="I175" s="4">
        <f t="shared" si="21"/>
        <v>0.5</v>
      </c>
      <c r="J175" s="4">
        <f t="shared" si="22"/>
        <v>0.5</v>
      </c>
      <c r="K175" s="4">
        <f t="shared" si="23"/>
        <v>0</v>
      </c>
      <c r="L175" s="4">
        <f t="shared" si="24"/>
        <v>0.5</v>
      </c>
      <c r="M175" s="4">
        <f t="shared" si="25"/>
        <v>1.5</v>
      </c>
      <c r="N175" s="4">
        <f t="shared" si="26"/>
        <v>1</v>
      </c>
    </row>
    <row r="176" spans="1:14" x14ac:dyDescent="0.2">
      <c r="A176" t="str">
        <v>d_175</v>
      </c>
      <c r="B176" s="2">
        <v>40746</v>
      </c>
      <c r="C176" s="4">
        <v>0</v>
      </c>
      <c r="D176" s="4">
        <v>2</v>
      </c>
      <c r="E176" s="4">
        <v>0</v>
      </c>
      <c r="F176">
        <f t="shared" si="18"/>
        <v>0.5</v>
      </c>
      <c r="G176">
        <f t="shared" si="19"/>
        <v>2</v>
      </c>
      <c r="H176" s="4">
        <f t="shared" si="20"/>
        <v>0</v>
      </c>
      <c r="I176" s="4">
        <f t="shared" si="21"/>
        <v>1.5</v>
      </c>
      <c r="J176" s="4">
        <f t="shared" si="22"/>
        <v>0.5</v>
      </c>
      <c r="K176" s="4">
        <f t="shared" si="23"/>
        <v>0</v>
      </c>
      <c r="L176" s="4">
        <f t="shared" si="24"/>
        <v>2</v>
      </c>
      <c r="M176" s="4">
        <f t="shared" si="25"/>
        <v>1.5</v>
      </c>
      <c r="N176" s="4">
        <f t="shared" si="26"/>
        <v>1</v>
      </c>
    </row>
    <row r="177" spans="1:14" x14ac:dyDescent="0.2">
      <c r="A177" t="str">
        <v>d_176</v>
      </c>
      <c r="B177" s="2">
        <v>40747</v>
      </c>
      <c r="C177" s="4">
        <v>2</v>
      </c>
      <c r="D177" s="4">
        <v>0</v>
      </c>
      <c r="E177" s="4">
        <v>0</v>
      </c>
      <c r="F177">
        <f t="shared" si="18"/>
        <v>1.5</v>
      </c>
      <c r="G177">
        <f t="shared" si="19"/>
        <v>0.5</v>
      </c>
      <c r="H177" s="4">
        <f t="shared" si="20"/>
        <v>1</v>
      </c>
      <c r="I177" s="4">
        <f t="shared" si="21"/>
        <v>1</v>
      </c>
      <c r="J177" s="4">
        <f t="shared" si="22"/>
        <v>2</v>
      </c>
      <c r="K177" s="4">
        <f t="shared" si="23"/>
        <v>0</v>
      </c>
      <c r="L177" s="4">
        <f t="shared" si="24"/>
        <v>0.5</v>
      </c>
      <c r="M177" s="4">
        <f t="shared" si="25"/>
        <v>1.5</v>
      </c>
      <c r="N177" s="4">
        <f t="shared" si="26"/>
        <v>0.5</v>
      </c>
    </row>
    <row r="178" spans="1:14" x14ac:dyDescent="0.2">
      <c r="A178" t="str">
        <v>d_177</v>
      </c>
      <c r="B178" s="2">
        <v>40748</v>
      </c>
      <c r="C178" s="4">
        <v>0</v>
      </c>
      <c r="D178" s="4">
        <v>0</v>
      </c>
      <c r="E178" s="4">
        <v>1</v>
      </c>
      <c r="F178">
        <f t="shared" si="18"/>
        <v>0.5</v>
      </c>
      <c r="G178">
        <f t="shared" si="19"/>
        <v>0</v>
      </c>
      <c r="H178" s="4">
        <f t="shared" si="20"/>
        <v>1.5</v>
      </c>
      <c r="I178" s="4">
        <f t="shared" si="21"/>
        <v>1</v>
      </c>
      <c r="J178" s="4">
        <f t="shared" si="22"/>
        <v>1</v>
      </c>
      <c r="K178" s="4">
        <f t="shared" si="23"/>
        <v>0.5</v>
      </c>
      <c r="L178" s="4">
        <f t="shared" si="24"/>
        <v>1</v>
      </c>
      <c r="M178" s="4">
        <f t="shared" si="25"/>
        <v>0</v>
      </c>
      <c r="N178" s="4">
        <f t="shared" si="26"/>
        <v>0</v>
      </c>
    </row>
    <row r="179" spans="1:14" x14ac:dyDescent="0.2">
      <c r="A179" t="str">
        <v>d_178</v>
      </c>
      <c r="B179" s="2">
        <v>40749</v>
      </c>
      <c r="C179" s="4">
        <v>0</v>
      </c>
      <c r="D179" s="4">
        <v>0</v>
      </c>
      <c r="E179" s="4">
        <v>2</v>
      </c>
      <c r="F179">
        <f t="shared" si="18"/>
        <v>0.5</v>
      </c>
      <c r="G179">
        <f t="shared" si="19"/>
        <v>1</v>
      </c>
      <c r="H179" s="4">
        <f t="shared" si="20"/>
        <v>1.5</v>
      </c>
      <c r="I179" s="4">
        <f t="shared" si="21"/>
        <v>0</v>
      </c>
      <c r="J179" s="4">
        <f t="shared" si="22"/>
        <v>0.5</v>
      </c>
      <c r="K179" s="4">
        <f t="shared" si="23"/>
        <v>0.5</v>
      </c>
      <c r="L179" s="4">
        <f t="shared" si="24"/>
        <v>0.5</v>
      </c>
      <c r="M179" s="4">
        <f t="shared" si="25"/>
        <v>1</v>
      </c>
      <c r="N179" s="4">
        <f t="shared" si="26"/>
        <v>0.5</v>
      </c>
    </row>
    <row r="180" spans="1:14" x14ac:dyDescent="0.2">
      <c r="A180" t="str">
        <v>d_179</v>
      </c>
      <c r="B180" s="2">
        <v>40750</v>
      </c>
      <c r="C180" s="4">
        <v>0</v>
      </c>
      <c r="D180" s="4">
        <v>0</v>
      </c>
      <c r="E180" s="4">
        <v>0</v>
      </c>
      <c r="F180">
        <f t="shared" si="18"/>
        <v>0.5</v>
      </c>
      <c r="G180">
        <f t="shared" si="19"/>
        <v>0.5</v>
      </c>
      <c r="H180" s="4">
        <f t="shared" si="20"/>
        <v>0</v>
      </c>
      <c r="I180" s="4">
        <f t="shared" si="21"/>
        <v>2</v>
      </c>
      <c r="J180" s="4">
        <f t="shared" si="22"/>
        <v>0.5</v>
      </c>
      <c r="K180" s="4">
        <f t="shared" si="23"/>
        <v>1</v>
      </c>
      <c r="L180" s="4">
        <f t="shared" si="24"/>
        <v>0</v>
      </c>
      <c r="M180" s="4">
        <f t="shared" si="25"/>
        <v>0.5</v>
      </c>
      <c r="N180" s="4">
        <f t="shared" si="26"/>
        <v>1.5</v>
      </c>
    </row>
    <row r="181" spans="1:14" x14ac:dyDescent="0.2">
      <c r="A181" t="str">
        <v>d_180</v>
      </c>
      <c r="B181" s="2">
        <v>40751</v>
      </c>
      <c r="C181" s="4">
        <v>1</v>
      </c>
      <c r="D181" s="4">
        <v>1</v>
      </c>
      <c r="E181" s="4">
        <v>0</v>
      </c>
      <c r="F181">
        <f t="shared" si="18"/>
        <v>1.5</v>
      </c>
      <c r="G181">
        <f t="shared" si="19"/>
        <v>1</v>
      </c>
      <c r="H181" s="4">
        <f t="shared" si="20"/>
        <v>0</v>
      </c>
      <c r="I181" s="4">
        <f t="shared" si="21"/>
        <v>0</v>
      </c>
      <c r="J181" s="4">
        <f t="shared" si="22"/>
        <v>0.5</v>
      </c>
      <c r="K181" s="4">
        <f t="shared" si="23"/>
        <v>0.5</v>
      </c>
      <c r="L181" s="4">
        <f t="shared" si="24"/>
        <v>0</v>
      </c>
      <c r="M181" s="4">
        <f t="shared" si="25"/>
        <v>0.5</v>
      </c>
      <c r="N181" s="4">
        <f t="shared" si="26"/>
        <v>0</v>
      </c>
    </row>
    <row r="182" spans="1:14" x14ac:dyDescent="0.2">
      <c r="A182" t="str">
        <v>d_181</v>
      </c>
      <c r="B182" s="2">
        <v>40752</v>
      </c>
      <c r="C182" s="4">
        <v>0</v>
      </c>
      <c r="D182" s="4">
        <v>2</v>
      </c>
      <c r="E182" s="4">
        <v>0</v>
      </c>
      <c r="F182">
        <f t="shared" si="18"/>
        <v>0</v>
      </c>
      <c r="G182">
        <f t="shared" si="19"/>
        <v>2</v>
      </c>
      <c r="H182" s="4">
        <f t="shared" si="20"/>
        <v>0</v>
      </c>
      <c r="I182" s="4">
        <f t="shared" si="21"/>
        <v>1</v>
      </c>
      <c r="J182" s="4">
        <f t="shared" si="22"/>
        <v>2.5</v>
      </c>
      <c r="K182" s="4">
        <f t="shared" si="23"/>
        <v>0</v>
      </c>
      <c r="L182" s="4">
        <f t="shared" si="24"/>
        <v>0.5</v>
      </c>
      <c r="M182" s="4">
        <f t="shared" si="25"/>
        <v>0.5</v>
      </c>
      <c r="N182" s="4">
        <f t="shared" si="26"/>
        <v>2</v>
      </c>
    </row>
    <row r="183" spans="1:14" x14ac:dyDescent="0.2">
      <c r="A183" t="str">
        <v>d_182</v>
      </c>
      <c r="B183" s="2">
        <v>40753</v>
      </c>
      <c r="C183" s="4">
        <v>2</v>
      </c>
      <c r="D183" s="4">
        <v>2</v>
      </c>
      <c r="E183" s="4">
        <v>2</v>
      </c>
      <c r="F183">
        <f t="shared" si="18"/>
        <v>2</v>
      </c>
      <c r="G183">
        <f t="shared" si="19"/>
        <v>1</v>
      </c>
      <c r="H183" s="4">
        <f t="shared" si="20"/>
        <v>1</v>
      </c>
      <c r="I183" s="4">
        <f t="shared" si="21"/>
        <v>0.5</v>
      </c>
      <c r="J183" s="4">
        <f t="shared" si="22"/>
        <v>1</v>
      </c>
      <c r="K183" s="4">
        <f t="shared" si="23"/>
        <v>0</v>
      </c>
      <c r="L183" s="4">
        <f t="shared" si="24"/>
        <v>0</v>
      </c>
      <c r="M183" s="4">
        <f t="shared" si="25"/>
        <v>1</v>
      </c>
      <c r="N183" s="4">
        <f t="shared" si="26"/>
        <v>0</v>
      </c>
    </row>
    <row r="184" spans="1:14" x14ac:dyDescent="0.2">
      <c r="A184" t="str">
        <v>d_183</v>
      </c>
      <c r="B184" s="2">
        <v>40754</v>
      </c>
      <c r="C184" s="4">
        <v>0</v>
      </c>
      <c r="D184" s="4">
        <v>0</v>
      </c>
      <c r="E184" s="4">
        <v>0</v>
      </c>
      <c r="F184">
        <f t="shared" si="18"/>
        <v>0</v>
      </c>
      <c r="G184">
        <f t="shared" si="19"/>
        <v>0</v>
      </c>
      <c r="H184" s="4">
        <f t="shared" si="20"/>
        <v>0.5</v>
      </c>
      <c r="I184" s="4">
        <f t="shared" si="21"/>
        <v>1.5</v>
      </c>
      <c r="J184" s="4">
        <f t="shared" si="22"/>
        <v>2</v>
      </c>
      <c r="K184" s="4">
        <f t="shared" si="23"/>
        <v>1</v>
      </c>
      <c r="L184" s="4">
        <f t="shared" si="24"/>
        <v>2.5</v>
      </c>
      <c r="M184" s="4">
        <f t="shared" si="25"/>
        <v>1.5</v>
      </c>
      <c r="N184" s="4">
        <f t="shared" si="26"/>
        <v>1</v>
      </c>
    </row>
    <row r="185" spans="1:14" x14ac:dyDescent="0.2">
      <c r="A185" t="str">
        <v>d_184</v>
      </c>
      <c r="B185" s="2">
        <v>40755</v>
      </c>
      <c r="C185" s="4">
        <v>1</v>
      </c>
      <c r="D185" s="4">
        <v>0</v>
      </c>
      <c r="E185" s="4">
        <v>1</v>
      </c>
      <c r="F185">
        <f t="shared" si="18"/>
        <v>0.5</v>
      </c>
      <c r="G185">
        <f t="shared" si="19"/>
        <v>0</v>
      </c>
      <c r="H185" s="4">
        <f t="shared" si="20"/>
        <v>1.5</v>
      </c>
      <c r="I185" s="4">
        <f t="shared" si="21"/>
        <v>0.5</v>
      </c>
      <c r="J185" s="4">
        <f t="shared" si="22"/>
        <v>0.5</v>
      </c>
      <c r="K185" s="4">
        <f t="shared" si="23"/>
        <v>1</v>
      </c>
      <c r="L185" s="4">
        <f t="shared" si="24"/>
        <v>0</v>
      </c>
      <c r="M185" s="4">
        <f t="shared" si="25"/>
        <v>0</v>
      </c>
      <c r="N185" s="4">
        <f t="shared" si="26"/>
        <v>0</v>
      </c>
    </row>
    <row r="186" spans="1:14" x14ac:dyDescent="0.2">
      <c r="A186" t="str">
        <v>d_185</v>
      </c>
      <c r="B186" s="2">
        <v>40756</v>
      </c>
      <c r="C186" s="4">
        <v>0</v>
      </c>
      <c r="D186" s="4">
        <v>2</v>
      </c>
      <c r="E186" s="4">
        <v>0</v>
      </c>
      <c r="F186">
        <f t="shared" si="18"/>
        <v>0</v>
      </c>
      <c r="G186">
        <f t="shared" si="19"/>
        <v>1</v>
      </c>
      <c r="H186" s="4">
        <f t="shared" si="20"/>
        <v>0</v>
      </c>
      <c r="I186" s="4">
        <f t="shared" si="21"/>
        <v>1</v>
      </c>
      <c r="J186" s="4">
        <f t="shared" si="22"/>
        <v>0</v>
      </c>
      <c r="K186" s="4">
        <f t="shared" si="23"/>
        <v>1.5</v>
      </c>
      <c r="L186" s="4">
        <f t="shared" si="24"/>
        <v>1</v>
      </c>
      <c r="M186" s="4">
        <f t="shared" si="25"/>
        <v>0</v>
      </c>
      <c r="N186" s="4">
        <f t="shared" si="26"/>
        <v>0.5</v>
      </c>
    </row>
    <row r="187" spans="1:14" x14ac:dyDescent="0.2">
      <c r="A187" t="str">
        <v>d_186</v>
      </c>
      <c r="B187" s="2">
        <v>40757</v>
      </c>
      <c r="C187" s="4">
        <v>0</v>
      </c>
      <c r="D187" s="4">
        <v>2</v>
      </c>
      <c r="E187" s="4">
        <v>1</v>
      </c>
      <c r="F187">
        <f t="shared" si="18"/>
        <v>0.5</v>
      </c>
      <c r="G187">
        <f t="shared" si="19"/>
        <v>1.5</v>
      </c>
      <c r="H187" s="4">
        <f t="shared" si="20"/>
        <v>0.5</v>
      </c>
      <c r="I187" s="4">
        <f t="shared" si="21"/>
        <v>0.5</v>
      </c>
      <c r="J187" s="4">
        <f t="shared" si="22"/>
        <v>2</v>
      </c>
      <c r="K187" s="4">
        <f t="shared" si="23"/>
        <v>0.5</v>
      </c>
      <c r="L187" s="4">
        <f t="shared" si="24"/>
        <v>0</v>
      </c>
      <c r="M187" s="4">
        <f t="shared" si="25"/>
        <v>1</v>
      </c>
      <c r="N187" s="4">
        <f t="shared" si="26"/>
        <v>0</v>
      </c>
    </row>
    <row r="188" spans="1:14" x14ac:dyDescent="0.2">
      <c r="A188" t="str">
        <v>d_187</v>
      </c>
      <c r="B188" s="2">
        <v>40758</v>
      </c>
      <c r="C188" s="4">
        <v>1</v>
      </c>
      <c r="D188" s="4">
        <v>1</v>
      </c>
      <c r="E188" s="4">
        <v>1</v>
      </c>
      <c r="F188">
        <f t="shared" si="18"/>
        <v>0.5</v>
      </c>
      <c r="G188">
        <f t="shared" si="19"/>
        <v>1.5</v>
      </c>
      <c r="H188" s="4">
        <f t="shared" si="20"/>
        <v>0.5</v>
      </c>
      <c r="I188" s="4">
        <f t="shared" si="21"/>
        <v>0.5</v>
      </c>
      <c r="J188" s="4">
        <f t="shared" si="22"/>
        <v>1.5</v>
      </c>
      <c r="K188" s="4">
        <f t="shared" si="23"/>
        <v>0.5</v>
      </c>
      <c r="L188" s="4">
        <f t="shared" si="24"/>
        <v>0.5</v>
      </c>
      <c r="M188" s="4">
        <f t="shared" si="25"/>
        <v>1</v>
      </c>
      <c r="N188" s="4">
        <f t="shared" si="26"/>
        <v>1</v>
      </c>
    </row>
    <row r="189" spans="1:14" x14ac:dyDescent="0.2">
      <c r="A189" t="str">
        <v>d_188</v>
      </c>
      <c r="B189" s="2">
        <v>40759</v>
      </c>
      <c r="C189" s="4">
        <v>1</v>
      </c>
      <c r="D189" s="4">
        <v>0</v>
      </c>
      <c r="E189" s="4">
        <v>0</v>
      </c>
      <c r="F189">
        <f t="shared" si="18"/>
        <v>1.5</v>
      </c>
      <c r="G189">
        <f t="shared" si="19"/>
        <v>1</v>
      </c>
      <c r="H189" s="4">
        <f t="shared" si="20"/>
        <v>1</v>
      </c>
      <c r="I189" s="4">
        <f t="shared" si="21"/>
        <v>1.5</v>
      </c>
      <c r="J189" s="4">
        <f t="shared" si="22"/>
        <v>1</v>
      </c>
      <c r="K189" s="4">
        <f t="shared" si="23"/>
        <v>0.5</v>
      </c>
      <c r="L189" s="4">
        <f t="shared" si="24"/>
        <v>0.5</v>
      </c>
      <c r="M189" s="4">
        <f t="shared" si="25"/>
        <v>0.5</v>
      </c>
      <c r="N189" s="4">
        <f t="shared" si="26"/>
        <v>0.5</v>
      </c>
    </row>
    <row r="190" spans="1:14" x14ac:dyDescent="0.2">
      <c r="A190" t="str">
        <v>d_189</v>
      </c>
      <c r="B190" s="2">
        <v>40760</v>
      </c>
      <c r="C190" s="4">
        <v>0</v>
      </c>
      <c r="D190" s="4">
        <v>0</v>
      </c>
      <c r="E190" s="4">
        <v>0</v>
      </c>
      <c r="F190">
        <f t="shared" si="18"/>
        <v>0</v>
      </c>
      <c r="G190">
        <f t="shared" si="19"/>
        <v>0</v>
      </c>
      <c r="H190" s="4">
        <f t="shared" si="20"/>
        <v>0</v>
      </c>
      <c r="I190" s="4">
        <f t="shared" si="21"/>
        <v>0.5</v>
      </c>
      <c r="J190" s="4">
        <f t="shared" si="22"/>
        <v>1</v>
      </c>
      <c r="K190" s="4">
        <f t="shared" si="23"/>
        <v>0</v>
      </c>
      <c r="L190" s="4">
        <f t="shared" si="24"/>
        <v>1</v>
      </c>
      <c r="M190" s="4">
        <f t="shared" si="25"/>
        <v>0</v>
      </c>
      <c r="N190" s="4">
        <f t="shared" si="26"/>
        <v>0</v>
      </c>
    </row>
    <row r="191" spans="1:14" x14ac:dyDescent="0.2">
      <c r="A191" t="str">
        <v>d_190</v>
      </c>
      <c r="B191" s="2">
        <v>40761</v>
      </c>
      <c r="C191" s="4">
        <v>0</v>
      </c>
      <c r="D191" s="4">
        <v>1</v>
      </c>
      <c r="E191" s="4">
        <v>1</v>
      </c>
      <c r="F191">
        <f t="shared" si="18"/>
        <v>0.5</v>
      </c>
      <c r="G191">
        <f t="shared" si="19"/>
        <v>0.5</v>
      </c>
      <c r="H191" s="4">
        <f t="shared" si="20"/>
        <v>1</v>
      </c>
      <c r="I191" s="4">
        <f t="shared" si="21"/>
        <v>1</v>
      </c>
      <c r="J191" s="4">
        <f t="shared" si="22"/>
        <v>0</v>
      </c>
      <c r="K191" s="4">
        <f t="shared" si="23"/>
        <v>0</v>
      </c>
      <c r="L191" s="4">
        <f t="shared" si="24"/>
        <v>1</v>
      </c>
      <c r="M191" s="4">
        <f t="shared" si="25"/>
        <v>1</v>
      </c>
      <c r="N191" s="4">
        <f t="shared" si="26"/>
        <v>0</v>
      </c>
    </row>
    <row r="192" spans="1:14" x14ac:dyDescent="0.2">
      <c r="A192" t="str">
        <v>d_191</v>
      </c>
      <c r="B192" s="2">
        <v>40762</v>
      </c>
      <c r="C192" s="4">
        <v>0</v>
      </c>
      <c r="D192" s="4">
        <v>1</v>
      </c>
      <c r="E192" s="4">
        <v>2</v>
      </c>
      <c r="F192">
        <f t="shared" si="18"/>
        <v>0</v>
      </c>
      <c r="G192">
        <f t="shared" si="19"/>
        <v>1.5</v>
      </c>
      <c r="H192" s="4">
        <f t="shared" si="20"/>
        <v>1</v>
      </c>
      <c r="I192" s="4">
        <f t="shared" si="21"/>
        <v>0</v>
      </c>
      <c r="J192" s="4">
        <f t="shared" si="22"/>
        <v>0.5</v>
      </c>
      <c r="K192" s="4">
        <f t="shared" si="23"/>
        <v>1</v>
      </c>
      <c r="L192" s="4">
        <f t="shared" si="24"/>
        <v>0</v>
      </c>
      <c r="M192" s="4">
        <f t="shared" si="25"/>
        <v>1.5</v>
      </c>
      <c r="N192" s="4">
        <f t="shared" si="26"/>
        <v>1</v>
      </c>
    </row>
    <row r="193" spans="1:14" x14ac:dyDescent="0.2">
      <c r="A193" t="str">
        <v>d_192</v>
      </c>
      <c r="B193" s="2">
        <v>40763</v>
      </c>
      <c r="C193" s="4">
        <v>0</v>
      </c>
      <c r="D193" s="4">
        <v>3</v>
      </c>
      <c r="E193" s="4">
        <v>2</v>
      </c>
      <c r="F193">
        <f t="shared" si="18"/>
        <v>0</v>
      </c>
      <c r="G193">
        <f t="shared" si="19"/>
        <v>2.5</v>
      </c>
      <c r="H193" s="4">
        <f t="shared" si="20"/>
        <v>1.5</v>
      </c>
      <c r="I193" s="4">
        <f t="shared" si="21"/>
        <v>0</v>
      </c>
      <c r="J193" s="4">
        <f t="shared" si="22"/>
        <v>0.5</v>
      </c>
      <c r="K193" s="4">
        <f t="shared" si="23"/>
        <v>2</v>
      </c>
      <c r="L193" s="4">
        <f t="shared" si="24"/>
        <v>0</v>
      </c>
      <c r="M193" s="4">
        <f t="shared" si="25"/>
        <v>1</v>
      </c>
      <c r="N193" s="4">
        <f t="shared" si="26"/>
        <v>1</v>
      </c>
    </row>
    <row r="194" spans="1:14" x14ac:dyDescent="0.2">
      <c r="A194" t="str">
        <v>d_193</v>
      </c>
      <c r="B194" s="2">
        <v>40764</v>
      </c>
      <c r="C194" s="4">
        <v>0</v>
      </c>
      <c r="D194" s="4">
        <v>1</v>
      </c>
      <c r="E194" s="4">
        <v>0</v>
      </c>
      <c r="F194">
        <f t="shared" si="18"/>
        <v>0.5</v>
      </c>
      <c r="G194">
        <f t="shared" si="19"/>
        <v>1</v>
      </c>
      <c r="H194" s="4">
        <f t="shared" si="20"/>
        <v>0.5</v>
      </c>
      <c r="I194" s="4">
        <f t="shared" si="21"/>
        <v>0</v>
      </c>
      <c r="J194" s="4">
        <f t="shared" si="22"/>
        <v>1.5</v>
      </c>
      <c r="K194" s="4">
        <f t="shared" si="23"/>
        <v>1</v>
      </c>
      <c r="L194" s="4">
        <f t="shared" si="24"/>
        <v>2</v>
      </c>
      <c r="M194" s="4">
        <f t="shared" si="25"/>
        <v>2</v>
      </c>
      <c r="N194" s="4">
        <f t="shared" si="26"/>
        <v>1</v>
      </c>
    </row>
    <row r="195" spans="1:14" x14ac:dyDescent="0.2">
      <c r="A195" t="str">
        <v>d_194</v>
      </c>
      <c r="B195" s="2">
        <v>40765</v>
      </c>
      <c r="C195" s="4">
        <v>0</v>
      </c>
      <c r="D195" s="4">
        <v>0</v>
      </c>
      <c r="E195" s="4">
        <v>2</v>
      </c>
      <c r="F195">
        <f t="shared" si="18"/>
        <v>0.5</v>
      </c>
      <c r="G195">
        <f t="shared" si="19"/>
        <v>0</v>
      </c>
      <c r="H195" s="4">
        <f t="shared" si="20"/>
        <v>1</v>
      </c>
      <c r="I195" s="4">
        <f t="shared" si="21"/>
        <v>0.5</v>
      </c>
      <c r="J195" s="4">
        <f t="shared" si="22"/>
        <v>1</v>
      </c>
      <c r="K195" s="4">
        <f t="shared" si="23"/>
        <v>0</v>
      </c>
      <c r="L195" s="4">
        <f t="shared" si="24"/>
        <v>0</v>
      </c>
      <c r="M195" s="4">
        <f t="shared" si="25"/>
        <v>1</v>
      </c>
      <c r="N195" s="4">
        <f t="shared" si="26"/>
        <v>0.5</v>
      </c>
    </row>
    <row r="196" spans="1:14" x14ac:dyDescent="0.2">
      <c r="A196" t="str">
        <v>d_195</v>
      </c>
      <c r="B196" s="2">
        <v>40766</v>
      </c>
      <c r="C196" s="4">
        <v>0</v>
      </c>
      <c r="D196" s="4">
        <v>1</v>
      </c>
      <c r="E196" s="4">
        <v>0</v>
      </c>
      <c r="F196">
        <f t="shared" si="18"/>
        <v>0</v>
      </c>
      <c r="G196">
        <f t="shared" si="19"/>
        <v>0.5</v>
      </c>
      <c r="H196" s="4">
        <f t="shared" si="20"/>
        <v>0</v>
      </c>
      <c r="I196" s="4">
        <f t="shared" si="21"/>
        <v>0</v>
      </c>
      <c r="J196" s="4">
        <f t="shared" si="22"/>
        <v>1</v>
      </c>
      <c r="K196" s="4">
        <f t="shared" si="23"/>
        <v>1</v>
      </c>
      <c r="L196" s="4">
        <f t="shared" si="24"/>
        <v>0.5</v>
      </c>
      <c r="M196" s="4">
        <f t="shared" si="25"/>
        <v>2</v>
      </c>
      <c r="N196" s="4">
        <f t="shared" si="26"/>
        <v>1</v>
      </c>
    </row>
    <row r="197" spans="1:14" x14ac:dyDescent="0.2">
      <c r="A197" t="str">
        <v>d_196</v>
      </c>
      <c r="B197" s="2">
        <v>40767</v>
      </c>
      <c r="C197" s="4">
        <v>0</v>
      </c>
      <c r="D197" s="4">
        <v>5</v>
      </c>
      <c r="E197" s="4">
        <v>4</v>
      </c>
      <c r="F197">
        <f t="shared" si="18"/>
        <v>0</v>
      </c>
      <c r="G197">
        <f t="shared" si="19"/>
        <v>3</v>
      </c>
      <c r="H197" s="4">
        <f t="shared" si="20"/>
        <v>2.5</v>
      </c>
      <c r="I197" s="4">
        <f t="shared" si="21"/>
        <v>1</v>
      </c>
      <c r="J197" s="4">
        <f t="shared" si="22"/>
        <v>1.5</v>
      </c>
      <c r="K197" s="4">
        <f t="shared" si="23"/>
        <v>1</v>
      </c>
      <c r="L197" s="4">
        <f t="shared" si="24"/>
        <v>0.5</v>
      </c>
      <c r="M197" s="4">
        <f t="shared" si="25"/>
        <v>0.5</v>
      </c>
      <c r="N197" s="4">
        <f t="shared" si="26"/>
        <v>0</v>
      </c>
    </row>
    <row r="198" spans="1:14" x14ac:dyDescent="0.2">
      <c r="A198" t="str">
        <v>d_197</v>
      </c>
      <c r="B198" s="2">
        <v>40768</v>
      </c>
      <c r="C198" s="4">
        <v>0</v>
      </c>
      <c r="D198" s="4">
        <v>2</v>
      </c>
      <c r="E198" s="4">
        <v>5</v>
      </c>
      <c r="F198">
        <f t="shared" si="18"/>
        <v>0</v>
      </c>
      <c r="G198">
        <f t="shared" si="19"/>
        <v>1.5</v>
      </c>
      <c r="H198" s="4">
        <f t="shared" si="20"/>
        <v>3.5</v>
      </c>
      <c r="I198" s="4">
        <f t="shared" si="21"/>
        <v>0</v>
      </c>
      <c r="J198" s="4">
        <f t="shared" si="22"/>
        <v>2.5</v>
      </c>
      <c r="K198" s="4">
        <f t="shared" si="23"/>
        <v>2</v>
      </c>
      <c r="L198" s="4">
        <f t="shared" si="24"/>
        <v>0.5</v>
      </c>
      <c r="M198" s="4">
        <f t="shared" si="25"/>
        <v>3.5</v>
      </c>
      <c r="N198" s="4">
        <f t="shared" si="26"/>
        <v>2</v>
      </c>
    </row>
    <row r="199" spans="1:14" x14ac:dyDescent="0.2">
      <c r="A199" t="str">
        <v>d_198</v>
      </c>
      <c r="B199" s="2">
        <v>40769</v>
      </c>
      <c r="C199" s="4">
        <v>0</v>
      </c>
      <c r="D199" s="4">
        <v>0</v>
      </c>
      <c r="E199" s="4">
        <v>0</v>
      </c>
      <c r="F199">
        <f t="shared" si="18"/>
        <v>0</v>
      </c>
      <c r="G199">
        <f t="shared" si="19"/>
        <v>1.5</v>
      </c>
      <c r="H199" s="4">
        <f t="shared" si="20"/>
        <v>1</v>
      </c>
      <c r="I199" s="4">
        <f t="shared" si="21"/>
        <v>0.5</v>
      </c>
      <c r="J199" s="4">
        <f t="shared" si="22"/>
        <v>1</v>
      </c>
      <c r="K199" s="4">
        <f t="shared" si="23"/>
        <v>3</v>
      </c>
      <c r="L199" s="4">
        <f t="shared" si="24"/>
        <v>0.5</v>
      </c>
      <c r="M199" s="4">
        <f t="shared" si="25"/>
        <v>1.5</v>
      </c>
      <c r="N199" s="4">
        <f t="shared" si="26"/>
        <v>3.5</v>
      </c>
    </row>
    <row r="200" spans="1:14" x14ac:dyDescent="0.2">
      <c r="A200" t="str">
        <v>d_199</v>
      </c>
      <c r="B200" s="2">
        <v>40770</v>
      </c>
      <c r="C200" s="4">
        <v>0</v>
      </c>
      <c r="D200" s="4">
        <v>0</v>
      </c>
      <c r="E200" s="4">
        <v>0</v>
      </c>
      <c r="F200">
        <f t="shared" si="18"/>
        <v>0</v>
      </c>
      <c r="G200">
        <f t="shared" si="19"/>
        <v>0.5</v>
      </c>
      <c r="H200" s="4">
        <f t="shared" si="20"/>
        <v>0</v>
      </c>
      <c r="I200" s="4">
        <f t="shared" si="21"/>
        <v>0</v>
      </c>
      <c r="J200" s="4">
        <f t="shared" si="22"/>
        <v>1</v>
      </c>
      <c r="K200" s="4">
        <f t="shared" si="23"/>
        <v>0</v>
      </c>
      <c r="L200" s="4">
        <f t="shared" si="24"/>
        <v>0.5</v>
      </c>
      <c r="M200" s="4">
        <f t="shared" si="25"/>
        <v>0</v>
      </c>
      <c r="N200" s="4">
        <f t="shared" si="26"/>
        <v>1</v>
      </c>
    </row>
    <row r="201" spans="1:14" x14ac:dyDescent="0.2">
      <c r="A201" t="str">
        <v>d_200</v>
      </c>
      <c r="B201" s="2">
        <v>40771</v>
      </c>
      <c r="C201" s="4">
        <v>0</v>
      </c>
      <c r="D201" s="4">
        <v>0</v>
      </c>
      <c r="E201" s="4">
        <v>1</v>
      </c>
      <c r="F201">
        <f t="shared" ref="F201:F264" si="27">AVERAGE(C195,C201)</f>
        <v>0</v>
      </c>
      <c r="G201">
        <f t="shared" ref="G201:G264" si="28">AVERAGE(D195,D201)</f>
        <v>0</v>
      </c>
      <c r="H201" s="4">
        <f t="shared" ref="H201:H264" si="29">AVERAGE(E195,E201)</f>
        <v>1.5</v>
      </c>
      <c r="I201" s="4">
        <f t="shared" si="21"/>
        <v>0</v>
      </c>
      <c r="J201" s="4">
        <f t="shared" si="22"/>
        <v>1</v>
      </c>
      <c r="K201" s="4">
        <f t="shared" si="23"/>
        <v>0.5</v>
      </c>
      <c r="L201" s="4">
        <f t="shared" si="24"/>
        <v>0.5</v>
      </c>
      <c r="M201" s="4">
        <f t="shared" si="25"/>
        <v>1</v>
      </c>
      <c r="N201" s="4">
        <f t="shared" si="26"/>
        <v>0.5</v>
      </c>
    </row>
    <row r="202" spans="1:14" x14ac:dyDescent="0.2">
      <c r="A202" t="str">
        <v>d_201</v>
      </c>
      <c r="B202" s="2">
        <v>40772</v>
      </c>
      <c r="C202" s="4">
        <v>0</v>
      </c>
      <c r="D202" s="4">
        <v>1</v>
      </c>
      <c r="E202" s="4">
        <v>0</v>
      </c>
      <c r="F202">
        <f t="shared" si="27"/>
        <v>0</v>
      </c>
      <c r="G202">
        <f t="shared" si="28"/>
        <v>1</v>
      </c>
      <c r="H202" s="4">
        <f t="shared" si="29"/>
        <v>0</v>
      </c>
      <c r="I202" s="4">
        <f t="shared" si="21"/>
        <v>0.5</v>
      </c>
      <c r="J202" s="4">
        <f t="shared" si="22"/>
        <v>0.5</v>
      </c>
      <c r="K202" s="4">
        <f t="shared" si="23"/>
        <v>1</v>
      </c>
      <c r="L202" s="4">
        <f t="shared" si="24"/>
        <v>0.5</v>
      </c>
      <c r="M202" s="4">
        <f t="shared" si="25"/>
        <v>0.5</v>
      </c>
      <c r="N202" s="4">
        <f t="shared" si="26"/>
        <v>0.5</v>
      </c>
    </row>
    <row r="203" spans="1:14" x14ac:dyDescent="0.2">
      <c r="A203" t="str">
        <v>d_202</v>
      </c>
      <c r="B203" s="2">
        <v>40773</v>
      </c>
      <c r="C203" s="4">
        <v>0</v>
      </c>
      <c r="D203" s="4">
        <v>1</v>
      </c>
      <c r="E203" s="4">
        <v>0</v>
      </c>
      <c r="F203">
        <f t="shared" si="27"/>
        <v>0</v>
      </c>
      <c r="G203">
        <f t="shared" si="28"/>
        <v>3</v>
      </c>
      <c r="H203" s="4">
        <f t="shared" si="29"/>
        <v>2</v>
      </c>
      <c r="I203" s="4">
        <f t="shared" si="21"/>
        <v>0.5</v>
      </c>
      <c r="J203" s="4">
        <f t="shared" si="22"/>
        <v>0.5</v>
      </c>
      <c r="K203" s="4">
        <f t="shared" si="23"/>
        <v>0</v>
      </c>
      <c r="L203" s="4">
        <f t="shared" si="24"/>
        <v>1</v>
      </c>
      <c r="M203" s="4">
        <f t="shared" si="25"/>
        <v>1</v>
      </c>
      <c r="N203" s="4">
        <f t="shared" si="26"/>
        <v>0</v>
      </c>
    </row>
    <row r="204" spans="1:14" x14ac:dyDescent="0.2">
      <c r="A204" t="str">
        <v>d_203</v>
      </c>
      <c r="B204" s="2">
        <v>40774</v>
      </c>
      <c r="C204" s="4">
        <v>0</v>
      </c>
      <c r="D204" s="4">
        <v>0</v>
      </c>
      <c r="E204" s="4">
        <v>1</v>
      </c>
      <c r="F204">
        <f t="shared" si="27"/>
        <v>0</v>
      </c>
      <c r="G204">
        <f t="shared" si="28"/>
        <v>1</v>
      </c>
      <c r="H204" s="4">
        <f t="shared" si="29"/>
        <v>3</v>
      </c>
      <c r="I204" s="4">
        <f t="shared" si="21"/>
        <v>0</v>
      </c>
      <c r="J204" s="4">
        <f t="shared" si="22"/>
        <v>0.5</v>
      </c>
      <c r="K204" s="4">
        <f t="shared" si="23"/>
        <v>0</v>
      </c>
      <c r="L204" s="4">
        <f t="shared" si="24"/>
        <v>0</v>
      </c>
      <c r="M204" s="4">
        <f t="shared" si="25"/>
        <v>1.5</v>
      </c>
      <c r="N204" s="4">
        <f t="shared" si="26"/>
        <v>0</v>
      </c>
    </row>
    <row r="205" spans="1:14" x14ac:dyDescent="0.2">
      <c r="A205" t="str">
        <v>d_204</v>
      </c>
      <c r="B205" s="2">
        <v>40775</v>
      </c>
      <c r="C205" s="4">
        <v>0</v>
      </c>
      <c r="D205" s="4">
        <v>1</v>
      </c>
      <c r="E205" s="4">
        <v>2</v>
      </c>
      <c r="F205">
        <f t="shared" si="27"/>
        <v>0</v>
      </c>
      <c r="G205">
        <f t="shared" si="28"/>
        <v>0.5</v>
      </c>
      <c r="H205" s="4">
        <f t="shared" si="29"/>
        <v>1</v>
      </c>
      <c r="I205" s="4">
        <f t="shared" si="21"/>
        <v>0</v>
      </c>
      <c r="J205" s="4">
        <f t="shared" si="22"/>
        <v>0.5</v>
      </c>
      <c r="K205" s="4">
        <f t="shared" si="23"/>
        <v>1</v>
      </c>
      <c r="L205" s="4">
        <f t="shared" si="24"/>
        <v>1</v>
      </c>
      <c r="M205" s="4">
        <f t="shared" si="25"/>
        <v>0</v>
      </c>
      <c r="N205" s="4">
        <f t="shared" si="26"/>
        <v>0.5</v>
      </c>
    </row>
    <row r="206" spans="1:14" x14ac:dyDescent="0.2">
      <c r="A206" t="str">
        <v>d_205</v>
      </c>
      <c r="B206" s="2">
        <v>40776</v>
      </c>
      <c r="C206" s="4">
        <v>0</v>
      </c>
      <c r="D206" s="4">
        <v>2</v>
      </c>
      <c r="E206" s="4">
        <v>0</v>
      </c>
      <c r="F206">
        <f t="shared" si="27"/>
        <v>0</v>
      </c>
      <c r="G206">
        <f t="shared" si="28"/>
        <v>1</v>
      </c>
      <c r="H206" s="4">
        <f t="shared" si="29"/>
        <v>0</v>
      </c>
      <c r="I206" s="4">
        <f t="shared" si="21"/>
        <v>0</v>
      </c>
      <c r="J206" s="4">
        <f t="shared" si="22"/>
        <v>1</v>
      </c>
      <c r="K206" s="4">
        <f t="shared" si="23"/>
        <v>2</v>
      </c>
      <c r="L206" s="4">
        <f t="shared" si="24"/>
        <v>0</v>
      </c>
      <c r="M206" s="4">
        <f t="shared" si="25"/>
        <v>0.5</v>
      </c>
      <c r="N206" s="4">
        <f t="shared" si="26"/>
        <v>1.5</v>
      </c>
    </row>
    <row r="207" spans="1:14" x14ac:dyDescent="0.2">
      <c r="A207" t="str">
        <v>d_206</v>
      </c>
      <c r="B207" s="2">
        <v>40777</v>
      </c>
      <c r="C207" s="4">
        <v>0</v>
      </c>
      <c r="D207" s="4">
        <v>1</v>
      </c>
      <c r="E207" s="4">
        <v>2</v>
      </c>
      <c r="F207">
        <f t="shared" si="27"/>
        <v>0</v>
      </c>
      <c r="G207">
        <f t="shared" si="28"/>
        <v>0.5</v>
      </c>
      <c r="H207" s="4">
        <f t="shared" si="29"/>
        <v>1.5</v>
      </c>
      <c r="I207" s="4">
        <f t="shared" si="21"/>
        <v>0</v>
      </c>
      <c r="J207" s="4">
        <f t="shared" si="22"/>
        <v>2.5</v>
      </c>
      <c r="K207" s="4">
        <f t="shared" si="23"/>
        <v>1</v>
      </c>
      <c r="L207" s="4">
        <f t="shared" si="24"/>
        <v>0</v>
      </c>
      <c r="M207" s="4">
        <f t="shared" si="25"/>
        <v>1</v>
      </c>
      <c r="N207" s="4">
        <f t="shared" si="26"/>
        <v>1</v>
      </c>
    </row>
    <row r="208" spans="1:14" x14ac:dyDescent="0.2">
      <c r="A208" t="str">
        <v>d_207</v>
      </c>
      <c r="B208" s="2">
        <v>40778</v>
      </c>
      <c r="C208" s="4">
        <v>0</v>
      </c>
      <c r="D208" s="4">
        <v>1</v>
      </c>
      <c r="E208" s="4">
        <v>1</v>
      </c>
      <c r="F208">
        <f t="shared" si="27"/>
        <v>0</v>
      </c>
      <c r="G208">
        <f t="shared" si="28"/>
        <v>1</v>
      </c>
      <c r="H208" s="4">
        <f t="shared" si="29"/>
        <v>0.5</v>
      </c>
      <c r="I208" s="4">
        <f t="shared" si="21"/>
        <v>0</v>
      </c>
      <c r="J208" s="4">
        <f t="shared" si="22"/>
        <v>1</v>
      </c>
      <c r="K208" s="4">
        <f t="shared" si="23"/>
        <v>1</v>
      </c>
      <c r="L208" s="4">
        <f t="shared" si="24"/>
        <v>0</v>
      </c>
      <c r="M208" s="4">
        <f t="shared" si="25"/>
        <v>0.5</v>
      </c>
      <c r="N208" s="4">
        <f t="shared" si="26"/>
        <v>1</v>
      </c>
    </row>
    <row r="209" spans="1:14" x14ac:dyDescent="0.2">
      <c r="A209" t="str">
        <v>d_208</v>
      </c>
      <c r="B209" s="2">
        <v>40779</v>
      </c>
      <c r="C209" s="4">
        <v>0</v>
      </c>
      <c r="D209" s="4">
        <v>0</v>
      </c>
      <c r="E209" s="4">
        <v>0</v>
      </c>
      <c r="F209">
        <f t="shared" si="27"/>
        <v>0</v>
      </c>
      <c r="G209">
        <f t="shared" si="28"/>
        <v>0.5</v>
      </c>
      <c r="H209" s="4">
        <f t="shared" si="29"/>
        <v>0</v>
      </c>
      <c r="I209" s="4">
        <f t="shared" ref="I209:I272" si="30">AVERAGE(C195,C208)</f>
        <v>0</v>
      </c>
      <c r="J209" s="4">
        <f t="shared" ref="J209:J272" si="31">AVERAGE(D195,D208)</f>
        <v>0.5</v>
      </c>
      <c r="K209" s="4">
        <f t="shared" ref="K209:K272" si="32">AVERAGE(E195,E208)</f>
        <v>1.5</v>
      </c>
      <c r="L209" s="4">
        <f t="shared" si="24"/>
        <v>0.5</v>
      </c>
      <c r="M209" s="4">
        <f t="shared" si="25"/>
        <v>1</v>
      </c>
      <c r="N209" s="4">
        <f t="shared" si="26"/>
        <v>0.5</v>
      </c>
    </row>
    <row r="210" spans="1:14" x14ac:dyDescent="0.2">
      <c r="A210" t="str">
        <v>d_209</v>
      </c>
      <c r="B210" s="2">
        <v>40780</v>
      </c>
      <c r="C210" s="4">
        <v>0</v>
      </c>
      <c r="D210" s="4">
        <v>1</v>
      </c>
      <c r="E210" s="4">
        <v>4</v>
      </c>
      <c r="F210">
        <f t="shared" si="27"/>
        <v>0</v>
      </c>
      <c r="G210">
        <f t="shared" si="28"/>
        <v>0.5</v>
      </c>
      <c r="H210" s="4">
        <f t="shared" si="29"/>
        <v>2.5</v>
      </c>
      <c r="I210" s="4">
        <f t="shared" si="30"/>
        <v>0</v>
      </c>
      <c r="J210" s="4">
        <f t="shared" si="31"/>
        <v>0.5</v>
      </c>
      <c r="K210" s="4">
        <f t="shared" si="32"/>
        <v>0</v>
      </c>
      <c r="L210" s="4">
        <f t="shared" si="24"/>
        <v>0</v>
      </c>
      <c r="M210" s="4">
        <f t="shared" si="25"/>
        <v>1</v>
      </c>
      <c r="N210" s="4">
        <f t="shared" si="26"/>
        <v>0</v>
      </c>
    </row>
    <row r="211" spans="1:14" x14ac:dyDescent="0.2">
      <c r="A211" t="str">
        <v>d_210</v>
      </c>
      <c r="B211" s="2">
        <v>40781</v>
      </c>
      <c r="C211" s="4">
        <v>0</v>
      </c>
      <c r="D211" s="4">
        <v>0</v>
      </c>
      <c r="E211" s="4">
        <v>2</v>
      </c>
      <c r="F211">
        <f t="shared" si="27"/>
        <v>0</v>
      </c>
      <c r="G211">
        <f t="shared" si="28"/>
        <v>0.5</v>
      </c>
      <c r="H211" s="4">
        <f t="shared" si="29"/>
        <v>2</v>
      </c>
      <c r="I211" s="4">
        <f t="shared" si="30"/>
        <v>0</v>
      </c>
      <c r="J211" s="4">
        <f t="shared" si="31"/>
        <v>3</v>
      </c>
      <c r="K211" s="4">
        <f t="shared" si="32"/>
        <v>4</v>
      </c>
      <c r="L211" s="4">
        <f t="shared" si="24"/>
        <v>1</v>
      </c>
      <c r="M211" s="4">
        <f t="shared" si="25"/>
        <v>1.5</v>
      </c>
      <c r="N211" s="4">
        <f t="shared" si="26"/>
        <v>3</v>
      </c>
    </row>
    <row r="212" spans="1:14" x14ac:dyDescent="0.2">
      <c r="A212" t="str">
        <v>d_211</v>
      </c>
      <c r="B212" s="2">
        <v>40782</v>
      </c>
      <c r="C212" s="4">
        <v>0</v>
      </c>
      <c r="D212" s="4">
        <v>0</v>
      </c>
      <c r="E212" s="4">
        <v>2</v>
      </c>
      <c r="F212">
        <f t="shared" si="27"/>
        <v>0</v>
      </c>
      <c r="G212">
        <f t="shared" si="28"/>
        <v>1</v>
      </c>
      <c r="H212" s="4">
        <f t="shared" si="29"/>
        <v>1</v>
      </c>
      <c r="I212" s="4">
        <f t="shared" si="30"/>
        <v>0</v>
      </c>
      <c r="J212" s="4">
        <f t="shared" si="31"/>
        <v>1</v>
      </c>
      <c r="K212" s="4">
        <f t="shared" si="32"/>
        <v>3.5</v>
      </c>
      <c r="L212" s="4">
        <f t="shared" si="24"/>
        <v>0</v>
      </c>
      <c r="M212" s="4">
        <f t="shared" si="25"/>
        <v>0</v>
      </c>
      <c r="N212" s="4">
        <f t="shared" si="26"/>
        <v>1</v>
      </c>
    </row>
    <row r="213" spans="1:14" x14ac:dyDescent="0.2">
      <c r="A213" t="str">
        <v>d_212</v>
      </c>
      <c r="B213" s="2">
        <v>40783</v>
      </c>
      <c r="C213" s="4">
        <v>0</v>
      </c>
      <c r="D213" s="4">
        <v>1</v>
      </c>
      <c r="E213" s="4">
        <v>0</v>
      </c>
      <c r="F213">
        <f t="shared" si="27"/>
        <v>0</v>
      </c>
      <c r="G213">
        <f t="shared" si="28"/>
        <v>1</v>
      </c>
      <c r="H213" s="4">
        <f t="shared" si="29"/>
        <v>1</v>
      </c>
      <c r="I213" s="4">
        <f t="shared" si="30"/>
        <v>0</v>
      </c>
      <c r="J213" s="4">
        <f t="shared" si="31"/>
        <v>0</v>
      </c>
      <c r="K213" s="4">
        <f t="shared" si="32"/>
        <v>1</v>
      </c>
      <c r="L213" s="4">
        <f t="shared" si="24"/>
        <v>0.5</v>
      </c>
      <c r="M213" s="4">
        <f t="shared" si="25"/>
        <v>0</v>
      </c>
      <c r="N213" s="4">
        <f t="shared" si="26"/>
        <v>1.5</v>
      </c>
    </row>
    <row r="214" spans="1:14" x14ac:dyDescent="0.2">
      <c r="A214" t="str">
        <v>d_213</v>
      </c>
      <c r="B214" s="2">
        <v>40784</v>
      </c>
      <c r="C214" s="4">
        <v>0</v>
      </c>
      <c r="D214" s="4">
        <v>2</v>
      </c>
      <c r="E214" s="4">
        <v>0</v>
      </c>
      <c r="F214">
        <f t="shared" si="27"/>
        <v>0</v>
      </c>
      <c r="G214">
        <f t="shared" si="28"/>
        <v>1.5</v>
      </c>
      <c r="H214" s="4">
        <f t="shared" si="29"/>
        <v>0.5</v>
      </c>
      <c r="I214" s="4">
        <f t="shared" si="30"/>
        <v>0</v>
      </c>
      <c r="J214" s="4">
        <f t="shared" si="31"/>
        <v>0.5</v>
      </c>
      <c r="K214" s="4">
        <f t="shared" si="32"/>
        <v>0</v>
      </c>
      <c r="L214" s="4">
        <f t="shared" si="24"/>
        <v>0</v>
      </c>
      <c r="M214" s="4">
        <f t="shared" si="25"/>
        <v>1.5</v>
      </c>
      <c r="N214" s="4">
        <f t="shared" si="26"/>
        <v>0</v>
      </c>
    </row>
    <row r="215" spans="1:14" x14ac:dyDescent="0.2">
      <c r="A215" t="str">
        <v>d_214</v>
      </c>
      <c r="B215" s="2">
        <v>40785</v>
      </c>
      <c r="C215" s="4">
        <v>0</v>
      </c>
      <c r="D215" s="4">
        <v>1</v>
      </c>
      <c r="E215" s="4">
        <v>0</v>
      </c>
      <c r="F215">
        <f t="shared" si="27"/>
        <v>0</v>
      </c>
      <c r="G215">
        <f t="shared" si="28"/>
        <v>0.5</v>
      </c>
      <c r="H215" s="4">
        <f t="shared" si="29"/>
        <v>0</v>
      </c>
      <c r="I215" s="4">
        <f t="shared" si="30"/>
        <v>0</v>
      </c>
      <c r="J215" s="4">
        <f t="shared" si="31"/>
        <v>1</v>
      </c>
      <c r="K215" s="4">
        <f t="shared" si="32"/>
        <v>0.5</v>
      </c>
      <c r="L215" s="4">
        <f t="shared" si="24"/>
        <v>0</v>
      </c>
      <c r="M215" s="4">
        <f t="shared" si="25"/>
        <v>2</v>
      </c>
      <c r="N215" s="4">
        <f t="shared" si="26"/>
        <v>0.5</v>
      </c>
    </row>
    <row r="216" spans="1:14" x14ac:dyDescent="0.2">
      <c r="A216" t="str">
        <v>d_215</v>
      </c>
      <c r="B216" s="2">
        <v>40786</v>
      </c>
      <c r="C216" s="4">
        <v>0</v>
      </c>
      <c r="D216" s="4">
        <v>3</v>
      </c>
      <c r="E216" s="4">
        <v>1</v>
      </c>
      <c r="F216">
        <f t="shared" si="27"/>
        <v>0</v>
      </c>
      <c r="G216">
        <f t="shared" si="28"/>
        <v>2</v>
      </c>
      <c r="H216" s="4">
        <f t="shared" si="29"/>
        <v>2.5</v>
      </c>
      <c r="I216" s="4">
        <f t="shared" si="30"/>
        <v>0</v>
      </c>
      <c r="J216" s="4">
        <f t="shared" si="31"/>
        <v>1</v>
      </c>
      <c r="K216" s="4">
        <f t="shared" si="32"/>
        <v>0</v>
      </c>
      <c r="L216" s="4">
        <f t="shared" si="24"/>
        <v>0.5</v>
      </c>
      <c r="M216" s="4">
        <f t="shared" si="25"/>
        <v>1</v>
      </c>
      <c r="N216" s="4">
        <f t="shared" si="26"/>
        <v>0.5</v>
      </c>
    </row>
    <row r="217" spans="1:14" x14ac:dyDescent="0.2">
      <c r="A217" t="str">
        <v>d_216</v>
      </c>
      <c r="B217" s="2">
        <v>40787</v>
      </c>
      <c r="C217" s="4">
        <v>0</v>
      </c>
      <c r="D217" s="4">
        <v>2</v>
      </c>
      <c r="E217" s="4">
        <v>1</v>
      </c>
      <c r="F217">
        <f t="shared" si="27"/>
        <v>0</v>
      </c>
      <c r="G217">
        <f t="shared" si="28"/>
        <v>1</v>
      </c>
      <c r="H217" s="4">
        <f t="shared" si="29"/>
        <v>1.5</v>
      </c>
      <c r="I217" s="4">
        <f t="shared" si="30"/>
        <v>0</v>
      </c>
      <c r="J217" s="4">
        <f t="shared" si="31"/>
        <v>2</v>
      </c>
      <c r="K217" s="4">
        <f t="shared" si="32"/>
        <v>0.5</v>
      </c>
      <c r="L217" s="4">
        <f t="shared" si="24"/>
        <v>0.5</v>
      </c>
      <c r="M217" s="4">
        <f t="shared" si="25"/>
        <v>1.5</v>
      </c>
      <c r="N217" s="4">
        <f t="shared" si="26"/>
        <v>0.5</v>
      </c>
    </row>
    <row r="218" spans="1:14" x14ac:dyDescent="0.2">
      <c r="A218" t="str">
        <v>d_217</v>
      </c>
      <c r="B218" s="2">
        <v>40788</v>
      </c>
      <c r="C218" s="4">
        <v>0</v>
      </c>
      <c r="D218" s="4">
        <v>1</v>
      </c>
      <c r="E218" s="4">
        <v>2</v>
      </c>
      <c r="F218">
        <f t="shared" si="27"/>
        <v>0</v>
      </c>
      <c r="G218">
        <f t="shared" si="28"/>
        <v>0.5</v>
      </c>
      <c r="H218" s="4">
        <f t="shared" si="29"/>
        <v>2</v>
      </c>
      <c r="I218" s="4">
        <f t="shared" si="30"/>
        <v>0</v>
      </c>
      <c r="J218" s="4">
        <f t="shared" si="31"/>
        <v>1</v>
      </c>
      <c r="K218" s="4">
        <f t="shared" si="32"/>
        <v>1</v>
      </c>
      <c r="L218" s="4">
        <f t="shared" si="24"/>
        <v>0</v>
      </c>
      <c r="M218" s="4">
        <f t="shared" si="25"/>
        <v>1</v>
      </c>
      <c r="N218" s="4">
        <f t="shared" si="26"/>
        <v>0.5</v>
      </c>
    </row>
    <row r="219" spans="1:14" x14ac:dyDescent="0.2">
      <c r="A219" t="str">
        <v>d_218</v>
      </c>
      <c r="B219" s="2">
        <v>40789</v>
      </c>
      <c r="C219" s="4">
        <v>0</v>
      </c>
      <c r="D219" s="4">
        <v>1</v>
      </c>
      <c r="E219" s="4">
        <v>1</v>
      </c>
      <c r="F219">
        <f t="shared" si="27"/>
        <v>0</v>
      </c>
      <c r="G219">
        <f t="shared" si="28"/>
        <v>1</v>
      </c>
      <c r="H219" s="4">
        <f t="shared" si="29"/>
        <v>0.5</v>
      </c>
      <c r="I219" s="4">
        <f t="shared" si="30"/>
        <v>0</v>
      </c>
      <c r="J219" s="4">
        <f t="shared" si="31"/>
        <v>1</v>
      </c>
      <c r="K219" s="4">
        <f t="shared" si="32"/>
        <v>2</v>
      </c>
      <c r="L219" s="4">
        <f t="shared" si="24"/>
        <v>0</v>
      </c>
      <c r="M219" s="4">
        <f t="shared" si="25"/>
        <v>1</v>
      </c>
      <c r="N219" s="4">
        <f t="shared" si="26"/>
        <v>1.5</v>
      </c>
    </row>
    <row r="220" spans="1:14" x14ac:dyDescent="0.2">
      <c r="A220" t="str">
        <v>d_219</v>
      </c>
      <c r="B220" s="2">
        <v>40790</v>
      </c>
      <c r="C220" s="4">
        <v>0</v>
      </c>
      <c r="D220" s="4">
        <v>0</v>
      </c>
      <c r="E220" s="4">
        <v>0</v>
      </c>
      <c r="F220">
        <f t="shared" si="27"/>
        <v>0</v>
      </c>
      <c r="G220">
        <f t="shared" si="28"/>
        <v>1</v>
      </c>
      <c r="H220" s="4">
        <f t="shared" si="29"/>
        <v>0</v>
      </c>
      <c r="I220" s="4">
        <f t="shared" si="30"/>
        <v>0</v>
      </c>
      <c r="J220" s="4">
        <f t="shared" si="31"/>
        <v>1.5</v>
      </c>
      <c r="K220" s="4">
        <f t="shared" si="32"/>
        <v>0.5</v>
      </c>
      <c r="L220" s="4">
        <f t="shared" si="24"/>
        <v>0</v>
      </c>
      <c r="M220" s="4">
        <f t="shared" si="25"/>
        <v>1</v>
      </c>
      <c r="N220" s="4">
        <f t="shared" si="26"/>
        <v>1.5</v>
      </c>
    </row>
    <row r="221" spans="1:14" x14ac:dyDescent="0.2">
      <c r="A221" t="str">
        <v>d_220</v>
      </c>
      <c r="B221" s="2">
        <v>40791</v>
      </c>
      <c r="C221" s="4">
        <v>0</v>
      </c>
      <c r="D221" s="4">
        <v>1</v>
      </c>
      <c r="E221" s="4">
        <v>0</v>
      </c>
      <c r="F221">
        <f t="shared" si="27"/>
        <v>0</v>
      </c>
      <c r="G221">
        <f t="shared" si="28"/>
        <v>1</v>
      </c>
      <c r="H221" s="4">
        <f t="shared" si="29"/>
        <v>0</v>
      </c>
      <c r="I221" s="4">
        <f t="shared" si="30"/>
        <v>0</v>
      </c>
      <c r="J221" s="4">
        <f t="shared" si="31"/>
        <v>0.5</v>
      </c>
      <c r="K221" s="4">
        <f t="shared" si="32"/>
        <v>1</v>
      </c>
      <c r="L221" s="4">
        <f t="shared" si="24"/>
        <v>0</v>
      </c>
      <c r="M221" s="4">
        <f t="shared" si="25"/>
        <v>1.5</v>
      </c>
      <c r="N221" s="4">
        <f t="shared" si="26"/>
        <v>1</v>
      </c>
    </row>
    <row r="222" spans="1:14" x14ac:dyDescent="0.2">
      <c r="A222" t="str">
        <v>d_221</v>
      </c>
      <c r="B222" s="2">
        <v>40792</v>
      </c>
      <c r="C222" s="4">
        <v>0</v>
      </c>
      <c r="D222" s="4">
        <v>0</v>
      </c>
      <c r="E222" s="4">
        <v>1</v>
      </c>
      <c r="F222">
        <f t="shared" si="27"/>
        <v>0</v>
      </c>
      <c r="G222">
        <f t="shared" si="28"/>
        <v>1.5</v>
      </c>
      <c r="H222" s="4">
        <f t="shared" si="29"/>
        <v>1</v>
      </c>
      <c r="I222" s="4">
        <f t="shared" si="30"/>
        <v>0</v>
      </c>
      <c r="J222" s="4">
        <f t="shared" si="31"/>
        <v>1</v>
      </c>
      <c r="K222" s="4">
        <f t="shared" si="32"/>
        <v>0.5</v>
      </c>
      <c r="L222" s="4">
        <f t="shared" si="24"/>
        <v>0</v>
      </c>
      <c r="M222" s="4">
        <f t="shared" si="25"/>
        <v>1</v>
      </c>
      <c r="N222" s="4">
        <f t="shared" si="26"/>
        <v>0</v>
      </c>
    </row>
    <row r="223" spans="1:14" x14ac:dyDescent="0.2">
      <c r="A223" t="str">
        <v>d_222</v>
      </c>
      <c r="B223" s="2">
        <v>40793</v>
      </c>
      <c r="C223" s="4">
        <v>0</v>
      </c>
      <c r="D223" s="4">
        <v>0</v>
      </c>
      <c r="E223" s="4">
        <v>2</v>
      </c>
      <c r="F223">
        <f t="shared" si="27"/>
        <v>0</v>
      </c>
      <c r="G223">
        <f t="shared" si="28"/>
        <v>1</v>
      </c>
      <c r="H223" s="4">
        <f t="shared" si="29"/>
        <v>1.5</v>
      </c>
      <c r="I223" s="4">
        <f t="shared" si="30"/>
        <v>0</v>
      </c>
      <c r="J223" s="4">
        <f t="shared" si="31"/>
        <v>0</v>
      </c>
      <c r="K223" s="4">
        <f t="shared" si="32"/>
        <v>0.5</v>
      </c>
      <c r="L223" s="4">
        <f t="shared" ref="L223:L286" si="33">AVERAGE(C195,C222)</f>
        <v>0</v>
      </c>
      <c r="M223" s="4">
        <f t="shared" ref="M223:M286" si="34">AVERAGE(D195,D222)</f>
        <v>0</v>
      </c>
      <c r="N223" s="4">
        <f t="shared" ref="N223:N286" si="35">AVERAGE(E195,E222)</f>
        <v>1.5</v>
      </c>
    </row>
    <row r="224" spans="1:14" x14ac:dyDescent="0.2">
      <c r="A224" t="str">
        <v>d_223</v>
      </c>
      <c r="B224" s="2">
        <v>40794</v>
      </c>
      <c r="C224" s="4">
        <v>0</v>
      </c>
      <c r="D224" s="4">
        <v>1</v>
      </c>
      <c r="E224" s="4">
        <v>0</v>
      </c>
      <c r="F224">
        <f t="shared" si="27"/>
        <v>0</v>
      </c>
      <c r="G224">
        <f t="shared" si="28"/>
        <v>1</v>
      </c>
      <c r="H224" s="4">
        <f t="shared" si="29"/>
        <v>1</v>
      </c>
      <c r="I224" s="4">
        <f t="shared" si="30"/>
        <v>0</v>
      </c>
      <c r="J224" s="4">
        <f t="shared" si="31"/>
        <v>0.5</v>
      </c>
      <c r="K224" s="4">
        <f t="shared" si="32"/>
        <v>3</v>
      </c>
      <c r="L224" s="4">
        <f t="shared" si="33"/>
        <v>0</v>
      </c>
      <c r="M224" s="4">
        <f t="shared" si="34"/>
        <v>0.5</v>
      </c>
      <c r="N224" s="4">
        <f t="shared" si="35"/>
        <v>1</v>
      </c>
    </row>
    <row r="225" spans="1:14" x14ac:dyDescent="0.2">
      <c r="A225" t="str">
        <v>d_224</v>
      </c>
      <c r="B225" s="2">
        <v>40795</v>
      </c>
      <c r="C225" s="4">
        <v>0</v>
      </c>
      <c r="D225" s="4">
        <v>0</v>
      </c>
      <c r="E225" s="4">
        <v>0</v>
      </c>
      <c r="F225">
        <f t="shared" si="27"/>
        <v>0</v>
      </c>
      <c r="G225">
        <f t="shared" si="28"/>
        <v>0.5</v>
      </c>
      <c r="H225" s="4">
        <f t="shared" si="29"/>
        <v>0.5</v>
      </c>
      <c r="I225" s="4">
        <f t="shared" si="30"/>
        <v>0</v>
      </c>
      <c r="J225" s="4">
        <f t="shared" si="31"/>
        <v>0.5</v>
      </c>
      <c r="K225" s="4">
        <f t="shared" si="32"/>
        <v>1</v>
      </c>
      <c r="L225" s="4">
        <f t="shared" si="33"/>
        <v>0</v>
      </c>
      <c r="M225" s="4">
        <f t="shared" si="34"/>
        <v>3</v>
      </c>
      <c r="N225" s="4">
        <f t="shared" si="35"/>
        <v>2</v>
      </c>
    </row>
    <row r="226" spans="1:14" x14ac:dyDescent="0.2">
      <c r="A226" t="str">
        <v>d_225</v>
      </c>
      <c r="B226" s="2">
        <v>40796</v>
      </c>
      <c r="C226" s="4">
        <v>0</v>
      </c>
      <c r="D226" s="4">
        <v>1</v>
      </c>
      <c r="E226" s="4">
        <v>0</v>
      </c>
      <c r="F226">
        <f t="shared" si="27"/>
        <v>0</v>
      </c>
      <c r="G226">
        <f t="shared" si="28"/>
        <v>0.5</v>
      </c>
      <c r="H226" s="4">
        <f t="shared" si="29"/>
        <v>0</v>
      </c>
      <c r="I226" s="4">
        <f t="shared" si="30"/>
        <v>0</v>
      </c>
      <c r="J226" s="4">
        <f t="shared" si="31"/>
        <v>0</v>
      </c>
      <c r="K226" s="4">
        <f t="shared" si="32"/>
        <v>1</v>
      </c>
      <c r="L226" s="4">
        <f t="shared" si="33"/>
        <v>0</v>
      </c>
      <c r="M226" s="4">
        <f t="shared" si="34"/>
        <v>1</v>
      </c>
      <c r="N226" s="4">
        <f t="shared" si="35"/>
        <v>2.5</v>
      </c>
    </row>
    <row r="227" spans="1:14" x14ac:dyDescent="0.2">
      <c r="A227" t="str">
        <v>d_226</v>
      </c>
      <c r="B227" s="2">
        <v>40797</v>
      </c>
      <c r="C227" s="4">
        <v>0</v>
      </c>
      <c r="D227" s="4">
        <v>1</v>
      </c>
      <c r="E227" s="4">
        <v>0</v>
      </c>
      <c r="F227">
        <f t="shared" si="27"/>
        <v>0</v>
      </c>
      <c r="G227">
        <f t="shared" si="28"/>
        <v>1</v>
      </c>
      <c r="H227" s="4">
        <f t="shared" si="29"/>
        <v>0</v>
      </c>
      <c r="I227" s="4">
        <f t="shared" si="30"/>
        <v>0</v>
      </c>
      <c r="J227" s="4">
        <f t="shared" si="31"/>
        <v>1</v>
      </c>
      <c r="K227" s="4">
        <f t="shared" si="32"/>
        <v>0</v>
      </c>
      <c r="L227" s="4">
        <f t="shared" si="33"/>
        <v>0</v>
      </c>
      <c r="M227" s="4">
        <f t="shared" si="34"/>
        <v>0.5</v>
      </c>
      <c r="N227" s="4">
        <f t="shared" si="35"/>
        <v>0</v>
      </c>
    </row>
    <row r="228" spans="1:14" x14ac:dyDescent="0.2">
      <c r="A228" t="str">
        <v>d_227</v>
      </c>
      <c r="B228" s="2">
        <v>40798</v>
      </c>
      <c r="C228" s="4">
        <v>0</v>
      </c>
      <c r="D228" s="4">
        <v>0</v>
      </c>
      <c r="E228" s="4">
        <v>0</v>
      </c>
      <c r="F228">
        <f t="shared" si="27"/>
        <v>0</v>
      </c>
      <c r="G228">
        <f t="shared" si="28"/>
        <v>0</v>
      </c>
      <c r="H228" s="4">
        <f t="shared" si="29"/>
        <v>0.5</v>
      </c>
      <c r="I228" s="4">
        <f t="shared" si="30"/>
        <v>0</v>
      </c>
      <c r="J228" s="4">
        <f t="shared" si="31"/>
        <v>1.5</v>
      </c>
      <c r="K228" s="4">
        <f t="shared" si="32"/>
        <v>0</v>
      </c>
      <c r="L228" s="4">
        <f t="shared" si="33"/>
        <v>0</v>
      </c>
      <c r="M228" s="4">
        <f t="shared" si="34"/>
        <v>0.5</v>
      </c>
      <c r="N228" s="4">
        <f t="shared" si="35"/>
        <v>0</v>
      </c>
    </row>
    <row r="229" spans="1:14" x14ac:dyDescent="0.2">
      <c r="A229" t="str">
        <v>d_228</v>
      </c>
      <c r="B229" s="2">
        <v>40799</v>
      </c>
      <c r="C229" s="4">
        <v>0</v>
      </c>
      <c r="D229" s="4">
        <v>0</v>
      </c>
      <c r="E229" s="4">
        <v>0</v>
      </c>
      <c r="F229">
        <f t="shared" si="27"/>
        <v>0</v>
      </c>
      <c r="G229">
        <f t="shared" si="28"/>
        <v>0</v>
      </c>
      <c r="H229" s="4">
        <f t="shared" si="29"/>
        <v>1</v>
      </c>
      <c r="I229" s="4">
        <f t="shared" si="30"/>
        <v>0</v>
      </c>
      <c r="J229" s="4">
        <f t="shared" si="31"/>
        <v>0.5</v>
      </c>
      <c r="K229" s="4">
        <f t="shared" si="32"/>
        <v>0</v>
      </c>
      <c r="L229" s="4">
        <f t="shared" si="33"/>
        <v>0</v>
      </c>
      <c r="M229" s="4">
        <f t="shared" si="34"/>
        <v>0</v>
      </c>
      <c r="N229" s="4">
        <f t="shared" si="35"/>
        <v>0.5</v>
      </c>
    </row>
    <row r="230" spans="1:14" x14ac:dyDescent="0.2">
      <c r="A230" t="str">
        <v>d_229</v>
      </c>
      <c r="B230" s="2">
        <v>40800</v>
      </c>
      <c r="C230" s="4">
        <v>0</v>
      </c>
      <c r="D230" s="4">
        <v>0</v>
      </c>
      <c r="E230" s="4">
        <v>0</v>
      </c>
      <c r="F230">
        <f t="shared" si="27"/>
        <v>0</v>
      </c>
      <c r="G230">
        <f t="shared" si="28"/>
        <v>0.5</v>
      </c>
      <c r="H230" s="4">
        <f t="shared" si="29"/>
        <v>0</v>
      </c>
      <c r="I230" s="4">
        <f t="shared" si="30"/>
        <v>0</v>
      </c>
      <c r="J230" s="4">
        <f t="shared" si="31"/>
        <v>1.5</v>
      </c>
      <c r="K230" s="4">
        <f t="shared" si="32"/>
        <v>0.5</v>
      </c>
      <c r="L230" s="4">
        <f t="shared" si="33"/>
        <v>0</v>
      </c>
      <c r="M230" s="4">
        <f t="shared" si="34"/>
        <v>0.5</v>
      </c>
      <c r="N230" s="4">
        <f t="shared" si="35"/>
        <v>0</v>
      </c>
    </row>
    <row r="231" spans="1:14" x14ac:dyDescent="0.2">
      <c r="A231" t="str">
        <v>d_230</v>
      </c>
      <c r="B231" s="2">
        <v>40801</v>
      </c>
      <c r="C231" s="4">
        <v>0</v>
      </c>
      <c r="D231" s="4">
        <v>0</v>
      </c>
      <c r="E231" s="4">
        <v>1</v>
      </c>
      <c r="F231">
        <f t="shared" si="27"/>
        <v>0</v>
      </c>
      <c r="G231">
        <f t="shared" si="28"/>
        <v>0</v>
      </c>
      <c r="H231" s="4">
        <f t="shared" si="29"/>
        <v>0.5</v>
      </c>
      <c r="I231" s="4">
        <f t="shared" si="30"/>
        <v>0</v>
      </c>
      <c r="J231" s="4">
        <f t="shared" si="31"/>
        <v>1</v>
      </c>
      <c r="K231" s="4">
        <f t="shared" si="32"/>
        <v>0.5</v>
      </c>
      <c r="L231" s="4">
        <f t="shared" si="33"/>
        <v>0</v>
      </c>
      <c r="M231" s="4">
        <f t="shared" si="34"/>
        <v>0.5</v>
      </c>
      <c r="N231" s="4">
        <f t="shared" si="35"/>
        <v>0</v>
      </c>
    </row>
    <row r="232" spans="1:14" x14ac:dyDescent="0.2">
      <c r="A232" t="str">
        <v>d_231</v>
      </c>
      <c r="B232" s="2">
        <v>40802</v>
      </c>
      <c r="C232" s="4">
        <v>0</v>
      </c>
      <c r="D232" s="4">
        <v>0</v>
      </c>
      <c r="E232" s="4">
        <v>0</v>
      </c>
      <c r="F232">
        <f t="shared" si="27"/>
        <v>0</v>
      </c>
      <c r="G232">
        <f t="shared" si="28"/>
        <v>0.5</v>
      </c>
      <c r="H232" s="4">
        <f t="shared" si="29"/>
        <v>0</v>
      </c>
      <c r="I232" s="4">
        <f t="shared" si="30"/>
        <v>0</v>
      </c>
      <c r="J232" s="4">
        <f t="shared" si="31"/>
        <v>0.5</v>
      </c>
      <c r="K232" s="4">
        <f t="shared" si="32"/>
        <v>1.5</v>
      </c>
      <c r="L232" s="4">
        <f t="shared" si="33"/>
        <v>0</v>
      </c>
      <c r="M232" s="4">
        <f t="shared" si="34"/>
        <v>0</v>
      </c>
      <c r="N232" s="4">
        <f t="shared" si="35"/>
        <v>1</v>
      </c>
    </row>
    <row r="233" spans="1:14" x14ac:dyDescent="0.2">
      <c r="A233" t="str">
        <v>d_232</v>
      </c>
      <c r="B233" s="2">
        <v>40803</v>
      </c>
      <c r="C233" s="4">
        <v>0</v>
      </c>
      <c r="D233" s="4">
        <v>3</v>
      </c>
      <c r="E233" s="4">
        <v>8</v>
      </c>
      <c r="F233">
        <f t="shared" si="27"/>
        <v>0</v>
      </c>
      <c r="G233">
        <f t="shared" si="28"/>
        <v>2</v>
      </c>
      <c r="H233" s="4">
        <f t="shared" si="29"/>
        <v>4</v>
      </c>
      <c r="I233" s="4">
        <f t="shared" si="30"/>
        <v>0</v>
      </c>
      <c r="J233" s="4">
        <f t="shared" si="31"/>
        <v>0.5</v>
      </c>
      <c r="K233" s="4">
        <f t="shared" si="32"/>
        <v>0.5</v>
      </c>
      <c r="L233" s="4">
        <f t="shared" si="33"/>
        <v>0</v>
      </c>
      <c r="M233" s="4">
        <f t="shared" si="34"/>
        <v>0.5</v>
      </c>
      <c r="N233" s="4">
        <f t="shared" si="35"/>
        <v>1</v>
      </c>
    </row>
    <row r="234" spans="1:14" x14ac:dyDescent="0.2">
      <c r="A234" t="str">
        <v>d_233</v>
      </c>
      <c r="B234" s="2">
        <v>40804</v>
      </c>
      <c r="C234" s="4">
        <v>0</v>
      </c>
      <c r="D234" s="4">
        <v>2</v>
      </c>
      <c r="E234" s="4">
        <v>0</v>
      </c>
      <c r="F234">
        <f t="shared" si="27"/>
        <v>0</v>
      </c>
      <c r="G234">
        <f t="shared" si="28"/>
        <v>1</v>
      </c>
      <c r="H234" s="4">
        <f t="shared" si="29"/>
        <v>0</v>
      </c>
      <c r="I234" s="4">
        <f t="shared" si="30"/>
        <v>0</v>
      </c>
      <c r="J234" s="4">
        <f t="shared" si="31"/>
        <v>1.5</v>
      </c>
      <c r="K234" s="4">
        <f t="shared" si="32"/>
        <v>4</v>
      </c>
      <c r="L234" s="4">
        <f t="shared" si="33"/>
        <v>0</v>
      </c>
      <c r="M234" s="4">
        <f t="shared" si="34"/>
        <v>2.5</v>
      </c>
      <c r="N234" s="4">
        <f t="shared" si="35"/>
        <v>4</v>
      </c>
    </row>
    <row r="235" spans="1:14" x14ac:dyDescent="0.2">
      <c r="A235" t="str">
        <v>d_234</v>
      </c>
      <c r="B235" s="2">
        <v>40805</v>
      </c>
      <c r="C235" s="4">
        <v>0</v>
      </c>
      <c r="D235" s="4">
        <v>0</v>
      </c>
      <c r="E235" s="4">
        <v>1</v>
      </c>
      <c r="F235">
        <f t="shared" si="27"/>
        <v>0</v>
      </c>
      <c r="G235">
        <f t="shared" si="28"/>
        <v>0</v>
      </c>
      <c r="H235" s="4">
        <f t="shared" si="29"/>
        <v>0.5</v>
      </c>
      <c r="I235" s="4">
        <f t="shared" si="30"/>
        <v>0</v>
      </c>
      <c r="J235" s="4">
        <f t="shared" si="31"/>
        <v>1.5</v>
      </c>
      <c r="K235" s="4">
        <f t="shared" si="32"/>
        <v>0</v>
      </c>
      <c r="L235" s="4">
        <f t="shared" si="33"/>
        <v>0</v>
      </c>
      <c r="M235" s="4">
        <f t="shared" si="34"/>
        <v>1.5</v>
      </c>
      <c r="N235" s="4">
        <f t="shared" si="35"/>
        <v>1</v>
      </c>
    </row>
    <row r="236" spans="1:14" x14ac:dyDescent="0.2">
      <c r="A236" t="str">
        <v>d_235</v>
      </c>
      <c r="B236" s="2">
        <v>40806</v>
      </c>
      <c r="C236" s="4">
        <v>0</v>
      </c>
      <c r="D236" s="4">
        <v>0</v>
      </c>
      <c r="E236" s="4">
        <v>0</v>
      </c>
      <c r="F236">
        <f t="shared" si="27"/>
        <v>0</v>
      </c>
      <c r="G236">
        <f t="shared" si="28"/>
        <v>0</v>
      </c>
      <c r="H236" s="4">
        <f t="shared" si="29"/>
        <v>0</v>
      </c>
      <c r="I236" s="4">
        <f t="shared" si="30"/>
        <v>0</v>
      </c>
      <c r="J236" s="4">
        <f t="shared" si="31"/>
        <v>0</v>
      </c>
      <c r="K236" s="4">
        <f t="shared" si="32"/>
        <v>1</v>
      </c>
      <c r="L236" s="4">
        <f t="shared" si="33"/>
        <v>0</v>
      </c>
      <c r="M236" s="4">
        <f t="shared" si="34"/>
        <v>0.5</v>
      </c>
      <c r="N236" s="4">
        <f t="shared" si="35"/>
        <v>1</v>
      </c>
    </row>
    <row r="237" spans="1:14" x14ac:dyDescent="0.2">
      <c r="A237" t="str">
        <v>d_236</v>
      </c>
      <c r="B237" s="2">
        <v>40807</v>
      </c>
      <c r="C237" s="4">
        <v>0</v>
      </c>
      <c r="D237" s="4">
        <v>0</v>
      </c>
      <c r="E237" s="4">
        <v>0</v>
      </c>
      <c r="F237">
        <f t="shared" si="27"/>
        <v>0</v>
      </c>
      <c r="G237">
        <f t="shared" si="28"/>
        <v>0</v>
      </c>
      <c r="H237" s="4">
        <f t="shared" si="29"/>
        <v>0.5</v>
      </c>
      <c r="I237" s="4">
        <f t="shared" si="30"/>
        <v>0</v>
      </c>
      <c r="J237" s="4">
        <f t="shared" si="31"/>
        <v>0</v>
      </c>
      <c r="K237" s="4">
        <f t="shared" si="32"/>
        <v>1</v>
      </c>
      <c r="L237" s="4">
        <f t="shared" si="33"/>
        <v>0</v>
      </c>
      <c r="M237" s="4">
        <f t="shared" si="34"/>
        <v>0</v>
      </c>
      <c r="N237" s="4">
        <f t="shared" si="35"/>
        <v>0</v>
      </c>
    </row>
    <row r="238" spans="1:14" x14ac:dyDescent="0.2">
      <c r="A238" t="str">
        <v>d_237</v>
      </c>
      <c r="B238" s="2">
        <v>40808</v>
      </c>
      <c r="C238" s="4">
        <v>0</v>
      </c>
      <c r="D238" s="4">
        <v>0</v>
      </c>
      <c r="E238" s="4">
        <v>1</v>
      </c>
      <c r="F238">
        <f t="shared" si="27"/>
        <v>0</v>
      </c>
      <c r="G238">
        <f t="shared" si="28"/>
        <v>0</v>
      </c>
      <c r="H238" s="4">
        <f t="shared" si="29"/>
        <v>0.5</v>
      </c>
      <c r="I238" s="4">
        <f t="shared" si="30"/>
        <v>0</v>
      </c>
      <c r="J238" s="4">
        <f t="shared" si="31"/>
        <v>0.5</v>
      </c>
      <c r="K238" s="4">
        <f t="shared" si="32"/>
        <v>0</v>
      </c>
      <c r="L238" s="4">
        <f t="shared" si="33"/>
        <v>0</v>
      </c>
      <c r="M238" s="4">
        <f t="shared" si="34"/>
        <v>0.5</v>
      </c>
      <c r="N238" s="4">
        <f t="shared" si="35"/>
        <v>2</v>
      </c>
    </row>
    <row r="239" spans="1:14" x14ac:dyDescent="0.2">
      <c r="A239" t="str">
        <v>d_238</v>
      </c>
      <c r="B239" s="2">
        <v>40809</v>
      </c>
      <c r="C239" s="4">
        <v>0</v>
      </c>
      <c r="D239" s="4">
        <v>0</v>
      </c>
      <c r="E239" s="4">
        <v>0</v>
      </c>
      <c r="F239">
        <f t="shared" si="27"/>
        <v>0</v>
      </c>
      <c r="G239">
        <f t="shared" si="28"/>
        <v>1.5</v>
      </c>
      <c r="H239" s="4">
        <f t="shared" si="29"/>
        <v>4</v>
      </c>
      <c r="I239" s="4">
        <f t="shared" si="30"/>
        <v>0</v>
      </c>
      <c r="J239" s="4">
        <f t="shared" si="31"/>
        <v>0</v>
      </c>
      <c r="K239" s="4">
        <f t="shared" si="32"/>
        <v>0.5</v>
      </c>
      <c r="L239" s="4">
        <f t="shared" si="33"/>
        <v>0</v>
      </c>
      <c r="M239" s="4">
        <f t="shared" si="34"/>
        <v>0</v>
      </c>
      <c r="N239" s="4">
        <f t="shared" si="35"/>
        <v>1.5</v>
      </c>
    </row>
    <row r="240" spans="1:14" x14ac:dyDescent="0.2">
      <c r="A240" t="str">
        <v>d_239</v>
      </c>
      <c r="B240" s="2">
        <v>40810</v>
      </c>
      <c r="C240" s="4">
        <v>0</v>
      </c>
      <c r="D240" s="4">
        <v>0</v>
      </c>
      <c r="E240" s="4">
        <v>2</v>
      </c>
      <c r="F240">
        <f t="shared" si="27"/>
        <v>0</v>
      </c>
      <c r="G240">
        <f t="shared" si="28"/>
        <v>1</v>
      </c>
      <c r="H240" s="4">
        <f t="shared" si="29"/>
        <v>1</v>
      </c>
      <c r="I240" s="4">
        <f t="shared" si="30"/>
        <v>0</v>
      </c>
      <c r="J240" s="4">
        <f t="shared" si="31"/>
        <v>0.5</v>
      </c>
      <c r="K240" s="4">
        <f t="shared" si="32"/>
        <v>0</v>
      </c>
      <c r="L240" s="4">
        <f t="shared" si="33"/>
        <v>0</v>
      </c>
      <c r="M240" s="4">
        <f t="shared" si="34"/>
        <v>0</v>
      </c>
      <c r="N240" s="4">
        <f t="shared" si="35"/>
        <v>1</v>
      </c>
    </row>
    <row r="241" spans="1:14" x14ac:dyDescent="0.2">
      <c r="A241" t="str">
        <v>d_240</v>
      </c>
      <c r="B241" s="2">
        <v>40811</v>
      </c>
      <c r="C241" s="4">
        <v>0</v>
      </c>
      <c r="D241" s="4">
        <v>0</v>
      </c>
      <c r="E241" s="4">
        <v>1</v>
      </c>
      <c r="F241">
        <f t="shared" si="27"/>
        <v>0</v>
      </c>
      <c r="G241">
        <f t="shared" si="28"/>
        <v>0</v>
      </c>
      <c r="H241" s="4">
        <f t="shared" si="29"/>
        <v>1</v>
      </c>
      <c r="I241" s="4">
        <f t="shared" si="30"/>
        <v>0</v>
      </c>
      <c r="J241" s="4">
        <f t="shared" si="31"/>
        <v>0.5</v>
      </c>
      <c r="K241" s="4">
        <f t="shared" si="32"/>
        <v>1</v>
      </c>
      <c r="L241" s="4">
        <f t="shared" si="33"/>
        <v>0</v>
      </c>
      <c r="M241" s="4">
        <f t="shared" si="34"/>
        <v>0.5</v>
      </c>
      <c r="N241" s="4">
        <f t="shared" si="35"/>
        <v>1</v>
      </c>
    </row>
    <row r="242" spans="1:14" x14ac:dyDescent="0.2">
      <c r="A242" t="str">
        <v>d_241</v>
      </c>
      <c r="B242" s="2">
        <v>40812</v>
      </c>
      <c r="C242" s="4">
        <v>0</v>
      </c>
      <c r="D242" s="4">
        <v>1</v>
      </c>
      <c r="E242" s="4">
        <v>0</v>
      </c>
      <c r="F242">
        <f t="shared" si="27"/>
        <v>0</v>
      </c>
      <c r="G242">
        <f t="shared" si="28"/>
        <v>0.5</v>
      </c>
      <c r="H242" s="4">
        <f t="shared" si="29"/>
        <v>0</v>
      </c>
      <c r="I242" s="4">
        <f t="shared" si="30"/>
        <v>0</v>
      </c>
      <c r="J242" s="4">
        <f t="shared" si="31"/>
        <v>0</v>
      </c>
      <c r="K242" s="4">
        <f t="shared" si="32"/>
        <v>0.5</v>
      </c>
      <c r="L242" s="4">
        <f t="shared" si="33"/>
        <v>0</v>
      </c>
      <c r="M242" s="4">
        <f t="shared" si="34"/>
        <v>1</v>
      </c>
      <c r="N242" s="4">
        <f t="shared" si="35"/>
        <v>0.5</v>
      </c>
    </row>
    <row r="243" spans="1:14" x14ac:dyDescent="0.2">
      <c r="A243" t="str">
        <v>d_242</v>
      </c>
      <c r="B243" s="2">
        <v>40813</v>
      </c>
      <c r="C243" s="4">
        <v>0</v>
      </c>
      <c r="D243" s="4">
        <v>3</v>
      </c>
      <c r="E243" s="4">
        <v>0</v>
      </c>
      <c r="F243">
        <f t="shared" si="27"/>
        <v>0</v>
      </c>
      <c r="G243">
        <f t="shared" si="28"/>
        <v>1.5</v>
      </c>
      <c r="H243" s="4">
        <f t="shared" si="29"/>
        <v>0</v>
      </c>
      <c r="I243" s="4">
        <f t="shared" si="30"/>
        <v>0</v>
      </c>
      <c r="J243" s="4">
        <f t="shared" si="31"/>
        <v>0.5</v>
      </c>
      <c r="K243" s="4">
        <f t="shared" si="32"/>
        <v>0</v>
      </c>
      <c r="L243" s="4">
        <f t="shared" si="33"/>
        <v>0</v>
      </c>
      <c r="M243" s="4">
        <f t="shared" si="34"/>
        <v>1</v>
      </c>
      <c r="N243" s="4">
        <f t="shared" si="35"/>
        <v>0</v>
      </c>
    </row>
    <row r="244" spans="1:14" x14ac:dyDescent="0.2">
      <c r="A244" t="str">
        <v>d_243</v>
      </c>
      <c r="B244" s="2">
        <v>40814</v>
      </c>
      <c r="C244" s="4">
        <v>0</v>
      </c>
      <c r="D244" s="4">
        <v>2</v>
      </c>
      <c r="E244" s="4">
        <v>0</v>
      </c>
      <c r="F244">
        <f t="shared" si="27"/>
        <v>0</v>
      </c>
      <c r="G244">
        <f t="shared" si="28"/>
        <v>1</v>
      </c>
      <c r="H244" s="4">
        <f t="shared" si="29"/>
        <v>0.5</v>
      </c>
      <c r="I244" s="4">
        <f t="shared" si="30"/>
        <v>0</v>
      </c>
      <c r="J244" s="4">
        <f t="shared" si="31"/>
        <v>1.5</v>
      </c>
      <c r="K244" s="4">
        <f t="shared" si="32"/>
        <v>0</v>
      </c>
      <c r="L244" s="4">
        <f t="shared" si="33"/>
        <v>0</v>
      </c>
      <c r="M244" s="4">
        <f t="shared" si="34"/>
        <v>3</v>
      </c>
      <c r="N244" s="4">
        <f t="shared" si="35"/>
        <v>0.5</v>
      </c>
    </row>
    <row r="245" spans="1:14" x14ac:dyDescent="0.2">
      <c r="A245" t="str">
        <v>d_244</v>
      </c>
      <c r="B245" s="2">
        <v>40815</v>
      </c>
      <c r="C245" s="4">
        <v>0</v>
      </c>
      <c r="D245" s="4">
        <v>0</v>
      </c>
      <c r="E245" s="4">
        <v>0</v>
      </c>
      <c r="F245">
        <f t="shared" si="27"/>
        <v>0</v>
      </c>
      <c r="G245">
        <f t="shared" si="28"/>
        <v>0</v>
      </c>
      <c r="H245" s="4">
        <f t="shared" si="29"/>
        <v>0</v>
      </c>
      <c r="I245" s="4">
        <f t="shared" si="30"/>
        <v>0</v>
      </c>
      <c r="J245" s="4">
        <f t="shared" si="31"/>
        <v>1</v>
      </c>
      <c r="K245" s="4">
        <f t="shared" si="32"/>
        <v>0.5</v>
      </c>
      <c r="L245" s="4">
        <f t="shared" si="33"/>
        <v>0</v>
      </c>
      <c r="M245" s="4">
        <f t="shared" si="34"/>
        <v>2</v>
      </c>
      <c r="N245" s="4">
        <f t="shared" si="35"/>
        <v>0.5</v>
      </c>
    </row>
    <row r="246" spans="1:14" x14ac:dyDescent="0.2">
      <c r="A246" t="str">
        <v>d_245</v>
      </c>
      <c r="B246" s="2">
        <v>40816</v>
      </c>
      <c r="C246" s="4">
        <v>0</v>
      </c>
      <c r="D246" s="4">
        <v>0</v>
      </c>
      <c r="E246" s="4">
        <v>1</v>
      </c>
      <c r="F246">
        <f t="shared" si="27"/>
        <v>0</v>
      </c>
      <c r="G246">
        <f t="shared" si="28"/>
        <v>0</v>
      </c>
      <c r="H246" s="4">
        <f t="shared" si="29"/>
        <v>1.5</v>
      </c>
      <c r="I246" s="4">
        <f t="shared" si="30"/>
        <v>0</v>
      </c>
      <c r="J246" s="4">
        <f t="shared" si="31"/>
        <v>0</v>
      </c>
      <c r="K246" s="4">
        <f t="shared" si="32"/>
        <v>0</v>
      </c>
      <c r="L246" s="4">
        <f t="shared" si="33"/>
        <v>0</v>
      </c>
      <c r="M246" s="4">
        <f t="shared" si="34"/>
        <v>0.5</v>
      </c>
      <c r="N246" s="4">
        <f t="shared" si="35"/>
        <v>1</v>
      </c>
    </row>
    <row r="247" spans="1:14" x14ac:dyDescent="0.2">
      <c r="A247" t="str">
        <v>d_246</v>
      </c>
      <c r="B247" s="2">
        <v>40817</v>
      </c>
      <c r="C247" s="4">
        <v>0</v>
      </c>
      <c r="D247" s="4">
        <v>3</v>
      </c>
      <c r="E247" s="4">
        <v>0</v>
      </c>
      <c r="F247">
        <f t="shared" si="27"/>
        <v>0</v>
      </c>
      <c r="G247">
        <f t="shared" si="28"/>
        <v>1.5</v>
      </c>
      <c r="H247" s="4">
        <f t="shared" si="29"/>
        <v>0.5</v>
      </c>
      <c r="I247" s="4">
        <f t="shared" si="30"/>
        <v>0</v>
      </c>
      <c r="J247" s="4">
        <f t="shared" si="31"/>
        <v>1.5</v>
      </c>
      <c r="K247" s="4">
        <f t="shared" si="32"/>
        <v>4.5</v>
      </c>
      <c r="L247" s="4">
        <f t="shared" si="33"/>
        <v>0</v>
      </c>
      <c r="M247" s="4">
        <f t="shared" si="34"/>
        <v>0.5</v>
      </c>
      <c r="N247" s="4">
        <f t="shared" si="35"/>
        <v>1</v>
      </c>
    </row>
    <row r="248" spans="1:14" x14ac:dyDescent="0.2">
      <c r="A248" t="str">
        <v>d_247</v>
      </c>
      <c r="B248" s="2">
        <v>40818</v>
      </c>
      <c r="C248" s="4">
        <v>0</v>
      </c>
      <c r="D248" s="4">
        <v>0</v>
      </c>
      <c r="E248" s="4">
        <v>0</v>
      </c>
      <c r="F248">
        <f t="shared" si="27"/>
        <v>0</v>
      </c>
      <c r="G248">
        <f t="shared" si="28"/>
        <v>0.5</v>
      </c>
      <c r="H248" s="4">
        <f t="shared" si="29"/>
        <v>0</v>
      </c>
      <c r="I248" s="4">
        <f t="shared" si="30"/>
        <v>0</v>
      </c>
      <c r="J248" s="4">
        <f t="shared" si="31"/>
        <v>2.5</v>
      </c>
      <c r="K248" s="4">
        <f t="shared" si="32"/>
        <v>0</v>
      </c>
      <c r="L248" s="4">
        <f t="shared" si="33"/>
        <v>0</v>
      </c>
      <c r="M248" s="4">
        <f t="shared" si="34"/>
        <v>1.5</v>
      </c>
      <c r="N248" s="4">
        <f t="shared" si="35"/>
        <v>0</v>
      </c>
    </row>
    <row r="249" spans="1:14" x14ac:dyDescent="0.2">
      <c r="A249" t="str">
        <v>d_248</v>
      </c>
      <c r="B249" s="2">
        <v>40819</v>
      </c>
      <c r="C249" s="4">
        <v>0</v>
      </c>
      <c r="D249" s="4">
        <v>1</v>
      </c>
      <c r="E249" s="4">
        <v>1</v>
      </c>
      <c r="F249">
        <f t="shared" si="27"/>
        <v>0</v>
      </c>
      <c r="G249">
        <f t="shared" si="28"/>
        <v>2</v>
      </c>
      <c r="H249" s="4">
        <f t="shared" si="29"/>
        <v>0.5</v>
      </c>
      <c r="I249" s="4">
        <f t="shared" si="30"/>
        <v>0</v>
      </c>
      <c r="J249" s="4">
        <f t="shared" si="31"/>
        <v>0</v>
      </c>
      <c r="K249" s="4">
        <f t="shared" si="32"/>
        <v>0.5</v>
      </c>
      <c r="L249" s="4">
        <f t="shared" si="33"/>
        <v>0</v>
      </c>
      <c r="M249" s="4">
        <f t="shared" si="34"/>
        <v>0.5</v>
      </c>
      <c r="N249" s="4">
        <f t="shared" si="35"/>
        <v>0</v>
      </c>
    </row>
    <row r="250" spans="1:14" x14ac:dyDescent="0.2">
      <c r="A250" t="str">
        <v>d_249</v>
      </c>
      <c r="B250" s="2">
        <v>40820</v>
      </c>
      <c r="C250" s="4">
        <v>0</v>
      </c>
      <c r="D250" s="4">
        <v>0</v>
      </c>
      <c r="E250" s="4">
        <v>2</v>
      </c>
      <c r="F250">
        <f t="shared" si="27"/>
        <v>0</v>
      </c>
      <c r="G250">
        <f t="shared" si="28"/>
        <v>1</v>
      </c>
      <c r="H250" s="4">
        <f t="shared" si="29"/>
        <v>1</v>
      </c>
      <c r="I250" s="4">
        <f t="shared" si="30"/>
        <v>0</v>
      </c>
      <c r="J250" s="4">
        <f t="shared" si="31"/>
        <v>0.5</v>
      </c>
      <c r="K250" s="4">
        <f t="shared" si="32"/>
        <v>0.5</v>
      </c>
      <c r="L250" s="4">
        <f t="shared" si="33"/>
        <v>0</v>
      </c>
      <c r="M250" s="4">
        <f t="shared" si="34"/>
        <v>0.5</v>
      </c>
      <c r="N250" s="4">
        <f t="shared" si="35"/>
        <v>1</v>
      </c>
    </row>
    <row r="251" spans="1:14" x14ac:dyDescent="0.2">
      <c r="A251" t="str">
        <v>d_250</v>
      </c>
      <c r="B251" s="2">
        <v>40821</v>
      </c>
      <c r="C251" s="4">
        <v>0</v>
      </c>
      <c r="D251" s="4">
        <v>0</v>
      </c>
      <c r="E251" s="4">
        <v>0</v>
      </c>
      <c r="F251">
        <f t="shared" si="27"/>
        <v>0</v>
      </c>
      <c r="G251">
        <f t="shared" si="28"/>
        <v>0</v>
      </c>
      <c r="H251" s="4">
        <f t="shared" si="29"/>
        <v>0</v>
      </c>
      <c r="I251" s="4">
        <f t="shared" si="30"/>
        <v>0</v>
      </c>
      <c r="J251" s="4">
        <f t="shared" si="31"/>
        <v>0</v>
      </c>
      <c r="K251" s="4">
        <f t="shared" si="32"/>
        <v>1</v>
      </c>
      <c r="L251" s="4">
        <f t="shared" si="33"/>
        <v>0</v>
      </c>
      <c r="M251" s="4">
        <f t="shared" si="34"/>
        <v>0</v>
      </c>
      <c r="N251" s="4">
        <f t="shared" si="35"/>
        <v>2</v>
      </c>
    </row>
    <row r="252" spans="1:14" x14ac:dyDescent="0.2">
      <c r="A252" t="str">
        <v>d_251</v>
      </c>
      <c r="B252" s="2">
        <v>40822</v>
      </c>
      <c r="C252" s="4">
        <v>0</v>
      </c>
      <c r="D252" s="4">
        <v>0</v>
      </c>
      <c r="E252" s="4">
        <v>2</v>
      </c>
      <c r="F252">
        <f t="shared" si="27"/>
        <v>0</v>
      </c>
      <c r="G252">
        <f t="shared" si="28"/>
        <v>0</v>
      </c>
      <c r="H252" s="4">
        <f t="shared" si="29"/>
        <v>1.5</v>
      </c>
      <c r="I252" s="4">
        <f t="shared" si="30"/>
        <v>0</v>
      </c>
      <c r="J252" s="4">
        <f t="shared" si="31"/>
        <v>0</v>
      </c>
      <c r="K252" s="4">
        <f t="shared" si="32"/>
        <v>0.5</v>
      </c>
      <c r="L252" s="4">
        <f t="shared" si="33"/>
        <v>0</v>
      </c>
      <c r="M252" s="4">
        <f t="shared" si="34"/>
        <v>0.5</v>
      </c>
      <c r="N252" s="4">
        <f t="shared" si="35"/>
        <v>0</v>
      </c>
    </row>
    <row r="253" spans="1:14" x14ac:dyDescent="0.2">
      <c r="A253" t="str">
        <v>d_252</v>
      </c>
      <c r="B253" s="2">
        <v>40823</v>
      </c>
      <c r="C253" s="4">
        <v>0</v>
      </c>
      <c r="D253" s="4">
        <v>0</v>
      </c>
      <c r="E253" s="4">
        <v>1</v>
      </c>
      <c r="F253">
        <f t="shared" si="27"/>
        <v>0</v>
      </c>
      <c r="G253">
        <f t="shared" si="28"/>
        <v>1.5</v>
      </c>
      <c r="H253" s="4">
        <f t="shared" si="29"/>
        <v>0.5</v>
      </c>
      <c r="I253" s="4">
        <f t="shared" si="30"/>
        <v>0</v>
      </c>
      <c r="J253" s="4">
        <f t="shared" si="31"/>
        <v>0</v>
      </c>
      <c r="K253" s="4">
        <f t="shared" si="32"/>
        <v>1</v>
      </c>
      <c r="L253" s="4">
        <f t="shared" si="33"/>
        <v>0</v>
      </c>
      <c r="M253" s="4">
        <f t="shared" si="34"/>
        <v>0</v>
      </c>
      <c r="N253" s="4">
        <f t="shared" si="35"/>
        <v>1</v>
      </c>
    </row>
    <row r="254" spans="1:14" x14ac:dyDescent="0.2">
      <c r="A254" t="str">
        <v>d_253</v>
      </c>
      <c r="B254" s="2">
        <v>40824</v>
      </c>
      <c r="C254" s="4">
        <v>0</v>
      </c>
      <c r="D254" s="4">
        <v>1</v>
      </c>
      <c r="E254" s="4">
        <v>2</v>
      </c>
      <c r="F254">
        <f t="shared" si="27"/>
        <v>0</v>
      </c>
      <c r="G254">
        <f t="shared" si="28"/>
        <v>0.5</v>
      </c>
      <c r="H254" s="4">
        <f t="shared" si="29"/>
        <v>1</v>
      </c>
      <c r="I254" s="4">
        <f t="shared" si="30"/>
        <v>0</v>
      </c>
      <c r="J254" s="4">
        <f t="shared" si="31"/>
        <v>0</v>
      </c>
      <c r="K254" s="4">
        <f t="shared" si="32"/>
        <v>1.5</v>
      </c>
      <c r="L254" s="4">
        <f t="shared" si="33"/>
        <v>0</v>
      </c>
      <c r="M254" s="4">
        <f t="shared" si="34"/>
        <v>0.5</v>
      </c>
      <c r="N254" s="4">
        <f t="shared" si="35"/>
        <v>0.5</v>
      </c>
    </row>
    <row r="255" spans="1:14" x14ac:dyDescent="0.2">
      <c r="A255" t="str">
        <v>d_254</v>
      </c>
      <c r="B255" s="2">
        <v>40825</v>
      </c>
      <c r="C255" s="4">
        <v>0</v>
      </c>
      <c r="D255" s="4">
        <v>2</v>
      </c>
      <c r="E255" s="4">
        <v>1</v>
      </c>
      <c r="F255">
        <f t="shared" si="27"/>
        <v>0</v>
      </c>
      <c r="G255">
        <f t="shared" si="28"/>
        <v>1.5</v>
      </c>
      <c r="H255" s="4">
        <f t="shared" si="29"/>
        <v>1</v>
      </c>
      <c r="I255" s="4">
        <f t="shared" si="30"/>
        <v>0</v>
      </c>
      <c r="J255" s="4">
        <f t="shared" si="31"/>
        <v>0.5</v>
      </c>
      <c r="K255" s="4">
        <f t="shared" si="32"/>
        <v>1.5</v>
      </c>
      <c r="L255" s="4">
        <f t="shared" si="33"/>
        <v>0</v>
      </c>
      <c r="M255" s="4">
        <f t="shared" si="34"/>
        <v>1</v>
      </c>
      <c r="N255" s="4">
        <f t="shared" si="35"/>
        <v>1</v>
      </c>
    </row>
    <row r="256" spans="1:14" x14ac:dyDescent="0.2">
      <c r="A256" t="str">
        <v>d_255</v>
      </c>
      <c r="B256" s="2">
        <v>40826</v>
      </c>
      <c r="C256" s="4">
        <v>0</v>
      </c>
      <c r="D256" s="4">
        <v>1</v>
      </c>
      <c r="E256" s="4">
        <v>2</v>
      </c>
      <c r="F256">
        <f t="shared" si="27"/>
        <v>0</v>
      </c>
      <c r="G256">
        <f t="shared" si="28"/>
        <v>0.5</v>
      </c>
      <c r="H256" s="4">
        <f t="shared" si="29"/>
        <v>2</v>
      </c>
      <c r="I256" s="4">
        <f t="shared" si="30"/>
        <v>0</v>
      </c>
      <c r="J256" s="4">
        <f t="shared" si="31"/>
        <v>1.5</v>
      </c>
      <c r="K256" s="4">
        <f t="shared" si="32"/>
        <v>0.5</v>
      </c>
      <c r="L256" s="4">
        <f t="shared" si="33"/>
        <v>0</v>
      </c>
      <c r="M256" s="4">
        <f t="shared" si="34"/>
        <v>1</v>
      </c>
      <c r="N256" s="4">
        <f t="shared" si="35"/>
        <v>0.5</v>
      </c>
    </row>
    <row r="257" spans="1:14" x14ac:dyDescent="0.2">
      <c r="A257" t="str">
        <v>d_256</v>
      </c>
      <c r="B257" s="2">
        <v>40827</v>
      </c>
      <c r="C257" s="4">
        <v>0</v>
      </c>
      <c r="D257" s="4">
        <v>0</v>
      </c>
      <c r="E257" s="4">
        <v>2</v>
      </c>
      <c r="F257">
        <f t="shared" si="27"/>
        <v>0</v>
      </c>
      <c r="G257">
        <f t="shared" si="28"/>
        <v>0</v>
      </c>
      <c r="H257" s="4">
        <f t="shared" si="29"/>
        <v>1</v>
      </c>
      <c r="I257" s="4">
        <f t="shared" si="30"/>
        <v>0</v>
      </c>
      <c r="J257" s="4">
        <f t="shared" si="31"/>
        <v>2</v>
      </c>
      <c r="K257" s="4">
        <f t="shared" si="32"/>
        <v>1</v>
      </c>
      <c r="L257" s="4">
        <f t="shared" si="33"/>
        <v>0</v>
      </c>
      <c r="M257" s="4">
        <f t="shared" si="34"/>
        <v>0.5</v>
      </c>
      <c r="N257" s="4">
        <f t="shared" si="35"/>
        <v>1</v>
      </c>
    </row>
    <row r="258" spans="1:14" x14ac:dyDescent="0.2">
      <c r="A258" t="str">
        <v>d_257</v>
      </c>
      <c r="B258" s="2">
        <v>40828</v>
      </c>
      <c r="C258" s="4">
        <v>0</v>
      </c>
      <c r="D258" s="4">
        <v>0</v>
      </c>
      <c r="E258" s="4">
        <v>0</v>
      </c>
      <c r="F258">
        <f t="shared" si="27"/>
        <v>0</v>
      </c>
      <c r="G258">
        <f t="shared" si="28"/>
        <v>0</v>
      </c>
      <c r="H258" s="4">
        <f t="shared" si="29"/>
        <v>1</v>
      </c>
      <c r="I258" s="4">
        <f t="shared" si="30"/>
        <v>0</v>
      </c>
      <c r="J258" s="4">
        <f t="shared" si="31"/>
        <v>1</v>
      </c>
      <c r="K258" s="4">
        <f t="shared" si="32"/>
        <v>1</v>
      </c>
      <c r="L258" s="4">
        <f t="shared" si="33"/>
        <v>0</v>
      </c>
      <c r="M258" s="4">
        <f t="shared" si="34"/>
        <v>0</v>
      </c>
      <c r="N258" s="4">
        <f t="shared" si="35"/>
        <v>1</v>
      </c>
    </row>
    <row r="259" spans="1:14" x14ac:dyDescent="0.2">
      <c r="A259" t="str">
        <v>d_258</v>
      </c>
      <c r="B259" s="2">
        <v>40829</v>
      </c>
      <c r="C259" s="4">
        <v>0</v>
      </c>
      <c r="D259" s="4">
        <v>0</v>
      </c>
      <c r="E259" s="4">
        <v>0</v>
      </c>
      <c r="F259">
        <f t="shared" si="27"/>
        <v>0</v>
      </c>
      <c r="G259">
        <f t="shared" si="28"/>
        <v>0</v>
      </c>
      <c r="H259" s="4">
        <f t="shared" si="29"/>
        <v>0.5</v>
      </c>
      <c r="I259" s="4">
        <f t="shared" si="30"/>
        <v>0</v>
      </c>
      <c r="J259" s="4">
        <f t="shared" si="31"/>
        <v>0</v>
      </c>
      <c r="K259" s="4">
        <f t="shared" si="32"/>
        <v>0</v>
      </c>
      <c r="L259" s="4">
        <f t="shared" si="33"/>
        <v>0</v>
      </c>
      <c r="M259" s="4">
        <f t="shared" si="34"/>
        <v>0</v>
      </c>
      <c r="N259" s="4">
        <f t="shared" si="35"/>
        <v>0.5</v>
      </c>
    </row>
    <row r="260" spans="1:14" x14ac:dyDescent="0.2">
      <c r="A260" t="str">
        <v>d_259</v>
      </c>
      <c r="B260" s="2">
        <v>40830</v>
      </c>
      <c r="C260" s="4">
        <v>0</v>
      </c>
      <c r="D260" s="4">
        <v>2</v>
      </c>
      <c r="E260" s="4">
        <v>0</v>
      </c>
      <c r="F260">
        <f t="shared" si="27"/>
        <v>0</v>
      </c>
      <c r="G260">
        <f t="shared" si="28"/>
        <v>1.5</v>
      </c>
      <c r="H260" s="4">
        <f t="shared" si="29"/>
        <v>1</v>
      </c>
      <c r="I260" s="4">
        <f t="shared" si="30"/>
        <v>0</v>
      </c>
      <c r="J260" s="4">
        <f t="shared" si="31"/>
        <v>0</v>
      </c>
      <c r="K260" s="4">
        <f t="shared" si="32"/>
        <v>0.5</v>
      </c>
      <c r="L260" s="4">
        <f t="shared" si="33"/>
        <v>0</v>
      </c>
      <c r="M260" s="4">
        <f t="shared" si="34"/>
        <v>0</v>
      </c>
      <c r="N260" s="4">
        <f t="shared" si="35"/>
        <v>0</v>
      </c>
    </row>
    <row r="261" spans="1:14" x14ac:dyDescent="0.2">
      <c r="A261" t="str">
        <v>d_260</v>
      </c>
      <c r="B261" s="2">
        <v>40831</v>
      </c>
      <c r="C261" s="4">
        <v>0</v>
      </c>
      <c r="D261" s="4">
        <v>1</v>
      </c>
      <c r="E261" s="4">
        <v>1</v>
      </c>
      <c r="F261">
        <f t="shared" si="27"/>
        <v>0</v>
      </c>
      <c r="G261">
        <f t="shared" si="28"/>
        <v>1.5</v>
      </c>
      <c r="H261" s="4">
        <f t="shared" si="29"/>
        <v>1</v>
      </c>
      <c r="I261" s="4">
        <f t="shared" si="30"/>
        <v>0</v>
      </c>
      <c r="J261" s="4">
        <f t="shared" si="31"/>
        <v>2.5</v>
      </c>
      <c r="K261" s="4">
        <f t="shared" si="32"/>
        <v>0</v>
      </c>
      <c r="L261" s="4">
        <f t="shared" si="33"/>
        <v>0</v>
      </c>
      <c r="M261" s="4">
        <f t="shared" si="34"/>
        <v>2.5</v>
      </c>
      <c r="N261" s="4">
        <f t="shared" si="35"/>
        <v>4</v>
      </c>
    </row>
    <row r="262" spans="1:14" x14ac:dyDescent="0.2">
      <c r="A262" t="str">
        <v>d_261</v>
      </c>
      <c r="B262" s="2">
        <v>40832</v>
      </c>
      <c r="C262" s="4">
        <v>0</v>
      </c>
      <c r="D262" s="4">
        <v>3</v>
      </c>
      <c r="E262" s="4">
        <v>0</v>
      </c>
      <c r="F262">
        <f t="shared" si="27"/>
        <v>0</v>
      </c>
      <c r="G262">
        <f t="shared" si="28"/>
        <v>2</v>
      </c>
      <c r="H262" s="4">
        <f t="shared" si="29"/>
        <v>1</v>
      </c>
      <c r="I262" s="4">
        <f t="shared" si="30"/>
        <v>0</v>
      </c>
      <c r="J262" s="4">
        <f t="shared" si="31"/>
        <v>0.5</v>
      </c>
      <c r="K262" s="4">
        <f t="shared" si="32"/>
        <v>0.5</v>
      </c>
      <c r="L262" s="4">
        <f t="shared" si="33"/>
        <v>0</v>
      </c>
      <c r="M262" s="4">
        <f t="shared" si="34"/>
        <v>1.5</v>
      </c>
      <c r="N262" s="4">
        <f t="shared" si="35"/>
        <v>0.5</v>
      </c>
    </row>
    <row r="263" spans="1:14" x14ac:dyDescent="0.2">
      <c r="A263" t="str">
        <v>d_262</v>
      </c>
      <c r="B263" s="2">
        <v>40833</v>
      </c>
      <c r="C263" s="4">
        <v>0</v>
      </c>
      <c r="D263" s="4">
        <v>1</v>
      </c>
      <c r="E263" s="4">
        <v>1</v>
      </c>
      <c r="F263">
        <f t="shared" si="27"/>
        <v>0</v>
      </c>
      <c r="G263">
        <f t="shared" si="28"/>
        <v>0.5</v>
      </c>
      <c r="H263" s="4">
        <f t="shared" si="29"/>
        <v>1.5</v>
      </c>
      <c r="I263" s="4">
        <f t="shared" si="30"/>
        <v>0</v>
      </c>
      <c r="J263" s="4">
        <f t="shared" si="31"/>
        <v>2</v>
      </c>
      <c r="K263" s="4">
        <f t="shared" si="32"/>
        <v>0.5</v>
      </c>
      <c r="L263" s="4">
        <f t="shared" si="33"/>
        <v>0</v>
      </c>
      <c r="M263" s="4">
        <f t="shared" si="34"/>
        <v>1.5</v>
      </c>
      <c r="N263" s="4">
        <f t="shared" si="35"/>
        <v>0.5</v>
      </c>
    </row>
    <row r="264" spans="1:14" x14ac:dyDescent="0.2">
      <c r="A264" t="str">
        <v>d_263</v>
      </c>
      <c r="B264" s="2">
        <v>40834</v>
      </c>
      <c r="C264" s="4">
        <v>0</v>
      </c>
      <c r="D264" s="4">
        <v>0</v>
      </c>
      <c r="E264" s="4">
        <v>2</v>
      </c>
      <c r="F264">
        <f t="shared" si="27"/>
        <v>0</v>
      </c>
      <c r="G264">
        <f t="shared" si="28"/>
        <v>0</v>
      </c>
      <c r="H264" s="4">
        <f t="shared" si="29"/>
        <v>1</v>
      </c>
      <c r="I264" s="4">
        <f t="shared" si="30"/>
        <v>0</v>
      </c>
      <c r="J264" s="4">
        <f t="shared" si="31"/>
        <v>0.5</v>
      </c>
      <c r="K264" s="4">
        <f t="shared" si="32"/>
        <v>1.5</v>
      </c>
      <c r="L264" s="4">
        <f t="shared" si="33"/>
        <v>0</v>
      </c>
      <c r="M264" s="4">
        <f t="shared" si="34"/>
        <v>0.5</v>
      </c>
      <c r="N264" s="4">
        <f t="shared" si="35"/>
        <v>0.5</v>
      </c>
    </row>
    <row r="265" spans="1:14" x14ac:dyDescent="0.2">
      <c r="A265" t="str">
        <v>d_264</v>
      </c>
      <c r="B265" s="2">
        <v>40835</v>
      </c>
      <c r="C265" s="4">
        <v>0</v>
      </c>
      <c r="D265" s="4">
        <v>0</v>
      </c>
      <c r="E265" s="4">
        <v>0</v>
      </c>
      <c r="F265">
        <f t="shared" ref="F265:F328" si="36">AVERAGE(C259,C265)</f>
        <v>0</v>
      </c>
      <c r="G265">
        <f t="shared" ref="G265:G328" si="37">AVERAGE(D259,D265)</f>
        <v>0</v>
      </c>
      <c r="H265" s="4">
        <f t="shared" ref="H265:H328" si="38">AVERAGE(E259,E265)</f>
        <v>0</v>
      </c>
      <c r="I265" s="4">
        <f t="shared" si="30"/>
        <v>0</v>
      </c>
      <c r="J265" s="4">
        <f t="shared" si="31"/>
        <v>0</v>
      </c>
      <c r="K265" s="4">
        <f t="shared" si="32"/>
        <v>1</v>
      </c>
      <c r="L265" s="4">
        <f t="shared" si="33"/>
        <v>0</v>
      </c>
      <c r="M265" s="4">
        <f t="shared" si="34"/>
        <v>0</v>
      </c>
      <c r="N265" s="4">
        <f t="shared" si="35"/>
        <v>1</v>
      </c>
    </row>
    <row r="266" spans="1:14" x14ac:dyDescent="0.2">
      <c r="A266" t="str">
        <v>d_265</v>
      </c>
      <c r="B266" s="2">
        <v>40836</v>
      </c>
      <c r="C266" s="4">
        <v>0</v>
      </c>
      <c r="D266" s="4">
        <v>1</v>
      </c>
      <c r="E266" s="4">
        <v>1</v>
      </c>
      <c r="F266">
        <f t="shared" si="36"/>
        <v>0</v>
      </c>
      <c r="G266">
        <f t="shared" si="37"/>
        <v>1.5</v>
      </c>
      <c r="H266" s="4">
        <f t="shared" si="38"/>
        <v>0.5</v>
      </c>
      <c r="I266" s="4">
        <f t="shared" si="30"/>
        <v>0</v>
      </c>
      <c r="J266" s="4">
        <f t="shared" si="31"/>
        <v>0</v>
      </c>
      <c r="K266" s="4">
        <f t="shared" si="32"/>
        <v>1</v>
      </c>
      <c r="L266" s="4">
        <f t="shared" si="33"/>
        <v>0</v>
      </c>
      <c r="M266" s="4">
        <f t="shared" si="34"/>
        <v>0</v>
      </c>
      <c r="N266" s="4">
        <f t="shared" si="35"/>
        <v>0.5</v>
      </c>
    </row>
    <row r="267" spans="1:14" x14ac:dyDescent="0.2">
      <c r="A267" t="str">
        <v>d_266</v>
      </c>
      <c r="B267" s="2">
        <v>40837</v>
      </c>
      <c r="C267" s="4">
        <v>0</v>
      </c>
      <c r="D267" s="4">
        <v>0</v>
      </c>
      <c r="E267" s="4">
        <v>1</v>
      </c>
      <c r="F267">
        <f t="shared" si="36"/>
        <v>0</v>
      </c>
      <c r="G267">
        <f t="shared" si="37"/>
        <v>0.5</v>
      </c>
      <c r="H267" s="4">
        <f t="shared" si="38"/>
        <v>1</v>
      </c>
      <c r="I267" s="4">
        <f t="shared" si="30"/>
        <v>0</v>
      </c>
      <c r="J267" s="4">
        <f t="shared" si="31"/>
        <v>0.5</v>
      </c>
      <c r="K267" s="4">
        <f t="shared" si="32"/>
        <v>1</v>
      </c>
      <c r="L267" s="4">
        <f t="shared" si="33"/>
        <v>0</v>
      </c>
      <c r="M267" s="4">
        <f t="shared" si="34"/>
        <v>0.5</v>
      </c>
      <c r="N267" s="4">
        <f t="shared" si="35"/>
        <v>0.5</v>
      </c>
    </row>
    <row r="268" spans="1:14" x14ac:dyDescent="0.2">
      <c r="A268" t="str">
        <v>d_267</v>
      </c>
      <c r="B268" s="2">
        <v>40838</v>
      </c>
      <c r="C268" s="4">
        <v>0</v>
      </c>
      <c r="D268" s="4">
        <v>0</v>
      </c>
      <c r="E268" s="4">
        <v>0</v>
      </c>
      <c r="F268">
        <f t="shared" si="36"/>
        <v>0</v>
      </c>
      <c r="G268">
        <f t="shared" si="37"/>
        <v>1.5</v>
      </c>
      <c r="H268" s="4">
        <f t="shared" si="38"/>
        <v>0</v>
      </c>
      <c r="I268" s="4">
        <f t="shared" si="30"/>
        <v>0</v>
      </c>
      <c r="J268" s="4">
        <f t="shared" si="31"/>
        <v>0.5</v>
      </c>
      <c r="K268" s="4">
        <f t="shared" si="32"/>
        <v>1.5</v>
      </c>
      <c r="L268" s="4">
        <f t="shared" si="33"/>
        <v>0</v>
      </c>
      <c r="M268" s="4">
        <f t="shared" si="34"/>
        <v>0</v>
      </c>
      <c r="N268" s="4">
        <f t="shared" si="35"/>
        <v>1.5</v>
      </c>
    </row>
    <row r="269" spans="1:14" x14ac:dyDescent="0.2">
      <c r="A269" t="str">
        <v>d_268</v>
      </c>
      <c r="B269" s="2">
        <v>40839</v>
      </c>
      <c r="C269" s="4">
        <v>0</v>
      </c>
      <c r="D269" s="4">
        <v>0</v>
      </c>
      <c r="E269" s="4">
        <v>3</v>
      </c>
      <c r="F269">
        <f t="shared" si="36"/>
        <v>0</v>
      </c>
      <c r="G269">
        <f t="shared" si="37"/>
        <v>0.5</v>
      </c>
      <c r="H269" s="4">
        <f t="shared" si="38"/>
        <v>2</v>
      </c>
      <c r="I269" s="4">
        <f t="shared" si="30"/>
        <v>0</v>
      </c>
      <c r="J269" s="4">
        <f t="shared" si="31"/>
        <v>1</v>
      </c>
      <c r="K269" s="4">
        <f t="shared" si="32"/>
        <v>0.5</v>
      </c>
      <c r="L269" s="4">
        <f t="shared" si="33"/>
        <v>0</v>
      </c>
      <c r="M269" s="4">
        <f t="shared" si="34"/>
        <v>0</v>
      </c>
      <c r="N269" s="4">
        <f t="shared" si="35"/>
        <v>0.5</v>
      </c>
    </row>
    <row r="270" spans="1:14" x14ac:dyDescent="0.2">
      <c r="A270" t="str">
        <v>d_269</v>
      </c>
      <c r="B270" s="2">
        <v>40840</v>
      </c>
      <c r="C270" s="4">
        <v>0</v>
      </c>
      <c r="D270" s="4">
        <v>2</v>
      </c>
      <c r="E270" s="4">
        <v>0</v>
      </c>
      <c r="F270">
        <f t="shared" si="36"/>
        <v>0</v>
      </c>
      <c r="G270">
        <f t="shared" si="37"/>
        <v>1</v>
      </c>
      <c r="H270" s="4">
        <f t="shared" si="38"/>
        <v>1</v>
      </c>
      <c r="I270" s="4">
        <f t="shared" si="30"/>
        <v>0</v>
      </c>
      <c r="J270" s="4">
        <f t="shared" si="31"/>
        <v>0.5</v>
      </c>
      <c r="K270" s="4">
        <f t="shared" si="32"/>
        <v>2.5</v>
      </c>
      <c r="L270" s="4">
        <f t="shared" si="33"/>
        <v>0</v>
      </c>
      <c r="M270" s="4">
        <f t="shared" si="34"/>
        <v>0.5</v>
      </c>
      <c r="N270" s="4">
        <f t="shared" si="35"/>
        <v>1.5</v>
      </c>
    </row>
    <row r="271" spans="1:14" x14ac:dyDescent="0.2">
      <c r="A271" t="str">
        <v>d_270</v>
      </c>
      <c r="B271" s="2">
        <v>40841</v>
      </c>
      <c r="C271" s="4">
        <v>0</v>
      </c>
      <c r="D271" s="4">
        <v>0</v>
      </c>
      <c r="E271" s="4">
        <v>0</v>
      </c>
      <c r="F271">
        <f t="shared" si="36"/>
        <v>0</v>
      </c>
      <c r="G271">
        <f t="shared" si="37"/>
        <v>0</v>
      </c>
      <c r="H271" s="4">
        <f t="shared" si="38"/>
        <v>0</v>
      </c>
      <c r="I271" s="4">
        <f t="shared" si="30"/>
        <v>0</v>
      </c>
      <c r="J271" s="4">
        <f t="shared" si="31"/>
        <v>1</v>
      </c>
      <c r="K271" s="4">
        <f t="shared" si="32"/>
        <v>1</v>
      </c>
      <c r="L271" s="4">
        <f t="shared" si="33"/>
        <v>0</v>
      </c>
      <c r="M271" s="4">
        <f t="shared" si="34"/>
        <v>2.5</v>
      </c>
      <c r="N271" s="4">
        <f t="shared" si="35"/>
        <v>0</v>
      </c>
    </row>
    <row r="272" spans="1:14" x14ac:dyDescent="0.2">
      <c r="A272" t="str">
        <v>d_271</v>
      </c>
      <c r="B272" s="2">
        <v>40842</v>
      </c>
      <c r="C272" s="4">
        <v>0</v>
      </c>
      <c r="D272" s="4">
        <v>0</v>
      </c>
      <c r="E272" s="4">
        <v>4</v>
      </c>
      <c r="F272">
        <f t="shared" si="36"/>
        <v>0</v>
      </c>
      <c r="G272">
        <f t="shared" si="37"/>
        <v>0.5</v>
      </c>
      <c r="H272" s="4">
        <f t="shared" si="38"/>
        <v>2.5</v>
      </c>
      <c r="I272" s="4">
        <f t="shared" si="30"/>
        <v>0</v>
      </c>
      <c r="J272" s="4">
        <f t="shared" si="31"/>
        <v>0</v>
      </c>
      <c r="K272" s="4">
        <f t="shared" si="32"/>
        <v>0</v>
      </c>
      <c r="L272" s="4">
        <f t="shared" si="33"/>
        <v>0</v>
      </c>
      <c r="M272" s="4">
        <f t="shared" si="34"/>
        <v>1</v>
      </c>
      <c r="N272" s="4">
        <f t="shared" si="35"/>
        <v>0</v>
      </c>
    </row>
    <row r="273" spans="1:14" x14ac:dyDescent="0.2">
      <c r="A273" t="str">
        <v>d_272</v>
      </c>
      <c r="B273" s="2">
        <v>40843</v>
      </c>
      <c r="C273" s="4">
        <v>0</v>
      </c>
      <c r="D273" s="4">
        <v>0</v>
      </c>
      <c r="E273" s="4">
        <v>0</v>
      </c>
      <c r="F273">
        <f t="shared" si="36"/>
        <v>0</v>
      </c>
      <c r="G273">
        <f t="shared" si="37"/>
        <v>0</v>
      </c>
      <c r="H273" s="4">
        <f t="shared" si="38"/>
        <v>0.5</v>
      </c>
      <c r="I273" s="4">
        <f t="shared" ref="I273:I336" si="39">AVERAGE(C259,C272)</f>
        <v>0</v>
      </c>
      <c r="J273" s="4">
        <f t="shared" ref="J273:J336" si="40">AVERAGE(D259,D272)</f>
        <v>0</v>
      </c>
      <c r="K273" s="4">
        <f t="shared" ref="K273:K336" si="41">AVERAGE(E259,E272)</f>
        <v>2</v>
      </c>
      <c r="L273" s="4">
        <f t="shared" si="33"/>
        <v>0</v>
      </c>
      <c r="M273" s="4">
        <f t="shared" si="34"/>
        <v>0</v>
      </c>
      <c r="N273" s="4">
        <f t="shared" si="35"/>
        <v>2</v>
      </c>
    </row>
    <row r="274" spans="1:14" x14ac:dyDescent="0.2">
      <c r="A274" t="str">
        <v>d_273</v>
      </c>
      <c r="B274" s="2">
        <v>40844</v>
      </c>
      <c r="C274" s="4">
        <v>0</v>
      </c>
      <c r="D274" s="4">
        <v>2</v>
      </c>
      <c r="E274" s="4">
        <v>2</v>
      </c>
      <c r="F274">
        <f t="shared" si="36"/>
        <v>0</v>
      </c>
      <c r="G274">
        <f t="shared" si="37"/>
        <v>1</v>
      </c>
      <c r="H274" s="4">
        <f t="shared" si="38"/>
        <v>1</v>
      </c>
      <c r="I274" s="4">
        <f t="shared" si="39"/>
        <v>0</v>
      </c>
      <c r="J274" s="4">
        <f t="shared" si="40"/>
        <v>1</v>
      </c>
      <c r="K274" s="4">
        <f t="shared" si="41"/>
        <v>0</v>
      </c>
      <c r="L274" s="4">
        <f t="shared" si="33"/>
        <v>0</v>
      </c>
      <c r="M274" s="4">
        <f t="shared" si="34"/>
        <v>0</v>
      </c>
      <c r="N274" s="4">
        <f t="shared" si="35"/>
        <v>0.5</v>
      </c>
    </row>
    <row r="275" spans="1:14" x14ac:dyDescent="0.2">
      <c r="A275" t="str">
        <v>d_274</v>
      </c>
      <c r="B275" s="2">
        <v>40845</v>
      </c>
      <c r="C275" s="4">
        <v>0</v>
      </c>
      <c r="D275" s="4">
        <v>1</v>
      </c>
      <c r="E275" s="4">
        <v>3</v>
      </c>
      <c r="F275">
        <f t="shared" si="36"/>
        <v>0</v>
      </c>
      <c r="G275">
        <f t="shared" si="37"/>
        <v>0.5</v>
      </c>
      <c r="H275" s="4">
        <f t="shared" si="38"/>
        <v>3</v>
      </c>
      <c r="I275" s="4">
        <f t="shared" si="39"/>
        <v>0</v>
      </c>
      <c r="J275" s="4">
        <f t="shared" si="40"/>
        <v>1.5</v>
      </c>
      <c r="K275" s="4">
        <f t="shared" si="41"/>
        <v>1.5</v>
      </c>
      <c r="L275" s="4">
        <f t="shared" si="33"/>
        <v>0</v>
      </c>
      <c r="M275" s="4">
        <f t="shared" si="34"/>
        <v>2.5</v>
      </c>
      <c r="N275" s="4">
        <f t="shared" si="35"/>
        <v>1</v>
      </c>
    </row>
    <row r="276" spans="1:14" x14ac:dyDescent="0.2">
      <c r="A276" t="str">
        <v>d_275</v>
      </c>
      <c r="B276" s="2">
        <v>40846</v>
      </c>
      <c r="C276" s="4">
        <v>0</v>
      </c>
      <c r="D276" s="4">
        <v>2</v>
      </c>
      <c r="E276" s="4">
        <v>2</v>
      </c>
      <c r="F276">
        <f t="shared" si="36"/>
        <v>0</v>
      </c>
      <c r="G276">
        <f t="shared" si="37"/>
        <v>2</v>
      </c>
      <c r="H276" s="4">
        <f t="shared" si="38"/>
        <v>1</v>
      </c>
      <c r="I276" s="4">
        <f t="shared" si="39"/>
        <v>0</v>
      </c>
      <c r="J276" s="4">
        <f t="shared" si="40"/>
        <v>2</v>
      </c>
      <c r="K276" s="4">
        <f t="shared" si="41"/>
        <v>1.5</v>
      </c>
      <c r="L276" s="4">
        <f t="shared" si="33"/>
        <v>0</v>
      </c>
      <c r="M276" s="4">
        <f t="shared" si="34"/>
        <v>0.5</v>
      </c>
      <c r="N276" s="4">
        <f t="shared" si="35"/>
        <v>1.5</v>
      </c>
    </row>
    <row r="277" spans="1:14" x14ac:dyDescent="0.2">
      <c r="A277" t="str">
        <v>d_276</v>
      </c>
      <c r="B277" s="2">
        <v>40847</v>
      </c>
      <c r="C277" s="4">
        <v>0</v>
      </c>
      <c r="D277" s="4">
        <v>1</v>
      </c>
      <c r="E277" s="4">
        <v>0</v>
      </c>
      <c r="F277">
        <f t="shared" si="36"/>
        <v>0</v>
      </c>
      <c r="G277">
        <f t="shared" si="37"/>
        <v>0.5</v>
      </c>
      <c r="H277" s="4">
        <f t="shared" si="38"/>
        <v>0</v>
      </c>
      <c r="I277" s="4">
        <f t="shared" si="39"/>
        <v>0</v>
      </c>
      <c r="J277" s="4">
        <f t="shared" si="40"/>
        <v>1.5</v>
      </c>
      <c r="K277" s="4">
        <f t="shared" si="41"/>
        <v>1.5</v>
      </c>
      <c r="L277" s="4">
        <f t="shared" si="33"/>
        <v>0</v>
      </c>
      <c r="M277" s="4">
        <f t="shared" si="34"/>
        <v>1.5</v>
      </c>
      <c r="N277" s="4">
        <f t="shared" si="35"/>
        <v>1.5</v>
      </c>
    </row>
    <row r="278" spans="1:14" x14ac:dyDescent="0.2">
      <c r="A278" t="str">
        <v>d_277</v>
      </c>
      <c r="B278" s="2">
        <v>40848</v>
      </c>
      <c r="C278" s="4">
        <v>0</v>
      </c>
      <c r="D278" s="4">
        <v>0</v>
      </c>
      <c r="E278" s="4">
        <v>1</v>
      </c>
      <c r="F278">
        <f t="shared" si="36"/>
        <v>0</v>
      </c>
      <c r="G278">
        <f t="shared" si="37"/>
        <v>0</v>
      </c>
      <c r="H278" s="4">
        <f t="shared" si="38"/>
        <v>2.5</v>
      </c>
      <c r="I278" s="4">
        <f t="shared" si="39"/>
        <v>0</v>
      </c>
      <c r="J278" s="4">
        <f t="shared" si="40"/>
        <v>0.5</v>
      </c>
      <c r="K278" s="4">
        <f t="shared" si="41"/>
        <v>1</v>
      </c>
      <c r="L278" s="4">
        <f t="shared" si="33"/>
        <v>0</v>
      </c>
      <c r="M278" s="4">
        <f t="shared" si="34"/>
        <v>0.5</v>
      </c>
      <c r="N278" s="4">
        <f t="shared" si="35"/>
        <v>1</v>
      </c>
    </row>
    <row r="279" spans="1:14" x14ac:dyDescent="0.2">
      <c r="A279" t="str">
        <v>d_278</v>
      </c>
      <c r="B279" s="2">
        <v>40849</v>
      </c>
      <c r="C279" s="4">
        <v>3</v>
      </c>
      <c r="D279" s="4">
        <v>0</v>
      </c>
      <c r="E279" s="4">
        <v>1</v>
      </c>
      <c r="F279">
        <f t="shared" si="36"/>
        <v>1.5</v>
      </c>
      <c r="G279">
        <f t="shared" si="37"/>
        <v>0</v>
      </c>
      <c r="H279" s="4">
        <f t="shared" si="38"/>
        <v>0.5</v>
      </c>
      <c r="I279" s="4">
        <f t="shared" si="39"/>
        <v>0</v>
      </c>
      <c r="J279" s="4">
        <f t="shared" si="40"/>
        <v>0</v>
      </c>
      <c r="K279" s="4">
        <f t="shared" si="41"/>
        <v>0.5</v>
      </c>
      <c r="L279" s="4">
        <f t="shared" si="33"/>
        <v>0</v>
      </c>
      <c r="M279" s="4">
        <f t="shared" si="34"/>
        <v>0</v>
      </c>
      <c r="N279" s="4">
        <f t="shared" si="35"/>
        <v>0.5</v>
      </c>
    </row>
    <row r="280" spans="1:14" x14ac:dyDescent="0.2">
      <c r="A280" t="str">
        <v>d_279</v>
      </c>
      <c r="B280" s="2">
        <v>40850</v>
      </c>
      <c r="C280" s="4">
        <v>1</v>
      </c>
      <c r="D280" s="4">
        <v>0</v>
      </c>
      <c r="E280" s="4">
        <v>0</v>
      </c>
      <c r="F280">
        <f t="shared" si="36"/>
        <v>0.5</v>
      </c>
      <c r="G280">
        <f t="shared" si="37"/>
        <v>1</v>
      </c>
      <c r="H280" s="4">
        <f t="shared" si="38"/>
        <v>1</v>
      </c>
      <c r="I280" s="4">
        <f t="shared" si="39"/>
        <v>1.5</v>
      </c>
      <c r="J280" s="4">
        <f t="shared" si="40"/>
        <v>0.5</v>
      </c>
      <c r="K280" s="4">
        <f t="shared" si="41"/>
        <v>1</v>
      </c>
      <c r="L280" s="4">
        <f t="shared" si="33"/>
        <v>1.5</v>
      </c>
      <c r="M280" s="4">
        <f t="shared" si="34"/>
        <v>0</v>
      </c>
      <c r="N280" s="4">
        <f t="shared" si="35"/>
        <v>1.5</v>
      </c>
    </row>
    <row r="281" spans="1:14" x14ac:dyDescent="0.2">
      <c r="A281" t="str">
        <v>d_280</v>
      </c>
      <c r="B281" s="2">
        <v>40851</v>
      </c>
      <c r="C281" s="4">
        <v>4</v>
      </c>
      <c r="D281" s="4">
        <v>3</v>
      </c>
      <c r="E281" s="4">
        <v>2</v>
      </c>
      <c r="F281">
        <f t="shared" si="36"/>
        <v>2</v>
      </c>
      <c r="G281">
        <f t="shared" si="37"/>
        <v>2</v>
      </c>
      <c r="H281" s="4">
        <f t="shared" si="38"/>
        <v>2.5</v>
      </c>
      <c r="I281" s="4">
        <f t="shared" si="39"/>
        <v>0.5</v>
      </c>
      <c r="J281" s="4">
        <f t="shared" si="40"/>
        <v>0</v>
      </c>
      <c r="K281" s="4">
        <f t="shared" si="41"/>
        <v>0.5</v>
      </c>
      <c r="L281" s="4">
        <f t="shared" si="33"/>
        <v>0.5</v>
      </c>
      <c r="M281" s="4">
        <f t="shared" si="34"/>
        <v>0</v>
      </c>
      <c r="N281" s="4">
        <f t="shared" si="35"/>
        <v>0.5</v>
      </c>
    </row>
    <row r="282" spans="1:14" x14ac:dyDescent="0.2">
      <c r="A282" t="str">
        <v>d_281</v>
      </c>
      <c r="B282" s="2">
        <v>40852</v>
      </c>
      <c r="C282" s="4">
        <v>2</v>
      </c>
      <c r="D282" s="4">
        <v>1</v>
      </c>
      <c r="E282" s="4">
        <v>0</v>
      </c>
      <c r="F282">
        <f t="shared" si="36"/>
        <v>1</v>
      </c>
      <c r="G282">
        <f t="shared" si="37"/>
        <v>1.5</v>
      </c>
      <c r="H282" s="4">
        <f t="shared" si="38"/>
        <v>1</v>
      </c>
      <c r="I282" s="4">
        <f t="shared" si="39"/>
        <v>2</v>
      </c>
      <c r="J282" s="4">
        <f t="shared" si="40"/>
        <v>1.5</v>
      </c>
      <c r="K282" s="4">
        <f t="shared" si="41"/>
        <v>1</v>
      </c>
      <c r="L282" s="4">
        <f t="shared" si="33"/>
        <v>2</v>
      </c>
      <c r="M282" s="4">
        <f t="shared" si="34"/>
        <v>2</v>
      </c>
      <c r="N282" s="4">
        <f t="shared" si="35"/>
        <v>2</v>
      </c>
    </row>
    <row r="283" spans="1:14" x14ac:dyDescent="0.2">
      <c r="A283" t="str">
        <v>d_282</v>
      </c>
      <c r="B283" s="2">
        <v>40853</v>
      </c>
      <c r="C283" s="4">
        <v>1</v>
      </c>
      <c r="D283" s="4">
        <v>1</v>
      </c>
      <c r="E283" s="4">
        <v>0</v>
      </c>
      <c r="F283">
        <f t="shared" si="36"/>
        <v>0.5</v>
      </c>
      <c r="G283">
        <f t="shared" si="37"/>
        <v>1</v>
      </c>
      <c r="H283" s="4">
        <f t="shared" si="38"/>
        <v>0</v>
      </c>
      <c r="I283" s="4">
        <f t="shared" si="39"/>
        <v>1</v>
      </c>
      <c r="J283" s="4">
        <f t="shared" si="40"/>
        <v>0.5</v>
      </c>
      <c r="K283" s="4">
        <f t="shared" si="41"/>
        <v>1.5</v>
      </c>
      <c r="L283" s="4">
        <f t="shared" si="33"/>
        <v>1</v>
      </c>
      <c r="M283" s="4">
        <f t="shared" si="34"/>
        <v>1.5</v>
      </c>
      <c r="N283" s="4">
        <f t="shared" si="35"/>
        <v>0.5</v>
      </c>
    </row>
    <row r="284" spans="1:14" x14ac:dyDescent="0.2">
      <c r="A284" t="str">
        <v>d_283</v>
      </c>
      <c r="B284" s="2">
        <v>40854</v>
      </c>
      <c r="C284" s="4">
        <v>0</v>
      </c>
      <c r="D284" s="4">
        <v>0</v>
      </c>
      <c r="E284" s="4">
        <v>0</v>
      </c>
      <c r="F284">
        <f t="shared" si="36"/>
        <v>0</v>
      </c>
      <c r="G284">
        <f t="shared" si="37"/>
        <v>0</v>
      </c>
      <c r="H284" s="4">
        <f t="shared" si="38"/>
        <v>0.5</v>
      </c>
      <c r="I284" s="4">
        <f t="shared" si="39"/>
        <v>0.5</v>
      </c>
      <c r="J284" s="4">
        <f t="shared" si="40"/>
        <v>1.5</v>
      </c>
      <c r="K284" s="4">
        <f t="shared" si="41"/>
        <v>0</v>
      </c>
      <c r="L284" s="4">
        <f t="shared" si="33"/>
        <v>0.5</v>
      </c>
      <c r="M284" s="4">
        <f t="shared" si="34"/>
        <v>1</v>
      </c>
      <c r="N284" s="4">
        <f t="shared" si="35"/>
        <v>1</v>
      </c>
    </row>
    <row r="285" spans="1:14" x14ac:dyDescent="0.2">
      <c r="A285" t="str">
        <v>d_284</v>
      </c>
      <c r="B285" s="2">
        <v>40855</v>
      </c>
      <c r="C285" s="4">
        <v>2</v>
      </c>
      <c r="D285" s="4">
        <v>1</v>
      </c>
      <c r="E285" s="4">
        <v>0</v>
      </c>
      <c r="F285">
        <f t="shared" si="36"/>
        <v>2.5</v>
      </c>
      <c r="G285">
        <f t="shared" si="37"/>
        <v>0.5</v>
      </c>
      <c r="H285" s="4">
        <f t="shared" si="38"/>
        <v>0.5</v>
      </c>
      <c r="I285" s="4">
        <f t="shared" si="39"/>
        <v>0</v>
      </c>
      <c r="J285" s="4">
        <f t="shared" si="40"/>
        <v>0</v>
      </c>
      <c r="K285" s="4">
        <f t="shared" si="41"/>
        <v>0</v>
      </c>
      <c r="L285" s="4">
        <f t="shared" si="33"/>
        <v>0</v>
      </c>
      <c r="M285" s="4">
        <f t="shared" si="34"/>
        <v>0</v>
      </c>
      <c r="N285" s="4">
        <f t="shared" si="35"/>
        <v>1</v>
      </c>
    </row>
    <row r="286" spans="1:14" x14ac:dyDescent="0.2">
      <c r="A286" t="str">
        <v>d_285</v>
      </c>
      <c r="B286" s="2">
        <v>40856</v>
      </c>
      <c r="C286" s="4">
        <v>1</v>
      </c>
      <c r="D286" s="4">
        <v>3</v>
      </c>
      <c r="E286" s="4">
        <v>1</v>
      </c>
      <c r="F286">
        <f t="shared" si="36"/>
        <v>1</v>
      </c>
      <c r="G286">
        <f t="shared" si="37"/>
        <v>1.5</v>
      </c>
      <c r="H286" s="4">
        <f t="shared" si="38"/>
        <v>0.5</v>
      </c>
      <c r="I286" s="4">
        <f t="shared" si="39"/>
        <v>1</v>
      </c>
      <c r="J286" s="4">
        <f t="shared" si="40"/>
        <v>0.5</v>
      </c>
      <c r="K286" s="4">
        <f t="shared" si="41"/>
        <v>2</v>
      </c>
      <c r="L286" s="4">
        <f t="shared" si="33"/>
        <v>1</v>
      </c>
      <c r="M286" s="4">
        <f t="shared" si="34"/>
        <v>0.5</v>
      </c>
      <c r="N286" s="4">
        <f t="shared" si="35"/>
        <v>0</v>
      </c>
    </row>
    <row r="287" spans="1:14" x14ac:dyDescent="0.2">
      <c r="A287" t="str">
        <v>d_286</v>
      </c>
      <c r="B287" s="2">
        <v>40857</v>
      </c>
      <c r="C287" s="4">
        <v>0</v>
      </c>
      <c r="D287" s="4">
        <v>0</v>
      </c>
      <c r="E287" s="4">
        <v>1</v>
      </c>
      <c r="F287">
        <f t="shared" si="36"/>
        <v>2</v>
      </c>
      <c r="G287">
        <f t="shared" si="37"/>
        <v>1.5</v>
      </c>
      <c r="H287" s="4">
        <f t="shared" si="38"/>
        <v>1.5</v>
      </c>
      <c r="I287" s="4">
        <f t="shared" si="39"/>
        <v>0.5</v>
      </c>
      <c r="J287" s="4">
        <f t="shared" si="40"/>
        <v>1.5</v>
      </c>
      <c r="K287" s="4">
        <f t="shared" si="41"/>
        <v>0.5</v>
      </c>
      <c r="L287" s="4">
        <f t="shared" ref="L287:L350" si="42">AVERAGE(C259,C286)</f>
        <v>0.5</v>
      </c>
      <c r="M287" s="4">
        <f t="shared" ref="M287:M350" si="43">AVERAGE(D259,D286)</f>
        <v>1.5</v>
      </c>
      <c r="N287" s="4">
        <f t="shared" ref="N287:N350" si="44">AVERAGE(E259,E286)</f>
        <v>0.5</v>
      </c>
    </row>
    <row r="288" spans="1:14" x14ac:dyDescent="0.2">
      <c r="A288" t="str">
        <v>d_287</v>
      </c>
      <c r="B288" s="2">
        <v>40858</v>
      </c>
      <c r="C288" s="4">
        <v>1</v>
      </c>
      <c r="D288" s="4">
        <v>0</v>
      </c>
      <c r="E288" s="4">
        <v>0</v>
      </c>
      <c r="F288">
        <f t="shared" si="36"/>
        <v>1.5</v>
      </c>
      <c r="G288">
        <f t="shared" si="37"/>
        <v>0.5</v>
      </c>
      <c r="H288" s="4">
        <f t="shared" si="38"/>
        <v>0</v>
      </c>
      <c r="I288" s="4">
        <f t="shared" si="39"/>
        <v>0</v>
      </c>
      <c r="J288" s="4">
        <f t="shared" si="40"/>
        <v>1</v>
      </c>
      <c r="K288" s="4">
        <f t="shared" si="41"/>
        <v>1.5</v>
      </c>
      <c r="L288" s="4">
        <f t="shared" si="42"/>
        <v>0</v>
      </c>
      <c r="M288" s="4">
        <f t="shared" si="43"/>
        <v>1</v>
      </c>
      <c r="N288" s="4">
        <f t="shared" si="44"/>
        <v>0.5</v>
      </c>
    </row>
    <row r="289" spans="1:14" x14ac:dyDescent="0.2">
      <c r="A289" t="str">
        <v>d_288</v>
      </c>
      <c r="B289" s="2">
        <v>40859</v>
      </c>
      <c r="C289" s="4">
        <v>0</v>
      </c>
      <c r="D289" s="4">
        <v>0</v>
      </c>
      <c r="E289" s="4">
        <v>2</v>
      </c>
      <c r="F289">
        <f t="shared" si="36"/>
        <v>0.5</v>
      </c>
      <c r="G289">
        <f t="shared" si="37"/>
        <v>0.5</v>
      </c>
      <c r="H289" s="4">
        <f t="shared" si="38"/>
        <v>1</v>
      </c>
      <c r="I289" s="4">
        <f t="shared" si="39"/>
        <v>0.5</v>
      </c>
      <c r="J289" s="4">
        <f t="shared" si="40"/>
        <v>0.5</v>
      </c>
      <c r="K289" s="4">
        <f t="shared" si="41"/>
        <v>1.5</v>
      </c>
      <c r="L289" s="4">
        <f t="shared" si="42"/>
        <v>0.5</v>
      </c>
      <c r="M289" s="4">
        <f t="shared" si="43"/>
        <v>0.5</v>
      </c>
      <c r="N289" s="4">
        <f t="shared" si="44"/>
        <v>0.5</v>
      </c>
    </row>
    <row r="290" spans="1:14" x14ac:dyDescent="0.2">
      <c r="A290" t="str">
        <v>d_289</v>
      </c>
      <c r="B290" s="2">
        <v>40860</v>
      </c>
      <c r="C290" s="4">
        <v>6</v>
      </c>
      <c r="D290" s="4">
        <v>0</v>
      </c>
      <c r="E290" s="4">
        <v>0</v>
      </c>
      <c r="F290">
        <f t="shared" si="36"/>
        <v>3</v>
      </c>
      <c r="G290">
        <f t="shared" si="37"/>
        <v>0</v>
      </c>
      <c r="H290" s="4">
        <f t="shared" si="38"/>
        <v>0</v>
      </c>
      <c r="I290" s="4">
        <f t="shared" si="39"/>
        <v>0</v>
      </c>
      <c r="J290" s="4">
        <f t="shared" si="40"/>
        <v>1</v>
      </c>
      <c r="K290" s="4">
        <f t="shared" si="41"/>
        <v>2</v>
      </c>
      <c r="L290" s="4">
        <f t="shared" si="42"/>
        <v>0</v>
      </c>
      <c r="M290" s="4">
        <f t="shared" si="43"/>
        <v>1.5</v>
      </c>
      <c r="N290" s="4">
        <f t="shared" si="44"/>
        <v>1</v>
      </c>
    </row>
    <row r="291" spans="1:14" x14ac:dyDescent="0.2">
      <c r="A291" t="str">
        <v>d_290</v>
      </c>
      <c r="B291" s="2">
        <v>40861</v>
      </c>
      <c r="C291" s="4">
        <v>1</v>
      </c>
      <c r="D291" s="4">
        <v>1</v>
      </c>
      <c r="E291" s="4">
        <v>0</v>
      </c>
      <c r="F291">
        <f t="shared" si="36"/>
        <v>1.5</v>
      </c>
      <c r="G291">
        <f t="shared" si="37"/>
        <v>1</v>
      </c>
      <c r="H291" s="4">
        <f t="shared" si="38"/>
        <v>0</v>
      </c>
      <c r="I291" s="4">
        <f t="shared" si="39"/>
        <v>3</v>
      </c>
      <c r="J291" s="4">
        <f t="shared" si="40"/>
        <v>0.5</v>
      </c>
      <c r="K291" s="4">
        <f t="shared" si="41"/>
        <v>0</v>
      </c>
      <c r="L291" s="4">
        <f t="shared" si="42"/>
        <v>3</v>
      </c>
      <c r="M291" s="4">
        <f t="shared" si="43"/>
        <v>0.5</v>
      </c>
      <c r="N291" s="4">
        <f t="shared" si="44"/>
        <v>0.5</v>
      </c>
    </row>
    <row r="292" spans="1:14" x14ac:dyDescent="0.2">
      <c r="A292" t="str">
        <v>d_291</v>
      </c>
      <c r="B292" s="2">
        <v>40862</v>
      </c>
      <c r="C292" s="4">
        <v>0</v>
      </c>
      <c r="D292" s="4">
        <v>1</v>
      </c>
      <c r="E292" s="4">
        <v>1</v>
      </c>
      <c r="F292">
        <f t="shared" si="36"/>
        <v>0.5</v>
      </c>
      <c r="G292">
        <f t="shared" si="37"/>
        <v>2</v>
      </c>
      <c r="H292" s="4">
        <f t="shared" si="38"/>
        <v>1</v>
      </c>
      <c r="I292" s="4">
        <f t="shared" si="39"/>
        <v>0.5</v>
      </c>
      <c r="J292" s="4">
        <f t="shared" si="40"/>
        <v>0.5</v>
      </c>
      <c r="K292" s="4">
        <f t="shared" si="41"/>
        <v>0.5</v>
      </c>
      <c r="L292" s="4">
        <f t="shared" si="42"/>
        <v>0.5</v>
      </c>
      <c r="M292" s="4">
        <f t="shared" si="43"/>
        <v>0.5</v>
      </c>
      <c r="N292" s="4">
        <f t="shared" si="44"/>
        <v>1</v>
      </c>
    </row>
    <row r="293" spans="1:14" x14ac:dyDescent="0.2">
      <c r="A293" t="str">
        <v>d_292</v>
      </c>
      <c r="B293" s="2">
        <v>40863</v>
      </c>
      <c r="C293" s="4">
        <v>0</v>
      </c>
      <c r="D293" s="4">
        <v>1</v>
      </c>
      <c r="E293" s="4">
        <v>0</v>
      </c>
      <c r="F293">
        <f t="shared" si="36"/>
        <v>0</v>
      </c>
      <c r="G293">
        <f t="shared" si="37"/>
        <v>0.5</v>
      </c>
      <c r="H293" s="4">
        <f t="shared" si="38"/>
        <v>0.5</v>
      </c>
      <c r="I293" s="4">
        <f t="shared" si="39"/>
        <v>1.5</v>
      </c>
      <c r="J293" s="4">
        <f t="shared" si="40"/>
        <v>0.5</v>
      </c>
      <c r="K293" s="4">
        <f t="shared" si="41"/>
        <v>1</v>
      </c>
      <c r="L293" s="4">
        <f t="shared" si="42"/>
        <v>0</v>
      </c>
      <c r="M293" s="4">
        <f t="shared" si="43"/>
        <v>0.5</v>
      </c>
      <c r="N293" s="4">
        <f t="shared" si="44"/>
        <v>0.5</v>
      </c>
    </row>
    <row r="294" spans="1:14" x14ac:dyDescent="0.2">
      <c r="A294" t="str">
        <v>d_293</v>
      </c>
      <c r="B294" s="2">
        <v>40864</v>
      </c>
      <c r="C294" s="4">
        <v>0</v>
      </c>
      <c r="D294" s="4">
        <v>1</v>
      </c>
      <c r="E294" s="4">
        <v>1</v>
      </c>
      <c r="F294">
        <f t="shared" si="36"/>
        <v>0.5</v>
      </c>
      <c r="G294">
        <f t="shared" si="37"/>
        <v>0.5</v>
      </c>
      <c r="H294" s="4">
        <f t="shared" si="38"/>
        <v>0.5</v>
      </c>
      <c r="I294" s="4">
        <f t="shared" si="39"/>
        <v>0.5</v>
      </c>
      <c r="J294" s="4">
        <f t="shared" si="40"/>
        <v>0.5</v>
      </c>
      <c r="K294" s="4">
        <f t="shared" si="41"/>
        <v>0</v>
      </c>
      <c r="L294" s="4">
        <f t="shared" si="42"/>
        <v>0</v>
      </c>
      <c r="M294" s="4">
        <f t="shared" si="43"/>
        <v>1</v>
      </c>
      <c r="N294" s="4">
        <f t="shared" si="44"/>
        <v>0.5</v>
      </c>
    </row>
    <row r="295" spans="1:14" x14ac:dyDescent="0.2">
      <c r="A295" t="str">
        <v>d_294</v>
      </c>
      <c r="B295" s="2">
        <v>40865</v>
      </c>
      <c r="C295" s="4">
        <v>1</v>
      </c>
      <c r="D295" s="4">
        <v>4</v>
      </c>
      <c r="E295" s="4">
        <v>1</v>
      </c>
      <c r="F295">
        <f t="shared" si="36"/>
        <v>0.5</v>
      </c>
      <c r="G295">
        <f t="shared" si="37"/>
        <v>2</v>
      </c>
      <c r="H295" s="4">
        <f t="shared" si="38"/>
        <v>1.5</v>
      </c>
      <c r="I295" s="4">
        <f t="shared" si="39"/>
        <v>2</v>
      </c>
      <c r="J295" s="4">
        <f t="shared" si="40"/>
        <v>2</v>
      </c>
      <c r="K295" s="4">
        <f t="shared" si="41"/>
        <v>1.5</v>
      </c>
      <c r="L295" s="4">
        <f t="shared" si="42"/>
        <v>0</v>
      </c>
      <c r="M295" s="4">
        <f t="shared" si="43"/>
        <v>0.5</v>
      </c>
      <c r="N295" s="4">
        <f t="shared" si="44"/>
        <v>1</v>
      </c>
    </row>
    <row r="296" spans="1:14" x14ac:dyDescent="0.2">
      <c r="A296" t="str">
        <v>d_295</v>
      </c>
      <c r="B296" s="2">
        <v>40866</v>
      </c>
      <c r="C296" s="4">
        <v>3</v>
      </c>
      <c r="D296" s="4">
        <v>0</v>
      </c>
      <c r="E296" s="4">
        <v>3</v>
      </c>
      <c r="F296">
        <f t="shared" si="36"/>
        <v>4.5</v>
      </c>
      <c r="G296">
        <f t="shared" si="37"/>
        <v>0</v>
      </c>
      <c r="H296" s="4">
        <f t="shared" si="38"/>
        <v>1.5</v>
      </c>
      <c r="I296" s="4">
        <f t="shared" si="39"/>
        <v>1.5</v>
      </c>
      <c r="J296" s="4">
        <f t="shared" si="40"/>
        <v>2.5</v>
      </c>
      <c r="K296" s="4">
        <f t="shared" si="41"/>
        <v>0.5</v>
      </c>
      <c r="L296" s="4">
        <f t="shared" si="42"/>
        <v>0.5</v>
      </c>
      <c r="M296" s="4">
        <f t="shared" si="43"/>
        <v>2</v>
      </c>
      <c r="N296" s="4">
        <f t="shared" si="44"/>
        <v>0.5</v>
      </c>
    </row>
    <row r="297" spans="1:14" x14ac:dyDescent="0.2">
      <c r="A297" t="str">
        <v>d_296</v>
      </c>
      <c r="B297" s="2">
        <v>40867</v>
      </c>
      <c r="C297" s="4">
        <v>4</v>
      </c>
      <c r="D297" s="4">
        <v>2</v>
      </c>
      <c r="E297" s="4">
        <v>3</v>
      </c>
      <c r="F297">
        <f t="shared" si="36"/>
        <v>2.5</v>
      </c>
      <c r="G297">
        <f t="shared" si="37"/>
        <v>1.5</v>
      </c>
      <c r="H297" s="4">
        <f t="shared" si="38"/>
        <v>1.5</v>
      </c>
      <c r="I297" s="4">
        <f t="shared" si="39"/>
        <v>2</v>
      </c>
      <c r="J297" s="4">
        <f t="shared" si="40"/>
        <v>0.5</v>
      </c>
      <c r="K297" s="4">
        <f t="shared" si="41"/>
        <v>1.5</v>
      </c>
      <c r="L297" s="4">
        <f t="shared" si="42"/>
        <v>1.5</v>
      </c>
      <c r="M297" s="4">
        <f t="shared" si="43"/>
        <v>0</v>
      </c>
      <c r="N297" s="4">
        <f t="shared" si="44"/>
        <v>3</v>
      </c>
    </row>
    <row r="298" spans="1:14" x14ac:dyDescent="0.2">
      <c r="A298" t="str">
        <v>d_297</v>
      </c>
      <c r="B298" s="2">
        <v>40868</v>
      </c>
      <c r="C298" s="4">
        <v>0</v>
      </c>
      <c r="D298" s="4">
        <v>1</v>
      </c>
      <c r="E298" s="4">
        <v>0</v>
      </c>
      <c r="F298">
        <f t="shared" si="36"/>
        <v>0</v>
      </c>
      <c r="G298">
        <f t="shared" si="37"/>
        <v>1</v>
      </c>
      <c r="H298" s="4">
        <f t="shared" si="38"/>
        <v>0.5</v>
      </c>
      <c r="I298" s="4">
        <f t="shared" si="39"/>
        <v>2</v>
      </c>
      <c r="J298" s="4">
        <f t="shared" si="40"/>
        <v>1</v>
      </c>
      <c r="K298" s="4">
        <f t="shared" si="41"/>
        <v>1.5</v>
      </c>
      <c r="L298" s="4">
        <f t="shared" si="42"/>
        <v>2</v>
      </c>
      <c r="M298" s="4">
        <f t="shared" si="43"/>
        <v>2</v>
      </c>
      <c r="N298" s="4">
        <f t="shared" si="44"/>
        <v>1.5</v>
      </c>
    </row>
    <row r="299" spans="1:14" x14ac:dyDescent="0.2">
      <c r="A299" t="str">
        <v>d_298</v>
      </c>
      <c r="B299" s="2">
        <v>40869</v>
      </c>
      <c r="C299" s="4">
        <v>0</v>
      </c>
      <c r="D299" s="4">
        <v>2</v>
      </c>
      <c r="E299" s="4">
        <v>1</v>
      </c>
      <c r="F299">
        <f t="shared" si="36"/>
        <v>0</v>
      </c>
      <c r="G299">
        <f t="shared" si="37"/>
        <v>1.5</v>
      </c>
      <c r="H299" s="4">
        <f t="shared" si="38"/>
        <v>0.5</v>
      </c>
      <c r="I299" s="4">
        <f t="shared" si="39"/>
        <v>1</v>
      </c>
      <c r="J299" s="4">
        <f t="shared" si="40"/>
        <v>1</v>
      </c>
      <c r="K299" s="4">
        <f t="shared" si="41"/>
        <v>0</v>
      </c>
      <c r="L299" s="4">
        <f t="shared" si="42"/>
        <v>0</v>
      </c>
      <c r="M299" s="4">
        <f t="shared" si="43"/>
        <v>0.5</v>
      </c>
      <c r="N299" s="4">
        <f t="shared" si="44"/>
        <v>0</v>
      </c>
    </row>
    <row r="300" spans="1:14" x14ac:dyDescent="0.2">
      <c r="A300" t="str">
        <v>d_299</v>
      </c>
      <c r="B300" s="2">
        <v>40870</v>
      </c>
      <c r="C300" s="4">
        <v>1</v>
      </c>
      <c r="D300" s="4">
        <v>1</v>
      </c>
      <c r="E300" s="4">
        <v>0</v>
      </c>
      <c r="F300">
        <f t="shared" si="36"/>
        <v>0.5</v>
      </c>
      <c r="G300">
        <f t="shared" si="37"/>
        <v>1</v>
      </c>
      <c r="H300" s="4">
        <f t="shared" si="38"/>
        <v>0.5</v>
      </c>
      <c r="I300" s="4">
        <f t="shared" si="39"/>
        <v>0.5</v>
      </c>
      <c r="J300" s="4">
        <f t="shared" si="40"/>
        <v>2.5</v>
      </c>
      <c r="K300" s="4">
        <f t="shared" si="41"/>
        <v>1</v>
      </c>
      <c r="L300" s="4">
        <f t="shared" si="42"/>
        <v>0</v>
      </c>
      <c r="M300" s="4">
        <f t="shared" si="43"/>
        <v>1</v>
      </c>
      <c r="N300" s="4">
        <f t="shared" si="44"/>
        <v>2.5</v>
      </c>
    </row>
    <row r="301" spans="1:14" x14ac:dyDescent="0.2">
      <c r="A301" t="str">
        <v>d_300</v>
      </c>
      <c r="B301" s="2">
        <v>40871</v>
      </c>
      <c r="C301" s="4">
        <v>0</v>
      </c>
      <c r="D301" s="4">
        <v>0</v>
      </c>
      <c r="E301" s="4">
        <v>0</v>
      </c>
      <c r="F301">
        <f t="shared" si="36"/>
        <v>0.5</v>
      </c>
      <c r="G301">
        <f t="shared" si="37"/>
        <v>2</v>
      </c>
      <c r="H301" s="4">
        <f t="shared" si="38"/>
        <v>0.5</v>
      </c>
      <c r="I301" s="4">
        <f t="shared" si="39"/>
        <v>0.5</v>
      </c>
      <c r="J301" s="4">
        <f t="shared" si="40"/>
        <v>0.5</v>
      </c>
      <c r="K301" s="4">
        <f t="shared" si="41"/>
        <v>0.5</v>
      </c>
      <c r="L301" s="4">
        <f t="shared" si="42"/>
        <v>0.5</v>
      </c>
      <c r="M301" s="4">
        <f t="shared" si="43"/>
        <v>0.5</v>
      </c>
      <c r="N301" s="4">
        <f t="shared" si="44"/>
        <v>0</v>
      </c>
    </row>
    <row r="302" spans="1:14" x14ac:dyDescent="0.2">
      <c r="A302" t="str">
        <v>d_301</v>
      </c>
      <c r="B302" s="2">
        <v>40872</v>
      </c>
      <c r="C302" s="4">
        <v>2</v>
      </c>
      <c r="D302" s="4">
        <v>1</v>
      </c>
      <c r="E302" s="4">
        <v>2</v>
      </c>
      <c r="F302">
        <f t="shared" si="36"/>
        <v>2.5</v>
      </c>
      <c r="G302">
        <f t="shared" si="37"/>
        <v>0.5</v>
      </c>
      <c r="H302" s="4">
        <f t="shared" si="38"/>
        <v>2.5</v>
      </c>
      <c r="I302" s="4">
        <f t="shared" si="39"/>
        <v>0.5</v>
      </c>
      <c r="J302" s="4">
        <f t="shared" si="40"/>
        <v>0</v>
      </c>
      <c r="K302" s="4">
        <f t="shared" si="41"/>
        <v>0</v>
      </c>
      <c r="L302" s="4">
        <f t="shared" si="42"/>
        <v>0</v>
      </c>
      <c r="M302" s="4">
        <f t="shared" si="43"/>
        <v>1</v>
      </c>
      <c r="N302" s="4">
        <f t="shared" si="44"/>
        <v>1</v>
      </c>
    </row>
    <row r="303" spans="1:14" x14ac:dyDescent="0.2">
      <c r="A303" t="str">
        <v>d_302</v>
      </c>
      <c r="B303" s="2">
        <v>40873</v>
      </c>
      <c r="C303" s="4">
        <v>0</v>
      </c>
      <c r="D303" s="4">
        <v>0</v>
      </c>
      <c r="E303" s="4">
        <v>0</v>
      </c>
      <c r="F303">
        <f t="shared" si="36"/>
        <v>2</v>
      </c>
      <c r="G303">
        <f t="shared" si="37"/>
        <v>1</v>
      </c>
      <c r="H303" s="4">
        <f t="shared" si="38"/>
        <v>1.5</v>
      </c>
      <c r="I303" s="4">
        <f t="shared" si="39"/>
        <v>1</v>
      </c>
      <c r="J303" s="4">
        <f t="shared" si="40"/>
        <v>0.5</v>
      </c>
      <c r="K303" s="4">
        <f t="shared" si="41"/>
        <v>2</v>
      </c>
      <c r="L303" s="4">
        <f t="shared" si="42"/>
        <v>1</v>
      </c>
      <c r="M303" s="4">
        <f t="shared" si="43"/>
        <v>1</v>
      </c>
      <c r="N303" s="4">
        <f t="shared" si="44"/>
        <v>2.5</v>
      </c>
    </row>
    <row r="304" spans="1:14" x14ac:dyDescent="0.2">
      <c r="A304" t="str">
        <v>d_303</v>
      </c>
      <c r="B304" s="2">
        <v>40874</v>
      </c>
      <c r="C304" s="4">
        <v>0</v>
      </c>
      <c r="D304" s="4">
        <v>1</v>
      </c>
      <c r="E304" s="4">
        <v>0</v>
      </c>
      <c r="F304">
        <f t="shared" si="36"/>
        <v>0</v>
      </c>
      <c r="G304">
        <f t="shared" si="37"/>
        <v>1</v>
      </c>
      <c r="H304" s="4">
        <f t="shared" si="38"/>
        <v>0</v>
      </c>
      <c r="I304" s="4">
        <f t="shared" si="39"/>
        <v>3</v>
      </c>
      <c r="J304" s="4">
        <f t="shared" si="40"/>
        <v>0</v>
      </c>
      <c r="K304" s="4">
        <f t="shared" si="41"/>
        <v>0</v>
      </c>
      <c r="L304" s="4">
        <f t="shared" si="42"/>
        <v>0</v>
      </c>
      <c r="M304" s="4">
        <f t="shared" si="43"/>
        <v>1</v>
      </c>
      <c r="N304" s="4">
        <f t="shared" si="44"/>
        <v>1</v>
      </c>
    </row>
    <row r="305" spans="1:14" x14ac:dyDescent="0.2">
      <c r="A305" t="str">
        <v>d_304</v>
      </c>
      <c r="B305" s="2">
        <v>40875</v>
      </c>
      <c r="C305" s="4">
        <v>1</v>
      </c>
      <c r="D305" s="4">
        <v>1</v>
      </c>
      <c r="E305" s="4">
        <v>0</v>
      </c>
      <c r="F305">
        <f t="shared" si="36"/>
        <v>0.5</v>
      </c>
      <c r="G305">
        <f t="shared" si="37"/>
        <v>1.5</v>
      </c>
      <c r="H305" s="4">
        <f t="shared" si="38"/>
        <v>0.5</v>
      </c>
      <c r="I305" s="4">
        <f t="shared" si="39"/>
        <v>0.5</v>
      </c>
      <c r="J305" s="4">
        <f t="shared" si="40"/>
        <v>1</v>
      </c>
      <c r="K305" s="4">
        <f t="shared" si="41"/>
        <v>0</v>
      </c>
      <c r="L305" s="4">
        <f t="shared" si="42"/>
        <v>0</v>
      </c>
      <c r="M305" s="4">
        <f t="shared" si="43"/>
        <v>1</v>
      </c>
      <c r="N305" s="4">
        <f t="shared" si="44"/>
        <v>0</v>
      </c>
    </row>
    <row r="306" spans="1:14" x14ac:dyDescent="0.2">
      <c r="A306" t="str">
        <v>d_305</v>
      </c>
      <c r="B306" s="2">
        <v>40876</v>
      </c>
      <c r="C306" s="4">
        <v>0</v>
      </c>
      <c r="D306" s="4">
        <v>0</v>
      </c>
      <c r="E306" s="4">
        <v>0</v>
      </c>
      <c r="F306">
        <f t="shared" si="36"/>
        <v>0.5</v>
      </c>
      <c r="G306">
        <f t="shared" si="37"/>
        <v>0.5</v>
      </c>
      <c r="H306" s="4">
        <f t="shared" si="38"/>
        <v>0</v>
      </c>
      <c r="I306" s="4">
        <f t="shared" si="39"/>
        <v>0.5</v>
      </c>
      <c r="J306" s="4">
        <f t="shared" si="40"/>
        <v>1</v>
      </c>
      <c r="K306" s="4">
        <f t="shared" si="41"/>
        <v>0.5</v>
      </c>
      <c r="L306" s="4">
        <f t="shared" si="42"/>
        <v>0.5</v>
      </c>
      <c r="M306" s="4">
        <f t="shared" si="43"/>
        <v>0.5</v>
      </c>
      <c r="N306" s="4">
        <f t="shared" si="44"/>
        <v>0.5</v>
      </c>
    </row>
    <row r="307" spans="1:14" x14ac:dyDescent="0.2">
      <c r="A307" t="str">
        <v>d_306</v>
      </c>
      <c r="B307" s="2">
        <v>40877</v>
      </c>
      <c r="C307" s="4">
        <v>8</v>
      </c>
      <c r="D307" s="4">
        <v>0</v>
      </c>
      <c r="E307" s="4">
        <v>2</v>
      </c>
      <c r="F307">
        <f t="shared" si="36"/>
        <v>4</v>
      </c>
      <c r="G307">
        <f t="shared" si="37"/>
        <v>0</v>
      </c>
      <c r="H307" s="4">
        <f t="shared" si="38"/>
        <v>1</v>
      </c>
      <c r="I307" s="4">
        <f t="shared" si="39"/>
        <v>0</v>
      </c>
      <c r="J307" s="4">
        <f t="shared" si="40"/>
        <v>0.5</v>
      </c>
      <c r="K307" s="4">
        <f t="shared" si="41"/>
        <v>0</v>
      </c>
      <c r="L307" s="4">
        <f t="shared" si="42"/>
        <v>1.5</v>
      </c>
      <c r="M307" s="4">
        <f t="shared" si="43"/>
        <v>0</v>
      </c>
      <c r="N307" s="4">
        <f t="shared" si="44"/>
        <v>0.5</v>
      </c>
    </row>
    <row r="308" spans="1:14" x14ac:dyDescent="0.2">
      <c r="A308" t="str">
        <v>d_307</v>
      </c>
      <c r="B308" s="2">
        <v>40878</v>
      </c>
      <c r="C308" s="4">
        <v>3</v>
      </c>
      <c r="D308" s="4">
        <v>0</v>
      </c>
      <c r="E308" s="4">
        <v>1</v>
      </c>
      <c r="F308">
        <f t="shared" si="36"/>
        <v>2.5</v>
      </c>
      <c r="G308">
        <f t="shared" si="37"/>
        <v>0.5</v>
      </c>
      <c r="H308" s="4">
        <f t="shared" si="38"/>
        <v>1.5</v>
      </c>
      <c r="I308" s="4">
        <f t="shared" si="39"/>
        <v>4</v>
      </c>
      <c r="J308" s="4">
        <f t="shared" si="40"/>
        <v>0.5</v>
      </c>
      <c r="K308" s="4">
        <f t="shared" si="41"/>
        <v>1.5</v>
      </c>
      <c r="L308" s="4">
        <f t="shared" si="42"/>
        <v>4.5</v>
      </c>
      <c r="M308" s="4">
        <f t="shared" si="43"/>
        <v>0</v>
      </c>
      <c r="N308" s="4">
        <f t="shared" si="44"/>
        <v>1</v>
      </c>
    </row>
    <row r="309" spans="1:14" x14ac:dyDescent="0.2">
      <c r="A309" t="str">
        <v>d_308</v>
      </c>
      <c r="B309" s="2">
        <v>40879</v>
      </c>
      <c r="C309" s="4">
        <v>1</v>
      </c>
      <c r="D309" s="4">
        <v>2</v>
      </c>
      <c r="E309" s="4">
        <v>0</v>
      </c>
      <c r="F309">
        <f t="shared" si="36"/>
        <v>0.5</v>
      </c>
      <c r="G309">
        <f t="shared" si="37"/>
        <v>1</v>
      </c>
      <c r="H309" s="4">
        <f t="shared" si="38"/>
        <v>0</v>
      </c>
      <c r="I309" s="4">
        <f t="shared" si="39"/>
        <v>2</v>
      </c>
      <c r="J309" s="4">
        <f t="shared" si="40"/>
        <v>2</v>
      </c>
      <c r="K309" s="4">
        <f t="shared" si="41"/>
        <v>1</v>
      </c>
      <c r="L309" s="4">
        <f t="shared" si="42"/>
        <v>3.5</v>
      </c>
      <c r="M309" s="4">
        <f t="shared" si="43"/>
        <v>1.5</v>
      </c>
      <c r="N309" s="4">
        <f t="shared" si="44"/>
        <v>1.5</v>
      </c>
    </row>
    <row r="310" spans="1:14" x14ac:dyDescent="0.2">
      <c r="A310" t="str">
        <v>d_309</v>
      </c>
      <c r="B310" s="2">
        <v>40880</v>
      </c>
      <c r="C310" s="4">
        <v>1</v>
      </c>
      <c r="D310" s="4">
        <v>2</v>
      </c>
      <c r="E310" s="4">
        <v>1</v>
      </c>
      <c r="F310">
        <f t="shared" si="36"/>
        <v>0.5</v>
      </c>
      <c r="G310">
        <f t="shared" si="37"/>
        <v>1.5</v>
      </c>
      <c r="H310" s="4">
        <f t="shared" si="38"/>
        <v>0.5</v>
      </c>
      <c r="I310" s="4">
        <f t="shared" si="39"/>
        <v>2</v>
      </c>
      <c r="J310" s="4">
        <f t="shared" si="40"/>
        <v>1</v>
      </c>
      <c r="K310" s="4">
        <f t="shared" si="41"/>
        <v>1.5</v>
      </c>
      <c r="L310" s="4">
        <f t="shared" si="42"/>
        <v>1.5</v>
      </c>
      <c r="M310" s="4">
        <f t="shared" si="43"/>
        <v>1.5</v>
      </c>
      <c r="N310" s="4">
        <f t="shared" si="44"/>
        <v>0</v>
      </c>
    </row>
    <row r="311" spans="1:14" x14ac:dyDescent="0.2">
      <c r="A311" t="str">
        <v>d_310</v>
      </c>
      <c r="B311" s="2">
        <v>40881</v>
      </c>
      <c r="C311" s="4">
        <v>5</v>
      </c>
      <c r="D311" s="4">
        <v>1</v>
      </c>
      <c r="E311" s="4">
        <v>2</v>
      </c>
      <c r="F311">
        <f t="shared" si="36"/>
        <v>3</v>
      </c>
      <c r="G311">
        <f t="shared" si="37"/>
        <v>1</v>
      </c>
      <c r="H311" s="4">
        <f t="shared" si="38"/>
        <v>1</v>
      </c>
      <c r="I311" s="4">
        <f t="shared" si="39"/>
        <v>2.5</v>
      </c>
      <c r="J311" s="4">
        <f t="shared" si="40"/>
        <v>2</v>
      </c>
      <c r="K311" s="4">
        <f t="shared" si="41"/>
        <v>2</v>
      </c>
      <c r="L311" s="4">
        <f t="shared" si="42"/>
        <v>1</v>
      </c>
      <c r="M311" s="4">
        <f t="shared" si="43"/>
        <v>1.5</v>
      </c>
      <c r="N311" s="4">
        <f t="shared" si="44"/>
        <v>0.5</v>
      </c>
    </row>
    <row r="312" spans="1:14" x14ac:dyDescent="0.2">
      <c r="A312" t="str">
        <v>d_311</v>
      </c>
      <c r="B312" s="2">
        <v>40882</v>
      </c>
      <c r="C312" s="4">
        <v>3</v>
      </c>
      <c r="D312" s="4">
        <v>2</v>
      </c>
      <c r="E312" s="4">
        <v>0</v>
      </c>
      <c r="F312">
        <f t="shared" si="36"/>
        <v>1.5</v>
      </c>
      <c r="G312">
        <f t="shared" si="37"/>
        <v>1</v>
      </c>
      <c r="H312" s="4">
        <f t="shared" si="38"/>
        <v>0</v>
      </c>
      <c r="I312" s="4">
        <f t="shared" si="39"/>
        <v>2.5</v>
      </c>
      <c r="J312" s="4">
        <f t="shared" si="40"/>
        <v>1</v>
      </c>
      <c r="K312" s="4">
        <f t="shared" si="41"/>
        <v>1</v>
      </c>
      <c r="L312" s="4">
        <f t="shared" si="42"/>
        <v>2.5</v>
      </c>
      <c r="M312" s="4">
        <f t="shared" si="43"/>
        <v>0.5</v>
      </c>
      <c r="N312" s="4">
        <f t="shared" si="44"/>
        <v>1</v>
      </c>
    </row>
    <row r="313" spans="1:14" x14ac:dyDescent="0.2">
      <c r="A313" t="str">
        <v>d_312</v>
      </c>
      <c r="B313" s="2">
        <v>40883</v>
      </c>
      <c r="C313" s="4">
        <v>2</v>
      </c>
      <c r="D313" s="4">
        <v>3</v>
      </c>
      <c r="E313" s="4">
        <v>1</v>
      </c>
      <c r="F313">
        <f t="shared" si="36"/>
        <v>5</v>
      </c>
      <c r="G313">
        <f t="shared" si="37"/>
        <v>1.5</v>
      </c>
      <c r="H313" s="4">
        <f t="shared" si="38"/>
        <v>1.5</v>
      </c>
      <c r="I313" s="4">
        <f t="shared" si="39"/>
        <v>1.5</v>
      </c>
      <c r="J313" s="4">
        <f t="shared" si="40"/>
        <v>2</v>
      </c>
      <c r="K313" s="4">
        <f t="shared" si="41"/>
        <v>0.5</v>
      </c>
      <c r="L313" s="4">
        <f t="shared" si="42"/>
        <v>2.5</v>
      </c>
      <c r="M313" s="4">
        <f t="shared" si="43"/>
        <v>1.5</v>
      </c>
      <c r="N313" s="4">
        <f t="shared" si="44"/>
        <v>0</v>
      </c>
    </row>
    <row r="314" spans="1:14" x14ac:dyDescent="0.2">
      <c r="A314" t="str">
        <v>d_313</v>
      </c>
      <c r="B314" s="2">
        <v>40884</v>
      </c>
      <c r="C314" s="4">
        <v>0</v>
      </c>
      <c r="D314" s="4">
        <v>0</v>
      </c>
      <c r="E314" s="4">
        <v>0</v>
      </c>
      <c r="F314">
        <f t="shared" si="36"/>
        <v>1.5</v>
      </c>
      <c r="G314">
        <f t="shared" si="37"/>
        <v>0</v>
      </c>
      <c r="H314" s="4">
        <f t="shared" si="38"/>
        <v>0.5</v>
      </c>
      <c r="I314" s="4">
        <f t="shared" si="39"/>
        <v>1.5</v>
      </c>
      <c r="J314" s="4">
        <f t="shared" si="40"/>
        <v>2</v>
      </c>
      <c r="K314" s="4">
        <f t="shared" si="41"/>
        <v>0.5</v>
      </c>
      <c r="L314" s="4">
        <f t="shared" si="42"/>
        <v>1.5</v>
      </c>
      <c r="M314" s="4">
        <f t="shared" si="43"/>
        <v>3</v>
      </c>
      <c r="N314" s="4">
        <f t="shared" si="44"/>
        <v>1</v>
      </c>
    </row>
    <row r="315" spans="1:14" x14ac:dyDescent="0.2">
      <c r="A315" t="str">
        <v>d_314</v>
      </c>
      <c r="B315" s="2">
        <v>40885</v>
      </c>
      <c r="C315" s="4">
        <v>1</v>
      </c>
      <c r="D315" s="4">
        <v>2</v>
      </c>
      <c r="E315" s="4">
        <v>0</v>
      </c>
      <c r="F315">
        <f t="shared" si="36"/>
        <v>1</v>
      </c>
      <c r="G315">
        <f t="shared" si="37"/>
        <v>2</v>
      </c>
      <c r="H315" s="4">
        <f t="shared" si="38"/>
        <v>0</v>
      </c>
      <c r="I315" s="4">
        <f t="shared" si="39"/>
        <v>0</v>
      </c>
      <c r="J315" s="4">
        <f t="shared" si="40"/>
        <v>0</v>
      </c>
      <c r="K315" s="4">
        <f t="shared" si="41"/>
        <v>0</v>
      </c>
      <c r="L315" s="4">
        <f t="shared" si="42"/>
        <v>0</v>
      </c>
      <c r="M315" s="4">
        <f t="shared" si="43"/>
        <v>0</v>
      </c>
      <c r="N315" s="4">
        <f t="shared" si="44"/>
        <v>0.5</v>
      </c>
    </row>
    <row r="316" spans="1:14" x14ac:dyDescent="0.2">
      <c r="A316" t="str">
        <v>d_315</v>
      </c>
      <c r="B316" s="2">
        <v>40886</v>
      </c>
      <c r="C316" s="4">
        <v>0</v>
      </c>
      <c r="D316" s="4">
        <v>0</v>
      </c>
      <c r="E316" s="4">
        <v>0</v>
      </c>
      <c r="F316">
        <f t="shared" si="36"/>
        <v>0.5</v>
      </c>
      <c r="G316">
        <f t="shared" si="37"/>
        <v>1</v>
      </c>
      <c r="H316" s="4">
        <f t="shared" si="38"/>
        <v>0.5</v>
      </c>
      <c r="I316" s="4">
        <f t="shared" si="39"/>
        <v>1.5</v>
      </c>
      <c r="J316" s="4">
        <f t="shared" si="40"/>
        <v>1.5</v>
      </c>
      <c r="K316" s="4">
        <f t="shared" si="41"/>
        <v>1</v>
      </c>
      <c r="L316" s="4">
        <f t="shared" si="42"/>
        <v>1</v>
      </c>
      <c r="M316" s="4">
        <f t="shared" si="43"/>
        <v>1</v>
      </c>
      <c r="N316" s="4">
        <f t="shared" si="44"/>
        <v>0</v>
      </c>
    </row>
    <row r="317" spans="1:14" x14ac:dyDescent="0.2">
      <c r="A317" t="str">
        <v>d_316</v>
      </c>
      <c r="B317" s="2">
        <v>40887</v>
      </c>
      <c r="C317" s="4">
        <v>0</v>
      </c>
      <c r="D317" s="4">
        <v>0</v>
      </c>
      <c r="E317" s="4">
        <v>2</v>
      </c>
      <c r="F317">
        <f t="shared" si="36"/>
        <v>2.5</v>
      </c>
      <c r="G317">
        <f t="shared" si="37"/>
        <v>0.5</v>
      </c>
      <c r="H317" s="4">
        <f t="shared" si="38"/>
        <v>2</v>
      </c>
      <c r="I317" s="4">
        <f t="shared" si="39"/>
        <v>0</v>
      </c>
      <c r="J317" s="4">
        <f t="shared" si="40"/>
        <v>0</v>
      </c>
      <c r="K317" s="4">
        <f t="shared" si="41"/>
        <v>0</v>
      </c>
      <c r="L317" s="4">
        <f t="shared" si="42"/>
        <v>0</v>
      </c>
      <c r="M317" s="4">
        <f t="shared" si="43"/>
        <v>0</v>
      </c>
      <c r="N317" s="4">
        <f t="shared" si="44"/>
        <v>1</v>
      </c>
    </row>
    <row r="318" spans="1:14" x14ac:dyDescent="0.2">
      <c r="A318" t="str">
        <v>d_317</v>
      </c>
      <c r="B318" s="2">
        <v>40888</v>
      </c>
      <c r="C318" s="4">
        <v>2</v>
      </c>
      <c r="D318" s="4">
        <v>0</v>
      </c>
      <c r="E318" s="4">
        <v>1</v>
      </c>
      <c r="F318">
        <f t="shared" si="36"/>
        <v>2.5</v>
      </c>
      <c r="G318">
        <f t="shared" si="37"/>
        <v>1</v>
      </c>
      <c r="H318" s="4">
        <f t="shared" si="38"/>
        <v>0.5</v>
      </c>
      <c r="I318" s="4">
        <f t="shared" si="39"/>
        <v>0</v>
      </c>
      <c r="J318" s="4">
        <f t="shared" si="40"/>
        <v>0.5</v>
      </c>
      <c r="K318" s="4">
        <f t="shared" si="41"/>
        <v>1</v>
      </c>
      <c r="L318" s="4">
        <f t="shared" si="42"/>
        <v>3</v>
      </c>
      <c r="M318" s="4">
        <f t="shared" si="43"/>
        <v>0</v>
      </c>
      <c r="N318" s="4">
        <f t="shared" si="44"/>
        <v>1</v>
      </c>
    </row>
    <row r="319" spans="1:14" x14ac:dyDescent="0.2">
      <c r="A319" t="str">
        <v>d_318</v>
      </c>
      <c r="B319" s="2">
        <v>40889</v>
      </c>
      <c r="C319" s="4">
        <v>0</v>
      </c>
      <c r="D319" s="4">
        <v>0</v>
      </c>
      <c r="E319" s="4">
        <v>0</v>
      </c>
      <c r="F319">
        <f t="shared" si="36"/>
        <v>1</v>
      </c>
      <c r="G319">
        <f t="shared" si="37"/>
        <v>1.5</v>
      </c>
      <c r="H319" s="4">
        <f t="shared" si="38"/>
        <v>0.5</v>
      </c>
      <c r="I319" s="4">
        <f t="shared" si="39"/>
        <v>1.5</v>
      </c>
      <c r="J319" s="4">
        <f t="shared" si="40"/>
        <v>0.5</v>
      </c>
      <c r="K319" s="4">
        <f t="shared" si="41"/>
        <v>0.5</v>
      </c>
      <c r="L319" s="4">
        <f t="shared" si="42"/>
        <v>1.5</v>
      </c>
      <c r="M319" s="4">
        <f t="shared" si="43"/>
        <v>0.5</v>
      </c>
      <c r="N319" s="4">
        <f t="shared" si="44"/>
        <v>0.5</v>
      </c>
    </row>
    <row r="320" spans="1:14" x14ac:dyDescent="0.2">
      <c r="A320" t="str">
        <v>d_319</v>
      </c>
      <c r="B320" s="2">
        <v>40890</v>
      </c>
      <c r="C320" s="4">
        <v>1</v>
      </c>
      <c r="D320" s="4">
        <v>2</v>
      </c>
      <c r="E320" s="4">
        <v>2</v>
      </c>
      <c r="F320">
        <f t="shared" si="36"/>
        <v>0.5</v>
      </c>
      <c r="G320">
        <f t="shared" si="37"/>
        <v>1</v>
      </c>
      <c r="H320" s="4">
        <f t="shared" si="38"/>
        <v>1</v>
      </c>
      <c r="I320" s="4">
        <f t="shared" si="39"/>
        <v>0</v>
      </c>
      <c r="J320" s="4">
        <f t="shared" si="40"/>
        <v>0</v>
      </c>
      <c r="K320" s="4">
        <f t="shared" si="41"/>
        <v>0</v>
      </c>
      <c r="L320" s="4">
        <f t="shared" si="42"/>
        <v>0</v>
      </c>
      <c r="M320" s="4">
        <f t="shared" si="43"/>
        <v>0.5</v>
      </c>
      <c r="N320" s="4">
        <f t="shared" si="44"/>
        <v>0.5</v>
      </c>
    </row>
    <row r="321" spans="1:14" x14ac:dyDescent="0.2">
      <c r="A321" t="str">
        <v>d_320</v>
      </c>
      <c r="B321" s="2">
        <v>40891</v>
      </c>
      <c r="C321" s="4">
        <v>0</v>
      </c>
      <c r="D321" s="4">
        <v>1</v>
      </c>
      <c r="E321" s="4">
        <v>2</v>
      </c>
      <c r="F321">
        <f t="shared" si="36"/>
        <v>0.5</v>
      </c>
      <c r="G321">
        <f t="shared" si="37"/>
        <v>1.5</v>
      </c>
      <c r="H321" s="4">
        <f t="shared" si="38"/>
        <v>1</v>
      </c>
      <c r="I321" s="4">
        <f t="shared" si="39"/>
        <v>4.5</v>
      </c>
      <c r="J321" s="4">
        <f t="shared" si="40"/>
        <v>1</v>
      </c>
      <c r="K321" s="4">
        <f t="shared" si="41"/>
        <v>2</v>
      </c>
      <c r="L321" s="4">
        <f t="shared" si="42"/>
        <v>0.5</v>
      </c>
      <c r="M321" s="4">
        <f t="shared" si="43"/>
        <v>1.5</v>
      </c>
      <c r="N321" s="4">
        <f t="shared" si="44"/>
        <v>1</v>
      </c>
    </row>
    <row r="322" spans="1:14" x14ac:dyDescent="0.2">
      <c r="A322" t="str">
        <v>d_321</v>
      </c>
      <c r="B322" s="2">
        <v>40892</v>
      </c>
      <c r="C322" s="4">
        <v>1</v>
      </c>
      <c r="D322" s="4">
        <v>1</v>
      </c>
      <c r="E322" s="4">
        <v>1</v>
      </c>
      <c r="F322">
        <f t="shared" si="36"/>
        <v>0.5</v>
      </c>
      <c r="G322">
        <f t="shared" si="37"/>
        <v>0.5</v>
      </c>
      <c r="H322" s="4">
        <f t="shared" si="38"/>
        <v>0.5</v>
      </c>
      <c r="I322" s="4">
        <f t="shared" si="39"/>
        <v>1.5</v>
      </c>
      <c r="J322" s="4">
        <f t="shared" si="40"/>
        <v>0.5</v>
      </c>
      <c r="K322" s="4">
        <f t="shared" si="41"/>
        <v>1.5</v>
      </c>
      <c r="L322" s="4">
        <f t="shared" si="42"/>
        <v>0</v>
      </c>
      <c r="M322" s="4">
        <f t="shared" si="43"/>
        <v>1</v>
      </c>
      <c r="N322" s="4">
        <f t="shared" si="44"/>
        <v>1.5</v>
      </c>
    </row>
    <row r="323" spans="1:14" x14ac:dyDescent="0.2">
      <c r="A323" t="str">
        <v>d_322</v>
      </c>
      <c r="B323" s="2">
        <v>40893</v>
      </c>
      <c r="C323" s="4">
        <v>2</v>
      </c>
      <c r="D323" s="4">
        <v>0</v>
      </c>
      <c r="E323" s="4">
        <v>1</v>
      </c>
      <c r="F323">
        <f t="shared" si="36"/>
        <v>1</v>
      </c>
      <c r="G323">
        <f t="shared" si="37"/>
        <v>0</v>
      </c>
      <c r="H323" s="4">
        <f t="shared" si="38"/>
        <v>1.5</v>
      </c>
      <c r="I323" s="4">
        <f t="shared" si="39"/>
        <v>1</v>
      </c>
      <c r="J323" s="4">
        <f t="shared" si="40"/>
        <v>1.5</v>
      </c>
      <c r="K323" s="4">
        <f t="shared" si="41"/>
        <v>0.5</v>
      </c>
      <c r="L323" s="4">
        <f t="shared" si="42"/>
        <v>1</v>
      </c>
      <c r="M323" s="4">
        <f t="shared" si="43"/>
        <v>2.5</v>
      </c>
      <c r="N323" s="4">
        <f t="shared" si="44"/>
        <v>1</v>
      </c>
    </row>
    <row r="324" spans="1:14" x14ac:dyDescent="0.2">
      <c r="A324" t="str">
        <v>d_323</v>
      </c>
      <c r="B324" s="2">
        <v>40894</v>
      </c>
      <c r="C324" s="4">
        <v>2</v>
      </c>
      <c r="D324" s="4">
        <v>0</v>
      </c>
      <c r="E324" s="4">
        <v>6</v>
      </c>
      <c r="F324">
        <f t="shared" si="36"/>
        <v>2</v>
      </c>
      <c r="G324">
        <f t="shared" si="37"/>
        <v>0</v>
      </c>
      <c r="H324" s="4">
        <f t="shared" si="38"/>
        <v>3.5</v>
      </c>
      <c r="I324" s="4">
        <f t="shared" si="39"/>
        <v>1.5</v>
      </c>
      <c r="J324" s="4">
        <f t="shared" si="40"/>
        <v>1</v>
      </c>
      <c r="K324" s="4">
        <f t="shared" si="41"/>
        <v>1</v>
      </c>
      <c r="L324" s="4">
        <f t="shared" si="42"/>
        <v>2.5</v>
      </c>
      <c r="M324" s="4">
        <f t="shared" si="43"/>
        <v>0</v>
      </c>
      <c r="N324" s="4">
        <f t="shared" si="44"/>
        <v>2</v>
      </c>
    </row>
    <row r="325" spans="1:14" x14ac:dyDescent="0.2">
      <c r="A325" t="str">
        <v>d_324</v>
      </c>
      <c r="B325" s="2">
        <v>40895</v>
      </c>
      <c r="C325" s="4">
        <v>6</v>
      </c>
      <c r="D325" s="4">
        <v>2</v>
      </c>
      <c r="E325" s="4">
        <v>0</v>
      </c>
      <c r="F325">
        <f t="shared" si="36"/>
        <v>3</v>
      </c>
      <c r="G325">
        <f t="shared" si="37"/>
        <v>1</v>
      </c>
      <c r="H325" s="4">
        <f t="shared" si="38"/>
        <v>0</v>
      </c>
      <c r="I325" s="4">
        <f t="shared" si="39"/>
        <v>3.5</v>
      </c>
      <c r="J325" s="4">
        <f t="shared" si="40"/>
        <v>0.5</v>
      </c>
      <c r="K325" s="4">
        <f t="shared" si="41"/>
        <v>4</v>
      </c>
      <c r="L325" s="4">
        <f t="shared" si="42"/>
        <v>3</v>
      </c>
      <c r="M325" s="4">
        <f t="shared" si="43"/>
        <v>1</v>
      </c>
      <c r="N325" s="4">
        <f t="shared" si="44"/>
        <v>4.5</v>
      </c>
    </row>
    <row r="326" spans="1:14" x14ac:dyDescent="0.2">
      <c r="A326" t="str">
        <v>d_325</v>
      </c>
      <c r="B326" s="2">
        <v>40896</v>
      </c>
      <c r="C326" s="4">
        <v>2</v>
      </c>
      <c r="D326" s="4">
        <v>4</v>
      </c>
      <c r="E326" s="4">
        <v>1</v>
      </c>
      <c r="F326">
        <f t="shared" si="36"/>
        <v>1.5</v>
      </c>
      <c r="G326">
        <f t="shared" si="37"/>
        <v>3</v>
      </c>
      <c r="H326" s="4">
        <f t="shared" si="38"/>
        <v>1.5</v>
      </c>
      <c r="I326" s="4">
        <f t="shared" si="39"/>
        <v>4.5</v>
      </c>
      <c r="J326" s="4">
        <f t="shared" si="40"/>
        <v>2</v>
      </c>
      <c r="K326" s="4">
        <f t="shared" si="41"/>
        <v>0</v>
      </c>
      <c r="L326" s="4">
        <f t="shared" si="42"/>
        <v>3</v>
      </c>
      <c r="M326" s="4">
        <f t="shared" si="43"/>
        <v>1.5</v>
      </c>
      <c r="N326" s="4">
        <f t="shared" si="44"/>
        <v>0</v>
      </c>
    </row>
    <row r="327" spans="1:14" x14ac:dyDescent="0.2">
      <c r="A327" t="str">
        <v>d_326</v>
      </c>
      <c r="B327" s="2">
        <v>40897</v>
      </c>
      <c r="C327" s="4">
        <v>3</v>
      </c>
      <c r="D327" s="4">
        <v>1</v>
      </c>
      <c r="E327" s="4">
        <v>0</v>
      </c>
      <c r="F327">
        <f t="shared" si="36"/>
        <v>1.5</v>
      </c>
      <c r="G327">
        <f t="shared" si="37"/>
        <v>1</v>
      </c>
      <c r="H327" s="4">
        <f t="shared" si="38"/>
        <v>1</v>
      </c>
      <c r="I327" s="4">
        <f t="shared" si="39"/>
        <v>2</v>
      </c>
      <c r="J327" s="4">
        <f t="shared" si="40"/>
        <v>3.5</v>
      </c>
      <c r="K327" s="4">
        <f t="shared" si="41"/>
        <v>1</v>
      </c>
      <c r="L327" s="4">
        <f t="shared" si="42"/>
        <v>1</v>
      </c>
      <c r="M327" s="4">
        <f t="shared" si="43"/>
        <v>3</v>
      </c>
      <c r="N327" s="4">
        <f t="shared" si="44"/>
        <v>1</v>
      </c>
    </row>
    <row r="328" spans="1:14" x14ac:dyDescent="0.2">
      <c r="A328" t="str">
        <v>d_327</v>
      </c>
      <c r="B328" s="2">
        <v>40898</v>
      </c>
      <c r="C328" s="4">
        <v>5</v>
      </c>
      <c r="D328" s="4">
        <v>0</v>
      </c>
      <c r="E328" s="4">
        <v>0</v>
      </c>
      <c r="F328">
        <f t="shared" si="36"/>
        <v>3</v>
      </c>
      <c r="G328">
        <f t="shared" si="37"/>
        <v>0.5</v>
      </c>
      <c r="H328" s="4">
        <f t="shared" si="38"/>
        <v>0.5</v>
      </c>
      <c r="I328" s="4">
        <f t="shared" si="39"/>
        <v>1.5</v>
      </c>
      <c r="J328" s="4">
        <f t="shared" si="40"/>
        <v>0.5</v>
      </c>
      <c r="K328" s="4">
        <f t="shared" si="41"/>
        <v>0</v>
      </c>
      <c r="L328" s="4">
        <f t="shared" si="42"/>
        <v>2</v>
      </c>
      <c r="M328" s="4">
        <f t="shared" si="43"/>
        <v>1</v>
      </c>
      <c r="N328" s="4">
        <f t="shared" si="44"/>
        <v>0</v>
      </c>
    </row>
    <row r="329" spans="1:14" x14ac:dyDescent="0.2">
      <c r="A329" t="str">
        <v>d_328</v>
      </c>
      <c r="B329" s="2">
        <v>40899</v>
      </c>
      <c r="C329" s="4">
        <v>3</v>
      </c>
      <c r="D329" s="4">
        <v>0</v>
      </c>
      <c r="E329" s="4">
        <v>2</v>
      </c>
      <c r="F329">
        <f t="shared" ref="F329:F366" si="45">AVERAGE(C323,C329)</f>
        <v>2.5</v>
      </c>
      <c r="G329">
        <f t="shared" ref="G329:G366" si="46">AVERAGE(D323,D329)</f>
        <v>0</v>
      </c>
      <c r="H329" s="4">
        <f t="shared" ref="H329:H366" si="47">AVERAGE(E323,E329)</f>
        <v>1.5</v>
      </c>
      <c r="I329" s="4">
        <f t="shared" si="39"/>
        <v>3</v>
      </c>
      <c r="J329" s="4">
        <f t="shared" si="40"/>
        <v>1</v>
      </c>
      <c r="K329" s="4">
        <f t="shared" si="41"/>
        <v>0</v>
      </c>
      <c r="L329" s="4">
        <f t="shared" si="42"/>
        <v>2.5</v>
      </c>
      <c r="M329" s="4">
        <f t="shared" si="43"/>
        <v>0</v>
      </c>
      <c r="N329" s="4">
        <f t="shared" si="44"/>
        <v>0</v>
      </c>
    </row>
    <row r="330" spans="1:14" x14ac:dyDescent="0.2">
      <c r="A330" t="str">
        <v>d_329</v>
      </c>
      <c r="B330" s="2">
        <v>40900</v>
      </c>
      <c r="C330" s="4">
        <v>5</v>
      </c>
      <c r="D330" s="4">
        <v>1</v>
      </c>
      <c r="E330" s="4">
        <v>0</v>
      </c>
      <c r="F330">
        <f t="shared" si="45"/>
        <v>3.5</v>
      </c>
      <c r="G330">
        <f t="shared" si="46"/>
        <v>0.5</v>
      </c>
      <c r="H330" s="4">
        <f t="shared" si="47"/>
        <v>3</v>
      </c>
      <c r="I330" s="4">
        <f t="shared" si="39"/>
        <v>1.5</v>
      </c>
      <c r="J330" s="4">
        <f t="shared" si="40"/>
        <v>0</v>
      </c>
      <c r="K330" s="4">
        <f t="shared" si="41"/>
        <v>1</v>
      </c>
      <c r="L330" s="4">
        <f t="shared" si="42"/>
        <v>2.5</v>
      </c>
      <c r="M330" s="4">
        <f t="shared" si="43"/>
        <v>0.5</v>
      </c>
      <c r="N330" s="4">
        <f t="shared" si="44"/>
        <v>2</v>
      </c>
    </row>
    <row r="331" spans="1:14" x14ac:dyDescent="0.2">
      <c r="A331" t="str">
        <v>d_330</v>
      </c>
      <c r="B331" s="2">
        <v>40901</v>
      </c>
      <c r="C331" s="4">
        <v>1</v>
      </c>
      <c r="D331" s="4">
        <v>2</v>
      </c>
      <c r="E331" s="4">
        <v>0</v>
      </c>
      <c r="F331">
        <f t="shared" si="45"/>
        <v>3.5</v>
      </c>
      <c r="G331">
        <f t="shared" si="46"/>
        <v>2</v>
      </c>
      <c r="H331" s="4">
        <f t="shared" si="47"/>
        <v>0</v>
      </c>
      <c r="I331" s="4">
        <f t="shared" si="39"/>
        <v>2.5</v>
      </c>
      <c r="J331" s="4">
        <f t="shared" si="40"/>
        <v>0.5</v>
      </c>
      <c r="K331" s="4">
        <f t="shared" si="41"/>
        <v>1</v>
      </c>
      <c r="L331" s="4">
        <f t="shared" si="42"/>
        <v>2.5</v>
      </c>
      <c r="M331" s="4">
        <f t="shared" si="43"/>
        <v>0.5</v>
      </c>
      <c r="N331" s="4">
        <f t="shared" si="44"/>
        <v>0</v>
      </c>
    </row>
    <row r="332" spans="1:14" x14ac:dyDescent="0.2">
      <c r="A332" t="str">
        <v>d_331</v>
      </c>
      <c r="B332" s="2">
        <v>40902</v>
      </c>
      <c r="C332" s="4">
        <v>0</v>
      </c>
      <c r="D332" s="4">
        <v>0</v>
      </c>
      <c r="E332" s="4">
        <v>0</v>
      </c>
      <c r="F332">
        <f t="shared" si="45"/>
        <v>1</v>
      </c>
      <c r="G332">
        <f t="shared" si="46"/>
        <v>2</v>
      </c>
      <c r="H332" s="4">
        <f t="shared" si="47"/>
        <v>0.5</v>
      </c>
      <c r="I332" s="4">
        <f t="shared" si="39"/>
        <v>1.5</v>
      </c>
      <c r="J332" s="4">
        <f t="shared" si="40"/>
        <v>1</v>
      </c>
      <c r="K332" s="4">
        <f t="shared" si="41"/>
        <v>0.5</v>
      </c>
      <c r="L332" s="4">
        <f t="shared" si="42"/>
        <v>0.5</v>
      </c>
      <c r="M332" s="4">
        <f t="shared" si="43"/>
        <v>1.5</v>
      </c>
      <c r="N332" s="4">
        <f t="shared" si="44"/>
        <v>0</v>
      </c>
    </row>
    <row r="333" spans="1:14" x14ac:dyDescent="0.2">
      <c r="A333" t="str">
        <v>d_332</v>
      </c>
      <c r="B333" s="2">
        <v>40903</v>
      </c>
      <c r="C333" s="4">
        <v>1</v>
      </c>
      <c r="D333" s="4">
        <v>0</v>
      </c>
      <c r="E333" s="4">
        <v>0</v>
      </c>
      <c r="F333">
        <f t="shared" si="45"/>
        <v>2</v>
      </c>
      <c r="G333">
        <f t="shared" si="46"/>
        <v>0.5</v>
      </c>
      <c r="H333" s="4">
        <f t="shared" si="47"/>
        <v>0</v>
      </c>
      <c r="I333" s="4">
        <f t="shared" si="39"/>
        <v>0</v>
      </c>
      <c r="J333" s="4">
        <f t="shared" si="40"/>
        <v>0</v>
      </c>
      <c r="K333" s="4">
        <f t="shared" si="41"/>
        <v>0</v>
      </c>
      <c r="L333" s="4">
        <f t="shared" si="42"/>
        <v>0.5</v>
      </c>
      <c r="M333" s="4">
        <f t="shared" si="43"/>
        <v>0.5</v>
      </c>
      <c r="N333" s="4">
        <f t="shared" si="44"/>
        <v>0</v>
      </c>
    </row>
    <row r="334" spans="1:14" x14ac:dyDescent="0.2">
      <c r="A334" t="str">
        <v>d_333</v>
      </c>
      <c r="B334" s="2">
        <v>40904</v>
      </c>
      <c r="C334" s="4">
        <v>1</v>
      </c>
      <c r="D334" s="4">
        <v>1</v>
      </c>
      <c r="E334" s="4">
        <v>0</v>
      </c>
      <c r="F334">
        <f t="shared" si="45"/>
        <v>3</v>
      </c>
      <c r="G334">
        <f t="shared" si="46"/>
        <v>0.5</v>
      </c>
      <c r="H334" s="4">
        <f t="shared" si="47"/>
        <v>0</v>
      </c>
      <c r="I334" s="4">
        <f t="shared" si="39"/>
        <v>1</v>
      </c>
      <c r="J334" s="4">
        <f t="shared" si="40"/>
        <v>1</v>
      </c>
      <c r="K334" s="4">
        <f t="shared" si="41"/>
        <v>1</v>
      </c>
      <c r="L334" s="4">
        <f t="shared" si="42"/>
        <v>0.5</v>
      </c>
      <c r="M334" s="4">
        <f t="shared" si="43"/>
        <v>0</v>
      </c>
      <c r="N334" s="4">
        <f t="shared" si="44"/>
        <v>0</v>
      </c>
    </row>
    <row r="335" spans="1:14" x14ac:dyDescent="0.2">
      <c r="A335" t="str">
        <v>d_334</v>
      </c>
      <c r="B335" s="2">
        <v>40905</v>
      </c>
      <c r="C335" s="4">
        <v>1</v>
      </c>
      <c r="D335" s="4">
        <v>0</v>
      </c>
      <c r="E335" s="4">
        <v>0</v>
      </c>
      <c r="F335">
        <f t="shared" si="45"/>
        <v>2</v>
      </c>
      <c r="G335">
        <f t="shared" si="46"/>
        <v>0</v>
      </c>
      <c r="H335" s="4">
        <f t="shared" si="47"/>
        <v>1</v>
      </c>
      <c r="I335" s="4">
        <f t="shared" si="39"/>
        <v>0.5</v>
      </c>
      <c r="J335" s="4">
        <f t="shared" si="40"/>
        <v>1</v>
      </c>
      <c r="K335" s="4">
        <f t="shared" si="41"/>
        <v>1</v>
      </c>
      <c r="L335" s="4">
        <f t="shared" si="42"/>
        <v>4.5</v>
      </c>
      <c r="M335" s="4">
        <f t="shared" si="43"/>
        <v>0.5</v>
      </c>
      <c r="N335" s="4">
        <f t="shared" si="44"/>
        <v>1</v>
      </c>
    </row>
    <row r="336" spans="1:14" x14ac:dyDescent="0.2">
      <c r="A336" t="str">
        <v>d_335</v>
      </c>
      <c r="B336" s="2">
        <v>40906</v>
      </c>
      <c r="C336" s="4">
        <v>0</v>
      </c>
      <c r="D336" s="4">
        <v>1</v>
      </c>
      <c r="E336" s="4">
        <v>0</v>
      </c>
      <c r="F336">
        <f t="shared" si="45"/>
        <v>2.5</v>
      </c>
      <c r="G336">
        <f t="shared" si="46"/>
        <v>1</v>
      </c>
      <c r="H336" s="4">
        <f t="shared" si="47"/>
        <v>0</v>
      </c>
      <c r="I336" s="4">
        <f t="shared" si="39"/>
        <v>1</v>
      </c>
      <c r="J336" s="4">
        <f t="shared" si="40"/>
        <v>0.5</v>
      </c>
      <c r="K336" s="4">
        <f t="shared" si="41"/>
        <v>0.5</v>
      </c>
      <c r="L336" s="4">
        <f t="shared" si="42"/>
        <v>2</v>
      </c>
      <c r="M336" s="4">
        <f t="shared" si="43"/>
        <v>0</v>
      </c>
      <c r="N336" s="4">
        <f t="shared" si="44"/>
        <v>0.5</v>
      </c>
    </row>
    <row r="337" spans="1:14" x14ac:dyDescent="0.2">
      <c r="A337" t="str">
        <v>d_336</v>
      </c>
      <c r="B337" s="2">
        <v>40907</v>
      </c>
      <c r="C337" s="4">
        <v>0</v>
      </c>
      <c r="D337" s="4">
        <v>0</v>
      </c>
      <c r="E337" s="4">
        <v>1</v>
      </c>
      <c r="F337">
        <f t="shared" si="45"/>
        <v>0.5</v>
      </c>
      <c r="G337">
        <f t="shared" si="46"/>
        <v>1</v>
      </c>
      <c r="H337" s="4">
        <f t="shared" si="47"/>
        <v>0.5</v>
      </c>
      <c r="I337" s="4">
        <f t="shared" ref="I337:I366" si="48">AVERAGE(C323,C336)</f>
        <v>1</v>
      </c>
      <c r="J337" s="4">
        <f t="shared" ref="J337:J366" si="49">AVERAGE(D323,D336)</f>
        <v>0.5</v>
      </c>
      <c r="K337" s="4">
        <f t="shared" ref="K337:K366" si="50">AVERAGE(E323,E336)</f>
        <v>0.5</v>
      </c>
      <c r="L337" s="4">
        <f t="shared" si="42"/>
        <v>0.5</v>
      </c>
      <c r="M337" s="4">
        <f t="shared" si="43"/>
        <v>1.5</v>
      </c>
      <c r="N337" s="4">
        <f t="shared" si="44"/>
        <v>0</v>
      </c>
    </row>
    <row r="338" spans="1:14" x14ac:dyDescent="0.2">
      <c r="A338" t="str">
        <v>d_337</v>
      </c>
      <c r="B338" s="2">
        <v>40908</v>
      </c>
      <c r="C338" s="4">
        <v>2</v>
      </c>
      <c r="D338" s="4">
        <v>1</v>
      </c>
      <c r="E338" s="4">
        <v>1</v>
      </c>
      <c r="F338">
        <f t="shared" si="45"/>
        <v>1</v>
      </c>
      <c r="G338">
        <f t="shared" si="46"/>
        <v>0.5</v>
      </c>
      <c r="H338" s="4">
        <f t="shared" si="47"/>
        <v>0.5</v>
      </c>
      <c r="I338" s="4">
        <f t="shared" si="48"/>
        <v>1</v>
      </c>
      <c r="J338" s="4">
        <f t="shared" si="49"/>
        <v>0</v>
      </c>
      <c r="K338" s="4">
        <f t="shared" si="50"/>
        <v>3.5</v>
      </c>
      <c r="L338" s="4">
        <f t="shared" si="42"/>
        <v>0.5</v>
      </c>
      <c r="M338" s="4">
        <f t="shared" si="43"/>
        <v>1</v>
      </c>
      <c r="N338" s="4">
        <f t="shared" si="44"/>
        <v>1</v>
      </c>
    </row>
    <row r="339" spans="1:14" x14ac:dyDescent="0.2">
      <c r="A339" t="str">
        <v>d_338</v>
      </c>
      <c r="B339" s="2">
        <v>40909</v>
      </c>
      <c r="C339" s="4">
        <v>2</v>
      </c>
      <c r="D339" s="4">
        <v>0</v>
      </c>
      <c r="E339" s="4">
        <v>0</v>
      </c>
      <c r="F339">
        <f t="shared" si="45"/>
        <v>1.5</v>
      </c>
      <c r="G339">
        <f t="shared" si="46"/>
        <v>0</v>
      </c>
      <c r="H339" s="4">
        <f t="shared" si="47"/>
        <v>0</v>
      </c>
      <c r="I339" s="4">
        <f t="shared" si="48"/>
        <v>4</v>
      </c>
      <c r="J339" s="4">
        <f t="shared" si="49"/>
        <v>1.5</v>
      </c>
      <c r="K339" s="4">
        <f t="shared" si="50"/>
        <v>0.5</v>
      </c>
      <c r="L339" s="4">
        <f t="shared" si="42"/>
        <v>3.5</v>
      </c>
      <c r="M339" s="4">
        <f t="shared" si="43"/>
        <v>1</v>
      </c>
      <c r="N339" s="4">
        <f t="shared" si="44"/>
        <v>1.5</v>
      </c>
    </row>
    <row r="340" spans="1:14" x14ac:dyDescent="0.2">
      <c r="A340" t="str">
        <v>d_339</v>
      </c>
      <c r="B340" s="2">
        <v>40910</v>
      </c>
      <c r="C340" s="4">
        <v>0</v>
      </c>
      <c r="D340" s="4">
        <v>2</v>
      </c>
      <c r="E340" s="4">
        <v>0</v>
      </c>
      <c r="F340">
        <f t="shared" si="45"/>
        <v>0.5</v>
      </c>
      <c r="G340">
        <f t="shared" si="46"/>
        <v>1.5</v>
      </c>
      <c r="H340" s="4">
        <f t="shared" si="47"/>
        <v>0</v>
      </c>
      <c r="I340" s="4">
        <f t="shared" si="48"/>
        <v>2</v>
      </c>
      <c r="J340" s="4">
        <f t="shared" si="49"/>
        <v>2</v>
      </c>
      <c r="K340" s="4">
        <f t="shared" si="50"/>
        <v>0.5</v>
      </c>
      <c r="L340" s="4">
        <f t="shared" si="42"/>
        <v>2.5</v>
      </c>
      <c r="M340" s="4">
        <f t="shared" si="43"/>
        <v>1</v>
      </c>
      <c r="N340" s="4">
        <f t="shared" si="44"/>
        <v>0</v>
      </c>
    </row>
    <row r="341" spans="1:14" x14ac:dyDescent="0.2">
      <c r="A341" t="str">
        <v>d_340</v>
      </c>
      <c r="B341" s="2">
        <v>40911</v>
      </c>
      <c r="C341" s="4">
        <v>0</v>
      </c>
      <c r="D341" s="4">
        <v>0</v>
      </c>
      <c r="E341" s="4">
        <v>0</v>
      </c>
      <c r="F341">
        <f t="shared" si="45"/>
        <v>0.5</v>
      </c>
      <c r="G341">
        <f t="shared" si="46"/>
        <v>0</v>
      </c>
      <c r="H341" s="4">
        <f t="shared" si="47"/>
        <v>0</v>
      </c>
      <c r="I341" s="4">
        <f t="shared" si="48"/>
        <v>1.5</v>
      </c>
      <c r="J341" s="4">
        <f t="shared" si="49"/>
        <v>1.5</v>
      </c>
      <c r="K341" s="4">
        <f t="shared" si="50"/>
        <v>0</v>
      </c>
      <c r="L341" s="4">
        <f t="shared" si="42"/>
        <v>1</v>
      </c>
      <c r="M341" s="4">
        <f t="shared" si="43"/>
        <v>2.5</v>
      </c>
      <c r="N341" s="4">
        <f t="shared" si="44"/>
        <v>0.5</v>
      </c>
    </row>
    <row r="342" spans="1:14" x14ac:dyDescent="0.2">
      <c r="A342" t="str">
        <v>d_341</v>
      </c>
      <c r="B342" s="2">
        <v>40912</v>
      </c>
      <c r="C342" s="4">
        <v>1</v>
      </c>
      <c r="D342" s="4">
        <v>2</v>
      </c>
      <c r="E342" s="4">
        <v>0</v>
      </c>
      <c r="F342">
        <f t="shared" si="45"/>
        <v>0.5</v>
      </c>
      <c r="G342">
        <f t="shared" si="46"/>
        <v>1.5</v>
      </c>
      <c r="H342" s="4">
        <f t="shared" si="47"/>
        <v>0</v>
      </c>
      <c r="I342" s="4">
        <f t="shared" si="48"/>
        <v>2.5</v>
      </c>
      <c r="J342" s="4">
        <f t="shared" si="49"/>
        <v>0</v>
      </c>
      <c r="K342" s="4">
        <f t="shared" si="50"/>
        <v>0</v>
      </c>
      <c r="L342" s="4">
        <f t="shared" si="42"/>
        <v>0</v>
      </c>
      <c r="M342" s="4">
        <f t="shared" si="43"/>
        <v>0</v>
      </c>
      <c r="N342" s="4">
        <f t="shared" si="44"/>
        <v>0</v>
      </c>
    </row>
    <row r="343" spans="1:14" x14ac:dyDescent="0.2">
      <c r="A343" t="str">
        <v>d_342</v>
      </c>
      <c r="B343" s="2">
        <v>40913</v>
      </c>
      <c r="C343" s="4">
        <v>1</v>
      </c>
      <c r="D343" s="4">
        <v>0</v>
      </c>
      <c r="E343" s="4">
        <v>1</v>
      </c>
      <c r="F343">
        <f t="shared" si="45"/>
        <v>0.5</v>
      </c>
      <c r="G343">
        <f t="shared" si="46"/>
        <v>0</v>
      </c>
      <c r="H343" s="4">
        <f t="shared" si="47"/>
        <v>1</v>
      </c>
      <c r="I343" s="4">
        <f t="shared" si="48"/>
        <v>2</v>
      </c>
      <c r="J343" s="4">
        <f t="shared" si="49"/>
        <v>1</v>
      </c>
      <c r="K343" s="4">
        <f t="shared" si="50"/>
        <v>1</v>
      </c>
      <c r="L343" s="4">
        <f t="shared" si="42"/>
        <v>1</v>
      </c>
      <c r="M343" s="4">
        <f t="shared" si="43"/>
        <v>2</v>
      </c>
      <c r="N343" s="4">
        <f t="shared" si="44"/>
        <v>0</v>
      </c>
    </row>
    <row r="344" spans="1:14" x14ac:dyDescent="0.2">
      <c r="A344" t="str">
        <v>d_343</v>
      </c>
      <c r="B344" s="2">
        <v>40914</v>
      </c>
      <c r="C344" s="4">
        <v>0</v>
      </c>
      <c r="D344" s="4">
        <v>0</v>
      </c>
      <c r="E344" s="4">
        <v>0</v>
      </c>
      <c r="F344">
        <f t="shared" si="45"/>
        <v>1</v>
      </c>
      <c r="G344">
        <f t="shared" si="46"/>
        <v>0.5</v>
      </c>
      <c r="H344" s="4">
        <f t="shared" si="47"/>
        <v>0.5</v>
      </c>
      <c r="I344" s="4">
        <f t="shared" si="48"/>
        <v>3</v>
      </c>
      <c r="J344" s="4">
        <f t="shared" si="49"/>
        <v>0.5</v>
      </c>
      <c r="K344" s="4">
        <f t="shared" si="50"/>
        <v>0.5</v>
      </c>
      <c r="L344" s="4">
        <f t="shared" si="42"/>
        <v>0.5</v>
      </c>
      <c r="M344" s="4">
        <f t="shared" si="43"/>
        <v>0</v>
      </c>
      <c r="N344" s="4">
        <f t="shared" si="44"/>
        <v>0.5</v>
      </c>
    </row>
    <row r="345" spans="1:14" x14ac:dyDescent="0.2">
      <c r="A345" t="str">
        <v>d_344</v>
      </c>
      <c r="B345" s="2">
        <v>40915</v>
      </c>
      <c r="C345" s="4">
        <v>1</v>
      </c>
      <c r="D345" s="4">
        <v>0</v>
      </c>
      <c r="E345" s="4">
        <v>0</v>
      </c>
      <c r="F345">
        <f t="shared" si="45"/>
        <v>1.5</v>
      </c>
      <c r="G345">
        <f t="shared" si="46"/>
        <v>0</v>
      </c>
      <c r="H345" s="4">
        <f t="shared" si="47"/>
        <v>0</v>
      </c>
      <c r="I345" s="4">
        <f t="shared" si="48"/>
        <v>0.5</v>
      </c>
      <c r="J345" s="4">
        <f t="shared" si="49"/>
        <v>1</v>
      </c>
      <c r="K345" s="4">
        <f t="shared" si="50"/>
        <v>0</v>
      </c>
      <c r="L345" s="4">
        <f t="shared" si="42"/>
        <v>0</v>
      </c>
      <c r="M345" s="4">
        <f t="shared" si="43"/>
        <v>0</v>
      </c>
      <c r="N345" s="4">
        <f t="shared" si="44"/>
        <v>1</v>
      </c>
    </row>
    <row r="346" spans="1:14" x14ac:dyDescent="0.2">
      <c r="A346" t="str">
        <v>d_345</v>
      </c>
      <c r="B346" s="2">
        <v>40916</v>
      </c>
      <c r="C346" s="4">
        <v>0</v>
      </c>
      <c r="D346" s="4">
        <v>4</v>
      </c>
      <c r="E346" s="4">
        <v>0</v>
      </c>
      <c r="F346">
        <f t="shared" si="45"/>
        <v>0</v>
      </c>
      <c r="G346">
        <f t="shared" si="46"/>
        <v>3</v>
      </c>
      <c r="H346" s="4">
        <f t="shared" si="47"/>
        <v>0</v>
      </c>
      <c r="I346" s="4">
        <f t="shared" si="48"/>
        <v>0.5</v>
      </c>
      <c r="J346" s="4">
        <f t="shared" si="49"/>
        <v>0</v>
      </c>
      <c r="K346" s="4">
        <f t="shared" si="50"/>
        <v>0</v>
      </c>
      <c r="L346" s="4">
        <f t="shared" si="42"/>
        <v>1.5</v>
      </c>
      <c r="M346" s="4">
        <f t="shared" si="43"/>
        <v>0</v>
      </c>
      <c r="N346" s="4">
        <f t="shared" si="44"/>
        <v>0.5</v>
      </c>
    </row>
    <row r="347" spans="1:14" x14ac:dyDescent="0.2">
      <c r="A347" t="str">
        <v>d_346</v>
      </c>
      <c r="B347" s="2">
        <v>40917</v>
      </c>
      <c r="C347" s="4">
        <v>0</v>
      </c>
      <c r="D347" s="4">
        <v>2</v>
      </c>
      <c r="E347" s="4">
        <v>0</v>
      </c>
      <c r="F347">
        <f t="shared" si="45"/>
        <v>0</v>
      </c>
      <c r="G347">
        <f t="shared" si="46"/>
        <v>1</v>
      </c>
      <c r="H347" s="4">
        <f t="shared" si="47"/>
        <v>0</v>
      </c>
      <c r="I347" s="4">
        <f t="shared" si="48"/>
        <v>0.5</v>
      </c>
      <c r="J347" s="4">
        <f t="shared" si="49"/>
        <v>2</v>
      </c>
      <c r="K347" s="4">
        <f t="shared" si="50"/>
        <v>0</v>
      </c>
      <c r="L347" s="4">
        <f t="shared" si="42"/>
        <v>0</v>
      </c>
      <c r="M347" s="4">
        <f t="shared" si="43"/>
        <v>2</v>
      </c>
      <c r="N347" s="4">
        <f t="shared" si="44"/>
        <v>0</v>
      </c>
    </row>
    <row r="348" spans="1:14" x14ac:dyDescent="0.2">
      <c r="A348" t="str">
        <v>d_347</v>
      </c>
      <c r="B348" s="2">
        <v>40918</v>
      </c>
      <c r="C348" s="4">
        <v>0</v>
      </c>
      <c r="D348" s="4">
        <v>0</v>
      </c>
      <c r="E348" s="4">
        <v>1</v>
      </c>
      <c r="F348">
        <f t="shared" si="45"/>
        <v>0.5</v>
      </c>
      <c r="G348">
        <f t="shared" si="46"/>
        <v>1</v>
      </c>
      <c r="H348" s="4">
        <f t="shared" si="47"/>
        <v>0.5</v>
      </c>
      <c r="I348" s="4">
        <f t="shared" si="48"/>
        <v>0.5</v>
      </c>
      <c r="J348" s="4">
        <f t="shared" si="49"/>
        <v>1.5</v>
      </c>
      <c r="K348" s="4">
        <f t="shared" si="50"/>
        <v>0</v>
      </c>
      <c r="L348" s="4">
        <f t="shared" si="42"/>
        <v>0.5</v>
      </c>
      <c r="M348" s="4">
        <f t="shared" si="43"/>
        <v>2</v>
      </c>
      <c r="N348" s="4">
        <f t="shared" si="44"/>
        <v>1</v>
      </c>
    </row>
    <row r="349" spans="1:14" x14ac:dyDescent="0.2">
      <c r="A349" t="str">
        <v>d_348</v>
      </c>
      <c r="B349" s="2">
        <v>40919</v>
      </c>
      <c r="C349" s="4">
        <v>2</v>
      </c>
      <c r="D349" s="4">
        <v>2</v>
      </c>
      <c r="E349" s="4">
        <v>1</v>
      </c>
      <c r="F349">
        <f t="shared" si="45"/>
        <v>1.5</v>
      </c>
      <c r="G349">
        <f t="shared" si="46"/>
        <v>1</v>
      </c>
      <c r="H349" s="4">
        <f t="shared" si="47"/>
        <v>1</v>
      </c>
      <c r="I349" s="4">
        <f t="shared" si="48"/>
        <v>0.5</v>
      </c>
      <c r="J349" s="4">
        <f t="shared" si="49"/>
        <v>0</v>
      </c>
      <c r="K349" s="4">
        <f t="shared" si="50"/>
        <v>0.5</v>
      </c>
      <c r="L349" s="4">
        <f t="shared" si="42"/>
        <v>0</v>
      </c>
      <c r="M349" s="4">
        <f t="shared" si="43"/>
        <v>0.5</v>
      </c>
      <c r="N349" s="4">
        <f t="shared" si="44"/>
        <v>1.5</v>
      </c>
    </row>
    <row r="350" spans="1:14" x14ac:dyDescent="0.2">
      <c r="A350" t="str">
        <v>d_349</v>
      </c>
      <c r="B350" s="2">
        <v>40920</v>
      </c>
      <c r="C350" s="4">
        <v>0</v>
      </c>
      <c r="D350" s="4">
        <v>1</v>
      </c>
      <c r="E350" s="4">
        <v>0</v>
      </c>
      <c r="F350">
        <f t="shared" si="45"/>
        <v>0</v>
      </c>
      <c r="G350">
        <f t="shared" si="46"/>
        <v>0.5</v>
      </c>
      <c r="H350" s="4">
        <f t="shared" si="47"/>
        <v>0</v>
      </c>
      <c r="I350" s="4">
        <f t="shared" si="48"/>
        <v>1</v>
      </c>
      <c r="J350" s="4">
        <f t="shared" si="49"/>
        <v>1.5</v>
      </c>
      <c r="K350" s="4">
        <f t="shared" si="50"/>
        <v>0.5</v>
      </c>
      <c r="L350" s="4">
        <f t="shared" si="42"/>
        <v>1.5</v>
      </c>
      <c r="M350" s="4">
        <f t="shared" si="43"/>
        <v>1.5</v>
      </c>
      <c r="N350" s="4">
        <f t="shared" si="44"/>
        <v>1</v>
      </c>
    </row>
    <row r="351" spans="1:14" x14ac:dyDescent="0.2">
      <c r="A351" t="str">
        <v>d_350</v>
      </c>
      <c r="B351" s="2">
        <v>40921</v>
      </c>
      <c r="C351" s="4">
        <v>1</v>
      </c>
      <c r="D351" s="4">
        <v>0</v>
      </c>
      <c r="E351" s="4">
        <v>1</v>
      </c>
      <c r="F351">
        <f t="shared" si="45"/>
        <v>1</v>
      </c>
      <c r="G351">
        <f t="shared" si="46"/>
        <v>0</v>
      </c>
      <c r="H351" s="4">
        <f t="shared" si="47"/>
        <v>0.5</v>
      </c>
      <c r="I351" s="4">
        <f t="shared" si="48"/>
        <v>0</v>
      </c>
      <c r="J351" s="4">
        <f t="shared" si="49"/>
        <v>0.5</v>
      </c>
      <c r="K351" s="4">
        <f t="shared" si="50"/>
        <v>0.5</v>
      </c>
      <c r="L351" s="4">
        <f t="shared" ref="L351:L366" si="51">AVERAGE(C323,C350)</f>
        <v>1</v>
      </c>
      <c r="M351" s="4">
        <f t="shared" ref="M351:M366" si="52">AVERAGE(D323,D350)</f>
        <v>0.5</v>
      </c>
      <c r="N351" s="4">
        <f t="shared" ref="N351:N366" si="53">AVERAGE(E323,E350)</f>
        <v>0.5</v>
      </c>
    </row>
    <row r="352" spans="1:14" x14ac:dyDescent="0.2">
      <c r="A352" t="str">
        <v>d_351</v>
      </c>
      <c r="B352" s="2">
        <v>40922</v>
      </c>
      <c r="C352" s="4">
        <v>0</v>
      </c>
      <c r="D352" s="4">
        <v>1</v>
      </c>
      <c r="E352" s="4">
        <v>4</v>
      </c>
      <c r="F352">
        <f t="shared" si="45"/>
        <v>0</v>
      </c>
      <c r="G352">
        <f t="shared" si="46"/>
        <v>2.5</v>
      </c>
      <c r="H352" s="4">
        <f t="shared" si="47"/>
        <v>2</v>
      </c>
      <c r="I352" s="4">
        <f t="shared" si="48"/>
        <v>1.5</v>
      </c>
      <c r="J352" s="4">
        <f t="shared" si="49"/>
        <v>0.5</v>
      </c>
      <c r="K352" s="4">
        <f t="shared" si="50"/>
        <v>1</v>
      </c>
      <c r="L352" s="4">
        <f t="shared" si="51"/>
        <v>1.5</v>
      </c>
      <c r="M352" s="4">
        <f t="shared" si="52"/>
        <v>0</v>
      </c>
      <c r="N352" s="4">
        <f t="shared" si="53"/>
        <v>3.5</v>
      </c>
    </row>
    <row r="353" spans="1:14" x14ac:dyDescent="0.2">
      <c r="A353" t="str">
        <v>d_352</v>
      </c>
      <c r="B353" s="2">
        <v>40923</v>
      </c>
      <c r="C353" s="4">
        <v>1</v>
      </c>
      <c r="D353" s="4">
        <v>0</v>
      </c>
      <c r="E353" s="4">
        <v>0</v>
      </c>
      <c r="F353">
        <f t="shared" si="45"/>
        <v>0.5</v>
      </c>
      <c r="G353">
        <f t="shared" si="46"/>
        <v>1</v>
      </c>
      <c r="H353" s="4">
        <f t="shared" si="47"/>
        <v>0</v>
      </c>
      <c r="I353" s="4">
        <f t="shared" si="48"/>
        <v>1</v>
      </c>
      <c r="J353" s="4">
        <f t="shared" si="49"/>
        <v>0.5</v>
      </c>
      <c r="K353" s="4">
        <f t="shared" si="50"/>
        <v>2</v>
      </c>
      <c r="L353" s="4">
        <f t="shared" si="51"/>
        <v>3</v>
      </c>
      <c r="M353" s="4">
        <f t="shared" si="52"/>
        <v>1.5</v>
      </c>
      <c r="N353" s="4">
        <f t="shared" si="53"/>
        <v>2</v>
      </c>
    </row>
    <row r="354" spans="1:14" x14ac:dyDescent="0.2">
      <c r="A354" t="str">
        <v>d_353</v>
      </c>
      <c r="B354" s="2">
        <v>40924</v>
      </c>
      <c r="C354" s="4">
        <v>1</v>
      </c>
      <c r="D354" s="4">
        <v>0</v>
      </c>
      <c r="E354" s="4">
        <v>0</v>
      </c>
      <c r="F354">
        <f t="shared" si="45"/>
        <v>0.5</v>
      </c>
      <c r="G354">
        <f t="shared" si="46"/>
        <v>0</v>
      </c>
      <c r="H354" s="4">
        <f t="shared" si="47"/>
        <v>0.5</v>
      </c>
      <c r="I354" s="4">
        <f t="shared" si="48"/>
        <v>0.5</v>
      </c>
      <c r="J354" s="4">
        <f t="shared" si="49"/>
        <v>1</v>
      </c>
      <c r="K354" s="4">
        <f t="shared" si="50"/>
        <v>0</v>
      </c>
      <c r="L354" s="4">
        <f t="shared" si="51"/>
        <v>1.5</v>
      </c>
      <c r="M354" s="4">
        <f t="shared" si="52"/>
        <v>2</v>
      </c>
      <c r="N354" s="4">
        <f t="shared" si="53"/>
        <v>0.5</v>
      </c>
    </row>
    <row r="355" spans="1:14" x14ac:dyDescent="0.2">
      <c r="A355" t="str">
        <v>d_354</v>
      </c>
      <c r="B355" s="2">
        <v>40925</v>
      </c>
      <c r="C355" s="4">
        <v>1</v>
      </c>
      <c r="D355" s="4">
        <v>1</v>
      </c>
      <c r="E355" s="4">
        <v>2</v>
      </c>
      <c r="F355">
        <f t="shared" si="45"/>
        <v>1.5</v>
      </c>
      <c r="G355">
        <f t="shared" si="46"/>
        <v>1.5</v>
      </c>
      <c r="H355" s="4">
        <f t="shared" si="47"/>
        <v>1.5</v>
      </c>
      <c r="I355" s="4">
        <f t="shared" si="48"/>
        <v>0.5</v>
      </c>
      <c r="J355" s="4">
        <f t="shared" si="49"/>
        <v>0</v>
      </c>
      <c r="K355" s="4">
        <f t="shared" si="50"/>
        <v>0</v>
      </c>
      <c r="L355" s="4">
        <f t="shared" si="51"/>
        <v>2</v>
      </c>
      <c r="M355" s="4">
        <f t="shared" si="52"/>
        <v>0.5</v>
      </c>
      <c r="N355" s="4">
        <f t="shared" si="53"/>
        <v>0</v>
      </c>
    </row>
    <row r="356" spans="1:14" x14ac:dyDescent="0.2">
      <c r="A356" t="str">
        <v>d_355</v>
      </c>
      <c r="B356" s="2">
        <v>40926</v>
      </c>
      <c r="C356" s="4">
        <v>0</v>
      </c>
      <c r="D356" s="4">
        <v>1</v>
      </c>
      <c r="E356" s="4">
        <v>0</v>
      </c>
      <c r="F356">
        <f t="shared" si="45"/>
        <v>0</v>
      </c>
      <c r="G356">
        <f t="shared" si="46"/>
        <v>1</v>
      </c>
      <c r="H356" s="4">
        <f t="shared" si="47"/>
        <v>0</v>
      </c>
      <c r="I356" s="4">
        <f t="shared" si="48"/>
        <v>1</v>
      </c>
      <c r="J356" s="4">
        <f t="shared" si="49"/>
        <v>1.5</v>
      </c>
      <c r="K356" s="4">
        <f t="shared" si="50"/>
        <v>1</v>
      </c>
      <c r="L356" s="4">
        <f t="shared" si="51"/>
        <v>3</v>
      </c>
      <c r="M356" s="4">
        <f t="shared" si="52"/>
        <v>0.5</v>
      </c>
      <c r="N356" s="4">
        <f t="shared" si="53"/>
        <v>1</v>
      </c>
    </row>
    <row r="357" spans="1:14" x14ac:dyDescent="0.2">
      <c r="A357" t="str">
        <v>d_356</v>
      </c>
      <c r="B357" s="2">
        <v>40927</v>
      </c>
      <c r="C357" s="4">
        <v>0</v>
      </c>
      <c r="D357" s="4">
        <v>1</v>
      </c>
      <c r="E357" s="4">
        <v>0</v>
      </c>
      <c r="F357">
        <f t="shared" si="45"/>
        <v>0.5</v>
      </c>
      <c r="G357">
        <f t="shared" si="46"/>
        <v>0.5</v>
      </c>
      <c r="H357" s="4">
        <f t="shared" si="47"/>
        <v>0.5</v>
      </c>
      <c r="I357" s="4">
        <f t="shared" si="48"/>
        <v>0.5</v>
      </c>
      <c r="J357" s="4">
        <f t="shared" si="49"/>
        <v>0.5</v>
      </c>
      <c r="K357" s="4">
        <f t="shared" si="50"/>
        <v>0.5</v>
      </c>
      <c r="L357" s="4">
        <f t="shared" si="51"/>
        <v>1.5</v>
      </c>
      <c r="M357" s="4">
        <f t="shared" si="52"/>
        <v>0.5</v>
      </c>
      <c r="N357" s="4">
        <f t="shared" si="53"/>
        <v>1</v>
      </c>
    </row>
    <row r="358" spans="1:14" x14ac:dyDescent="0.2">
      <c r="A358" t="str">
        <v>d_357</v>
      </c>
      <c r="B358" s="2">
        <v>40928</v>
      </c>
      <c r="C358" s="4">
        <v>4</v>
      </c>
      <c r="D358" s="4">
        <v>0</v>
      </c>
      <c r="E358" s="4">
        <v>0</v>
      </c>
      <c r="F358">
        <f t="shared" si="45"/>
        <v>2</v>
      </c>
      <c r="G358">
        <f t="shared" si="46"/>
        <v>0.5</v>
      </c>
      <c r="H358" s="4">
        <f t="shared" si="47"/>
        <v>2</v>
      </c>
      <c r="I358" s="4">
        <f t="shared" si="48"/>
        <v>0</v>
      </c>
      <c r="J358" s="4">
        <f t="shared" si="49"/>
        <v>0.5</v>
      </c>
      <c r="K358" s="4">
        <f t="shared" si="50"/>
        <v>0</v>
      </c>
      <c r="L358" s="4">
        <f t="shared" si="51"/>
        <v>2.5</v>
      </c>
      <c r="M358" s="4">
        <f t="shared" si="52"/>
        <v>1</v>
      </c>
      <c r="N358" s="4">
        <f t="shared" si="53"/>
        <v>0</v>
      </c>
    </row>
    <row r="359" spans="1:14" x14ac:dyDescent="0.2">
      <c r="A359" t="str">
        <v>d_358</v>
      </c>
      <c r="B359" s="2">
        <v>40929</v>
      </c>
      <c r="C359" s="4">
        <v>1</v>
      </c>
      <c r="D359" s="4">
        <v>0</v>
      </c>
      <c r="E359" s="4">
        <v>0</v>
      </c>
      <c r="F359">
        <f t="shared" si="45"/>
        <v>1</v>
      </c>
      <c r="G359">
        <f t="shared" si="46"/>
        <v>0</v>
      </c>
      <c r="H359" s="4">
        <f t="shared" si="47"/>
        <v>0</v>
      </c>
      <c r="I359" s="4">
        <f t="shared" si="48"/>
        <v>2.5</v>
      </c>
      <c r="J359" s="4">
        <f t="shared" si="49"/>
        <v>0</v>
      </c>
      <c r="K359" s="4">
        <f t="shared" si="50"/>
        <v>0</v>
      </c>
      <c r="L359" s="4">
        <f t="shared" si="51"/>
        <v>2.5</v>
      </c>
      <c r="M359" s="4">
        <f t="shared" si="52"/>
        <v>1</v>
      </c>
      <c r="N359" s="4">
        <f t="shared" si="53"/>
        <v>0</v>
      </c>
    </row>
    <row r="360" spans="1:14" x14ac:dyDescent="0.2">
      <c r="A360" t="str">
        <v>d_359</v>
      </c>
      <c r="B360" s="2">
        <v>40930</v>
      </c>
      <c r="C360" s="4">
        <v>1</v>
      </c>
      <c r="D360" s="4">
        <v>0</v>
      </c>
      <c r="E360" s="4">
        <v>0</v>
      </c>
      <c r="F360">
        <f t="shared" si="45"/>
        <v>1</v>
      </c>
      <c r="G360">
        <f t="shared" si="46"/>
        <v>0</v>
      </c>
      <c r="H360" s="4">
        <f t="shared" si="47"/>
        <v>0</v>
      </c>
      <c r="I360" s="4">
        <f t="shared" si="48"/>
        <v>0.5</v>
      </c>
      <c r="J360" s="4">
        <f t="shared" si="49"/>
        <v>2</v>
      </c>
      <c r="K360" s="4">
        <f t="shared" si="50"/>
        <v>0</v>
      </c>
      <c r="L360" s="4">
        <f t="shared" si="51"/>
        <v>0.5</v>
      </c>
      <c r="M360" s="4">
        <f t="shared" si="52"/>
        <v>0</v>
      </c>
      <c r="N360" s="4">
        <f t="shared" si="53"/>
        <v>0</v>
      </c>
    </row>
    <row r="361" spans="1:14" x14ac:dyDescent="0.2">
      <c r="A361" t="str">
        <v>d_360</v>
      </c>
      <c r="B361" s="2">
        <v>40931</v>
      </c>
      <c r="C361" s="4">
        <v>0</v>
      </c>
      <c r="D361" s="4">
        <v>2</v>
      </c>
      <c r="E361" s="4">
        <v>0</v>
      </c>
      <c r="F361">
        <f t="shared" si="45"/>
        <v>0.5</v>
      </c>
      <c r="G361">
        <f t="shared" si="46"/>
        <v>1.5</v>
      </c>
      <c r="H361" s="4">
        <f t="shared" si="47"/>
        <v>1</v>
      </c>
      <c r="I361" s="4">
        <f t="shared" si="48"/>
        <v>0.5</v>
      </c>
      <c r="J361" s="4">
        <f t="shared" si="49"/>
        <v>1</v>
      </c>
      <c r="K361" s="4">
        <f t="shared" si="50"/>
        <v>0</v>
      </c>
      <c r="L361" s="4">
        <f t="shared" si="51"/>
        <v>1</v>
      </c>
      <c r="M361" s="4">
        <f t="shared" si="52"/>
        <v>0</v>
      </c>
      <c r="N361" s="4">
        <f t="shared" si="53"/>
        <v>0</v>
      </c>
    </row>
    <row r="362" spans="1:14" x14ac:dyDescent="0.2">
      <c r="A362" t="str">
        <v>d_361</v>
      </c>
      <c r="B362" s="2">
        <v>40932</v>
      </c>
      <c r="C362" s="4">
        <v>0</v>
      </c>
      <c r="D362" s="4">
        <v>0</v>
      </c>
      <c r="E362" s="4">
        <v>1</v>
      </c>
      <c r="F362">
        <f t="shared" si="45"/>
        <v>0</v>
      </c>
      <c r="G362">
        <f t="shared" si="46"/>
        <v>0.5</v>
      </c>
      <c r="H362" s="4">
        <f t="shared" si="47"/>
        <v>0.5</v>
      </c>
      <c r="I362" s="4">
        <f t="shared" si="48"/>
        <v>0</v>
      </c>
      <c r="J362" s="4">
        <f t="shared" si="49"/>
        <v>1</v>
      </c>
      <c r="K362" s="4">
        <f t="shared" si="50"/>
        <v>0.5</v>
      </c>
      <c r="L362" s="4">
        <f t="shared" si="51"/>
        <v>0.5</v>
      </c>
      <c r="M362" s="4">
        <f t="shared" si="52"/>
        <v>1.5</v>
      </c>
      <c r="N362" s="4">
        <f t="shared" si="53"/>
        <v>0</v>
      </c>
    </row>
    <row r="363" spans="1:14" x14ac:dyDescent="0.2">
      <c r="A363" t="str">
        <v>d_362</v>
      </c>
      <c r="B363" s="2">
        <v>40933</v>
      </c>
      <c r="C363" s="4">
        <v>0</v>
      </c>
      <c r="D363" s="4">
        <v>1</v>
      </c>
      <c r="E363" s="4">
        <v>1</v>
      </c>
      <c r="F363">
        <f t="shared" si="45"/>
        <v>0</v>
      </c>
      <c r="G363">
        <f t="shared" si="46"/>
        <v>1</v>
      </c>
      <c r="H363" s="4">
        <f t="shared" si="47"/>
        <v>0.5</v>
      </c>
      <c r="I363" s="4">
        <f t="shared" si="48"/>
        <v>1</v>
      </c>
      <c r="J363" s="4">
        <f t="shared" si="49"/>
        <v>1</v>
      </c>
      <c r="K363" s="4">
        <f t="shared" si="50"/>
        <v>1</v>
      </c>
      <c r="L363" s="4">
        <f t="shared" si="51"/>
        <v>0.5</v>
      </c>
      <c r="M363" s="4">
        <f t="shared" si="52"/>
        <v>0</v>
      </c>
      <c r="N363" s="4">
        <f t="shared" si="53"/>
        <v>0.5</v>
      </c>
    </row>
    <row r="364" spans="1:14" x14ac:dyDescent="0.2">
      <c r="A364" t="str">
        <v>d_363</v>
      </c>
      <c r="B364" s="2">
        <v>40934</v>
      </c>
      <c r="C364" s="4">
        <v>0</v>
      </c>
      <c r="D364" s="4">
        <v>3</v>
      </c>
      <c r="E364" s="4">
        <v>1</v>
      </c>
      <c r="F364">
        <f t="shared" si="45"/>
        <v>2</v>
      </c>
      <c r="G364">
        <f t="shared" si="46"/>
        <v>1.5</v>
      </c>
      <c r="H364" s="4">
        <f t="shared" si="47"/>
        <v>0.5</v>
      </c>
      <c r="I364" s="4">
        <f t="shared" si="48"/>
        <v>0</v>
      </c>
      <c r="J364" s="4">
        <f t="shared" si="49"/>
        <v>1</v>
      </c>
      <c r="K364" s="4">
        <f t="shared" si="50"/>
        <v>0.5</v>
      </c>
      <c r="L364" s="4">
        <f t="shared" si="51"/>
        <v>0</v>
      </c>
      <c r="M364" s="4">
        <f t="shared" si="52"/>
        <v>1</v>
      </c>
      <c r="N364" s="4">
        <f t="shared" si="53"/>
        <v>0.5</v>
      </c>
    </row>
    <row r="365" spans="1:14" x14ac:dyDescent="0.2">
      <c r="A365" t="str">
        <v>d_364</v>
      </c>
      <c r="B365" s="2">
        <v>40935</v>
      </c>
      <c r="C365" s="4">
        <v>0</v>
      </c>
      <c r="D365" s="4">
        <v>0</v>
      </c>
      <c r="E365" s="4">
        <v>0</v>
      </c>
      <c r="F365">
        <f t="shared" si="45"/>
        <v>0.5</v>
      </c>
      <c r="G365">
        <f t="shared" si="46"/>
        <v>0</v>
      </c>
      <c r="H365" s="4">
        <f t="shared" si="47"/>
        <v>0</v>
      </c>
      <c r="I365" s="4">
        <f t="shared" si="48"/>
        <v>0.5</v>
      </c>
      <c r="J365" s="4">
        <f t="shared" si="49"/>
        <v>1.5</v>
      </c>
      <c r="K365" s="4">
        <f t="shared" si="50"/>
        <v>1</v>
      </c>
      <c r="L365" s="4">
        <f t="shared" si="51"/>
        <v>0</v>
      </c>
      <c r="M365" s="4">
        <f t="shared" si="52"/>
        <v>1.5</v>
      </c>
      <c r="N365" s="4">
        <f t="shared" si="53"/>
        <v>1</v>
      </c>
    </row>
    <row r="366" spans="1:14" x14ac:dyDescent="0.2">
      <c r="A366" t="str">
        <v>d_365</v>
      </c>
      <c r="B366" s="2">
        <v>40936</v>
      </c>
      <c r="C366" s="4">
        <v>2</v>
      </c>
      <c r="D366" s="4">
        <v>0</v>
      </c>
      <c r="E366" s="4">
        <v>1</v>
      </c>
      <c r="F366">
        <f t="shared" si="45"/>
        <v>1.5</v>
      </c>
      <c r="G366">
        <f t="shared" si="46"/>
        <v>0</v>
      </c>
      <c r="H366" s="4">
        <f t="shared" si="47"/>
        <v>0.5</v>
      </c>
      <c r="I366" s="4">
        <f t="shared" si="48"/>
        <v>0</v>
      </c>
      <c r="J366" s="4">
        <f t="shared" si="49"/>
        <v>0.5</v>
      </c>
      <c r="K366" s="4">
        <f t="shared" si="50"/>
        <v>2</v>
      </c>
      <c r="L366" s="4">
        <f t="shared" si="51"/>
        <v>1</v>
      </c>
      <c r="M366" s="4">
        <f t="shared" si="52"/>
        <v>0.5</v>
      </c>
      <c r="N366" s="4">
        <f t="shared" si="53"/>
        <v>0.5</v>
      </c>
    </row>
    <row r="370" spans="2:13" x14ac:dyDescent="0.2">
      <c r="B370" t="s">
        <v>400</v>
      </c>
      <c r="C370" t="s">
        <v>401</v>
      </c>
      <c r="D370" t="s">
        <v>404</v>
      </c>
      <c r="E370" t="s">
        <v>403</v>
      </c>
      <c r="G370" t="s">
        <v>409</v>
      </c>
      <c r="H370" t="s">
        <v>402</v>
      </c>
      <c r="I370" t="s">
        <v>410</v>
      </c>
      <c r="K370" t="s">
        <v>411</v>
      </c>
      <c r="L370" t="s">
        <v>412</v>
      </c>
      <c r="M370" t="s">
        <v>413</v>
      </c>
    </row>
    <row r="371" spans="2:13" x14ac:dyDescent="0.2">
      <c r="B371" t="s">
        <v>405</v>
      </c>
      <c r="C371" cm="1">
        <f t="array" ref="C371">SUMPRODUCT(ABS(C302:C366 - F302:F366))/65</f>
        <v>0.87692307692307692</v>
      </c>
      <c r="D371" cm="1">
        <f t="array" ref="D371">SUMPRODUCT(ABS(C302:C366 - I302:I366))/65</f>
        <v>1.3384615384615384</v>
      </c>
      <c r="E371" cm="1">
        <f t="array" ref="E371">SUMPRODUCT(ABS(C302:C366 -L302:L366))/65</f>
        <v>1.2615384615384615</v>
      </c>
    </row>
    <row r="372" spans="2:13" x14ac:dyDescent="0.2">
      <c r="B372" t="s">
        <v>406</v>
      </c>
      <c r="C372" cm="1">
        <f t="array" ref="C372">SQRT(SUMPRODUCT(ABS(C302:C366 - F302:F366)^2)/65)</f>
        <v>1.2403473458920846</v>
      </c>
      <c r="D372" cm="1">
        <f t="array" ref="D372">SQRT(SUMPRODUCT(ABS(C302:C366 - I302:I366)^2)/65)</f>
        <v>1.8543089112824591</v>
      </c>
      <c r="E372" cm="1">
        <f t="array" ref="E372">SQRT(SUMPRODUCT(ABS(C302:C366 - L302:L366)^2)/65)</f>
        <v>1.6756169931378433</v>
      </c>
    </row>
    <row r="373" spans="2:13" x14ac:dyDescent="0.2">
      <c r="B373" t="s">
        <v>407</v>
      </c>
      <c r="C373" cm="1">
        <f t="array" ref="C373">SUMPRODUCT(ABS((C302:C366-F302:F366)/IF(C302:C366=0,1,C302:C366)))/65</f>
        <v>0.59128205128205136</v>
      </c>
      <c r="D373" cm="1">
        <f t="array" ref="D373">SUMPRODUCT(ABS((C302:C366-I302:I366)/IF(C302:C366=0,1,C302:C366)))/65</f>
        <v>0.89846153846153842</v>
      </c>
      <c r="E373" cm="1">
        <f t="array" ref="E373">SUMPRODUCT(ABS((C302:C366-L302:L366)/IF(C302:C366=0,1,C302:C366)))/65</f>
        <v>0.86288461538461547</v>
      </c>
    </row>
    <row r="374" spans="2:13" x14ac:dyDescent="0.2">
      <c r="B374" t="s">
        <v>408</v>
      </c>
      <c r="C374" s="4" cm="1">
        <f t="array" ref="C374">AVERAGE(C302:C366-F302:F366)</f>
        <v>-4.6153846153846156E-2</v>
      </c>
      <c r="D374" s="4" cm="1">
        <f t="array" ref="D374">AVERAGE(C302:C366-I302:I366)</f>
        <v>-3.0769230769230771E-2</v>
      </c>
      <c r="E374" s="4" cm="1">
        <f t="array" ref="E374">AVERAGE(C302:C366-L302:L366)</f>
        <v>-7.6923076923076927E-2</v>
      </c>
    </row>
  </sheetData>
  <conditionalFormatting sqref="B370:E374 G370:I370 K370:M3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DD165-D353-A34B-A3B5-0686E4C5CF9B}">
  <dimension ref="A1:Q366"/>
  <sheetViews>
    <sheetView workbookViewId="0">
      <selection activeCell="K210" sqref="K210"/>
    </sheetView>
  </sheetViews>
  <sheetFormatPr baseColWidth="10" defaultRowHeight="16" x14ac:dyDescent="0.2"/>
  <cols>
    <col min="4" max="4" width="13.6640625" customWidth="1"/>
    <col min="6" max="6" width="12.33203125" customWidth="1"/>
  </cols>
  <sheetData>
    <row r="1" spans="1:17" x14ac:dyDescent="0.2">
      <c r="A1" t="s">
        <v>0</v>
      </c>
      <c r="B1" t="s">
        <v>1</v>
      </c>
      <c r="C1" t="s">
        <v>388</v>
      </c>
      <c r="D1" t="s">
        <v>414</v>
      </c>
      <c r="E1" t="s">
        <v>415</v>
      </c>
      <c r="F1" t="s">
        <v>416</v>
      </c>
    </row>
    <row r="2" spans="1:17" x14ac:dyDescent="0.2">
      <c r="A2" t="str" cm="1">
        <f t="array" ref="A2:A366">Table2[d]</f>
        <v>d_1</v>
      </c>
      <c r="B2" s="2" cm="1">
        <f t="array" ref="B2:B366">Table2[date]</f>
        <v>40572</v>
      </c>
      <c r="C2" s="4" cm="1">
        <f t="array" ref="C2:C366">Table2[SKU1_Sales]</f>
        <v>3</v>
      </c>
      <c r="D2" s="4">
        <f>C2</f>
        <v>3</v>
      </c>
      <c r="E2" s="4">
        <f>C2-D2</f>
        <v>0</v>
      </c>
      <c r="F2">
        <f>ABS(E2)</f>
        <v>0</v>
      </c>
      <c r="P2" t="s">
        <v>417</v>
      </c>
      <c r="Q2">
        <v>0.3</v>
      </c>
    </row>
    <row r="3" spans="1:17" x14ac:dyDescent="0.2">
      <c r="A3" t="str">
        <v>d_2</v>
      </c>
      <c r="B3" s="2">
        <v>40573</v>
      </c>
      <c r="C3" s="4">
        <v>0</v>
      </c>
      <c r="D3">
        <f>alpha1*C2+(1-alpha1)*D2</f>
        <v>2.9999999999999996</v>
      </c>
      <c r="E3" s="4">
        <f t="shared" ref="E3:E66" si="0">C3-D3</f>
        <v>-2.9999999999999996</v>
      </c>
      <c r="F3">
        <f t="shared" ref="F3:F66" si="1">ABS(E3)</f>
        <v>2.9999999999999996</v>
      </c>
      <c r="P3" t="s">
        <v>418</v>
      </c>
      <c r="Q3">
        <v>0.3</v>
      </c>
    </row>
    <row r="4" spans="1:17" x14ac:dyDescent="0.2">
      <c r="A4" t="str">
        <v>d_3</v>
      </c>
      <c r="B4" s="2">
        <v>40574</v>
      </c>
      <c r="C4" s="4">
        <v>0</v>
      </c>
      <c r="D4">
        <f>alpha1*C3+(1-alpha1)*D3</f>
        <v>2.0999999999999996</v>
      </c>
      <c r="E4" s="4">
        <f t="shared" si="0"/>
        <v>-2.0999999999999996</v>
      </c>
      <c r="F4">
        <f t="shared" si="1"/>
        <v>2.0999999999999996</v>
      </c>
      <c r="P4" t="s">
        <v>419</v>
      </c>
      <c r="Q4">
        <v>0.3</v>
      </c>
    </row>
    <row r="5" spans="1:17" x14ac:dyDescent="0.2">
      <c r="A5" t="str">
        <v>d_4</v>
      </c>
      <c r="B5" s="2">
        <v>40575</v>
      </c>
      <c r="C5" s="4">
        <v>1</v>
      </c>
      <c r="D5">
        <f>alpha1*C4+(1-alpha1)*D4</f>
        <v>1.4699999999999998</v>
      </c>
      <c r="E5" s="4">
        <f t="shared" si="0"/>
        <v>-0.46999999999999975</v>
      </c>
      <c r="F5">
        <f t="shared" si="1"/>
        <v>0.46999999999999975</v>
      </c>
    </row>
    <row r="6" spans="1:17" x14ac:dyDescent="0.2">
      <c r="A6" t="str">
        <v>d_5</v>
      </c>
      <c r="B6" s="2">
        <v>40576</v>
      </c>
      <c r="C6" s="4">
        <v>4</v>
      </c>
      <c r="D6">
        <f>alpha1*C5+(1-alpha1)*D5</f>
        <v>1.3289999999999997</v>
      </c>
      <c r="E6" s="4">
        <f t="shared" si="0"/>
        <v>2.6710000000000003</v>
      </c>
      <c r="F6">
        <f t="shared" si="1"/>
        <v>2.6710000000000003</v>
      </c>
    </row>
    <row r="7" spans="1:17" x14ac:dyDescent="0.2">
      <c r="A7" t="str">
        <v>d_6</v>
      </c>
      <c r="B7" s="2">
        <v>40577</v>
      </c>
      <c r="C7" s="4">
        <v>2</v>
      </c>
      <c r="D7">
        <f>alpha1*C6+(1-alpha1)*D6</f>
        <v>2.1302999999999996</v>
      </c>
      <c r="E7" s="4">
        <f t="shared" si="0"/>
        <v>-0.13029999999999964</v>
      </c>
      <c r="F7">
        <f t="shared" si="1"/>
        <v>0.13029999999999964</v>
      </c>
    </row>
    <row r="8" spans="1:17" x14ac:dyDescent="0.2">
      <c r="A8" t="str">
        <v>d_7</v>
      </c>
      <c r="B8" s="2">
        <v>40578</v>
      </c>
      <c r="C8" s="4">
        <v>0</v>
      </c>
      <c r="D8">
        <f>alpha1*C7+(1-alpha1)*D7</f>
        <v>2.0912099999999998</v>
      </c>
      <c r="E8" s="4">
        <f t="shared" si="0"/>
        <v>-2.0912099999999998</v>
      </c>
      <c r="F8">
        <f t="shared" si="1"/>
        <v>2.0912099999999998</v>
      </c>
    </row>
    <row r="9" spans="1:17" x14ac:dyDescent="0.2">
      <c r="A9" t="str">
        <v>d_8</v>
      </c>
      <c r="B9" s="2">
        <v>40579</v>
      </c>
      <c r="C9" s="4">
        <v>2</v>
      </c>
      <c r="D9">
        <f>alpha1*C8+(1-alpha1)*D8</f>
        <v>1.4638469999999997</v>
      </c>
      <c r="E9" s="4">
        <f t="shared" si="0"/>
        <v>0.53615300000000032</v>
      </c>
      <c r="F9">
        <f t="shared" si="1"/>
        <v>0.53615300000000032</v>
      </c>
    </row>
    <row r="10" spans="1:17" x14ac:dyDescent="0.2">
      <c r="A10" t="str">
        <v>d_9</v>
      </c>
      <c r="B10" s="2">
        <v>40580</v>
      </c>
      <c r="C10" s="4">
        <v>0</v>
      </c>
      <c r="D10">
        <f>alpha1*C9+(1-alpha1)*D9</f>
        <v>1.6246928999999999</v>
      </c>
      <c r="E10" s="4">
        <f t="shared" si="0"/>
        <v>-1.6246928999999999</v>
      </c>
      <c r="F10">
        <f t="shared" si="1"/>
        <v>1.6246928999999999</v>
      </c>
    </row>
    <row r="11" spans="1:17" x14ac:dyDescent="0.2">
      <c r="A11" t="str">
        <v>d_10</v>
      </c>
      <c r="B11" s="2">
        <v>40581</v>
      </c>
      <c r="C11" s="4">
        <v>0</v>
      </c>
      <c r="D11">
        <f>alpha1*C10+(1-alpha1)*D10</f>
        <v>1.1372850299999999</v>
      </c>
      <c r="E11" s="4">
        <f t="shared" si="0"/>
        <v>-1.1372850299999999</v>
      </c>
      <c r="F11">
        <f t="shared" si="1"/>
        <v>1.1372850299999999</v>
      </c>
    </row>
    <row r="12" spans="1:17" x14ac:dyDescent="0.2">
      <c r="A12" t="str">
        <v>d_11</v>
      </c>
      <c r="B12" s="2">
        <v>40582</v>
      </c>
      <c r="C12" s="4">
        <v>0</v>
      </c>
      <c r="D12">
        <f>alpha1*C11+(1-alpha1)*D11</f>
        <v>0.79609952099999992</v>
      </c>
      <c r="E12" s="4">
        <f t="shared" si="0"/>
        <v>-0.79609952099999992</v>
      </c>
      <c r="F12">
        <f t="shared" si="1"/>
        <v>0.79609952099999992</v>
      </c>
    </row>
    <row r="13" spans="1:17" x14ac:dyDescent="0.2">
      <c r="A13" t="str">
        <v>d_12</v>
      </c>
      <c r="B13" s="2">
        <v>40583</v>
      </c>
      <c r="C13" s="4">
        <v>0</v>
      </c>
      <c r="D13">
        <f>alpha1*C12+(1-alpha1)*D12</f>
        <v>0.55726966469999994</v>
      </c>
      <c r="E13" s="4">
        <f t="shared" si="0"/>
        <v>-0.55726966469999994</v>
      </c>
      <c r="F13">
        <f t="shared" si="1"/>
        <v>0.55726966469999994</v>
      </c>
    </row>
    <row r="14" spans="1:17" x14ac:dyDescent="0.2">
      <c r="A14" t="str">
        <v>d_13</v>
      </c>
      <c r="B14" s="2">
        <v>40584</v>
      </c>
      <c r="C14" s="4">
        <v>3</v>
      </c>
      <c r="D14">
        <f>alpha1*C13+(1-alpha1)*D13</f>
        <v>0.39008876528999992</v>
      </c>
      <c r="E14" s="4">
        <f t="shared" si="0"/>
        <v>2.6099112347100002</v>
      </c>
      <c r="F14">
        <f t="shared" si="1"/>
        <v>2.6099112347100002</v>
      </c>
    </row>
    <row r="15" spans="1:17" x14ac:dyDescent="0.2">
      <c r="A15" t="str">
        <v>d_14</v>
      </c>
      <c r="B15" s="2">
        <v>40585</v>
      </c>
      <c r="C15" s="4">
        <v>1</v>
      </c>
      <c r="D15">
        <f>alpha1*C14+(1-alpha1)*D14</f>
        <v>1.1730621357029998</v>
      </c>
      <c r="E15" s="4">
        <f t="shared" si="0"/>
        <v>-0.17306213570299978</v>
      </c>
      <c r="F15">
        <f t="shared" si="1"/>
        <v>0.17306213570299978</v>
      </c>
    </row>
    <row r="16" spans="1:17" x14ac:dyDescent="0.2">
      <c r="A16" t="str">
        <v>d_15</v>
      </c>
      <c r="B16" s="2">
        <v>40586</v>
      </c>
      <c r="C16" s="4">
        <v>3</v>
      </c>
      <c r="D16">
        <f>alpha1*C15+(1-alpha1)*D15</f>
        <v>1.1211434949920998</v>
      </c>
      <c r="E16" s="4">
        <f t="shared" si="0"/>
        <v>1.8788565050079002</v>
      </c>
      <c r="F16">
        <f t="shared" si="1"/>
        <v>1.8788565050079002</v>
      </c>
    </row>
    <row r="17" spans="1:6" x14ac:dyDescent="0.2">
      <c r="A17" t="str">
        <v>d_16</v>
      </c>
      <c r="B17" s="2">
        <v>40587</v>
      </c>
      <c r="C17" s="4">
        <v>0</v>
      </c>
      <c r="D17">
        <f>alpha1*C16+(1-alpha1)*D16</f>
        <v>1.6848004464944697</v>
      </c>
      <c r="E17" s="4">
        <f t="shared" si="0"/>
        <v>-1.6848004464944697</v>
      </c>
      <c r="F17">
        <f t="shared" si="1"/>
        <v>1.6848004464944697</v>
      </c>
    </row>
    <row r="18" spans="1:6" x14ac:dyDescent="0.2">
      <c r="A18" t="str">
        <v>d_17</v>
      </c>
      <c r="B18" s="2">
        <v>40588</v>
      </c>
      <c r="C18" s="4">
        <v>2</v>
      </c>
      <c r="D18">
        <f>alpha1*C17+(1-alpha1)*D17</f>
        <v>1.1793603125461287</v>
      </c>
      <c r="E18" s="4">
        <f t="shared" si="0"/>
        <v>0.82063968745387128</v>
      </c>
      <c r="F18">
        <f t="shared" si="1"/>
        <v>0.82063968745387128</v>
      </c>
    </row>
    <row r="19" spans="1:6" x14ac:dyDescent="0.2">
      <c r="A19" t="str">
        <v>d_18</v>
      </c>
      <c r="B19" s="2">
        <v>40589</v>
      </c>
      <c r="C19" s="4">
        <v>1</v>
      </c>
      <c r="D19">
        <f>alpha1*C18+(1-alpha1)*D18</f>
        <v>1.42555221878229</v>
      </c>
      <c r="E19" s="4">
        <f t="shared" si="0"/>
        <v>-0.42555221878228999</v>
      </c>
      <c r="F19">
        <f t="shared" si="1"/>
        <v>0.42555221878228999</v>
      </c>
    </row>
    <row r="20" spans="1:6" x14ac:dyDescent="0.2">
      <c r="A20" t="str">
        <v>d_19</v>
      </c>
      <c r="B20" s="2">
        <v>40590</v>
      </c>
      <c r="C20" s="4">
        <v>2</v>
      </c>
      <c r="D20">
        <f>alpha1*C19+(1-alpha1)*D19</f>
        <v>1.2978865531476029</v>
      </c>
      <c r="E20" s="4">
        <f t="shared" si="0"/>
        <v>0.70211344685239707</v>
      </c>
      <c r="F20">
        <f t="shared" si="1"/>
        <v>0.70211344685239707</v>
      </c>
    </row>
    <row r="21" spans="1:6" x14ac:dyDescent="0.2">
      <c r="A21" t="str">
        <v>d_20</v>
      </c>
      <c r="B21" s="2">
        <v>40591</v>
      </c>
      <c r="C21" s="4">
        <v>0</v>
      </c>
      <c r="D21">
        <f>alpha1*C20+(1-alpha1)*D20</f>
        <v>1.5085205872033218</v>
      </c>
      <c r="E21" s="4">
        <f t="shared" si="0"/>
        <v>-1.5085205872033218</v>
      </c>
      <c r="F21">
        <f t="shared" si="1"/>
        <v>1.5085205872033218</v>
      </c>
    </row>
    <row r="22" spans="1:6" x14ac:dyDescent="0.2">
      <c r="A22" t="str">
        <v>d_21</v>
      </c>
      <c r="B22" s="2">
        <v>40592</v>
      </c>
      <c r="C22" s="4">
        <v>2</v>
      </c>
      <c r="D22">
        <f>alpha1*C21+(1-alpha1)*D21</f>
        <v>1.0559644110423252</v>
      </c>
      <c r="E22" s="4">
        <f t="shared" si="0"/>
        <v>0.94403558895767481</v>
      </c>
      <c r="F22">
        <f t="shared" si="1"/>
        <v>0.94403558895767481</v>
      </c>
    </row>
    <row r="23" spans="1:6" x14ac:dyDescent="0.2">
      <c r="A23" t="str">
        <v>d_22</v>
      </c>
      <c r="B23" s="2">
        <v>40593</v>
      </c>
      <c r="C23" s="4">
        <v>1</v>
      </c>
      <c r="D23">
        <f>alpha1*C22+(1-alpha1)*D22</f>
        <v>1.3391750877296276</v>
      </c>
      <c r="E23" s="4">
        <f t="shared" si="0"/>
        <v>-0.33917508772962757</v>
      </c>
      <c r="F23">
        <f t="shared" si="1"/>
        <v>0.33917508772962757</v>
      </c>
    </row>
    <row r="24" spans="1:6" x14ac:dyDescent="0.2">
      <c r="A24" t="str">
        <v>d_23</v>
      </c>
      <c r="B24" s="2">
        <v>40594</v>
      </c>
      <c r="C24" s="4">
        <v>2</v>
      </c>
      <c r="D24">
        <f>alpha1*C23+(1-alpha1)*D23</f>
        <v>1.2374225614107393</v>
      </c>
      <c r="E24" s="4">
        <f t="shared" si="0"/>
        <v>0.76257743858926075</v>
      </c>
      <c r="F24">
        <f t="shared" si="1"/>
        <v>0.76257743858926075</v>
      </c>
    </row>
    <row r="25" spans="1:6" x14ac:dyDescent="0.2">
      <c r="A25" t="str">
        <v>d_24</v>
      </c>
      <c r="B25" s="2">
        <v>40595</v>
      </c>
      <c r="C25" s="4">
        <v>0</v>
      </c>
      <c r="D25">
        <f>alpha1*C24+(1-alpha1)*D24</f>
        <v>1.4661957929875173</v>
      </c>
      <c r="E25" s="4">
        <f t="shared" si="0"/>
        <v>-1.4661957929875173</v>
      </c>
      <c r="F25">
        <f t="shared" si="1"/>
        <v>1.4661957929875173</v>
      </c>
    </row>
    <row r="26" spans="1:6" x14ac:dyDescent="0.2">
      <c r="A26" t="str">
        <v>d_25</v>
      </c>
      <c r="B26" s="2">
        <v>40596</v>
      </c>
      <c r="C26" s="4">
        <v>2</v>
      </c>
      <c r="D26">
        <f>alpha1*C25+(1-alpha1)*D25</f>
        <v>1.0263370550912621</v>
      </c>
      <c r="E26" s="4">
        <f t="shared" si="0"/>
        <v>0.97366294490873795</v>
      </c>
      <c r="F26">
        <f t="shared" si="1"/>
        <v>0.97366294490873795</v>
      </c>
    </row>
    <row r="27" spans="1:6" x14ac:dyDescent="0.2">
      <c r="A27" t="str">
        <v>d_26</v>
      </c>
      <c r="B27" s="2">
        <v>40597</v>
      </c>
      <c r="C27" s="4">
        <v>2</v>
      </c>
      <c r="D27">
        <f>alpha1*C26+(1-alpha1)*D26</f>
        <v>1.3184359385638835</v>
      </c>
      <c r="E27" s="4">
        <f t="shared" si="0"/>
        <v>0.68156406143611648</v>
      </c>
      <c r="F27">
        <f t="shared" si="1"/>
        <v>0.68156406143611648</v>
      </c>
    </row>
    <row r="28" spans="1:6" x14ac:dyDescent="0.2">
      <c r="A28" t="str">
        <v>d_27</v>
      </c>
      <c r="B28" s="2">
        <v>40598</v>
      </c>
      <c r="C28" s="4">
        <v>2</v>
      </c>
      <c r="D28">
        <f>alpha1*C27+(1-alpha1)*D27</f>
        <v>1.5229051569947183</v>
      </c>
      <c r="E28" s="4">
        <f t="shared" si="0"/>
        <v>0.47709484300528171</v>
      </c>
      <c r="F28">
        <f t="shared" si="1"/>
        <v>0.47709484300528171</v>
      </c>
    </row>
    <row r="29" spans="1:6" x14ac:dyDescent="0.2">
      <c r="A29" t="str">
        <v>d_28</v>
      </c>
      <c r="B29" s="2">
        <v>40599</v>
      </c>
      <c r="C29" s="4">
        <v>4</v>
      </c>
      <c r="D29">
        <f>alpha1*C28+(1-alpha1)*D28</f>
        <v>1.6660336098963029</v>
      </c>
      <c r="E29" s="4">
        <f t="shared" si="0"/>
        <v>2.3339663901036971</v>
      </c>
      <c r="F29">
        <f t="shared" si="1"/>
        <v>2.3339663901036971</v>
      </c>
    </row>
    <row r="30" spans="1:6" x14ac:dyDescent="0.2">
      <c r="A30" t="str">
        <v>d_29</v>
      </c>
      <c r="B30" s="2">
        <v>40600</v>
      </c>
      <c r="C30" s="4">
        <v>2</v>
      </c>
      <c r="D30">
        <f>alpha1*C29+(1-alpha1)*D29</f>
        <v>2.3662235269274117</v>
      </c>
      <c r="E30" s="4">
        <f t="shared" si="0"/>
        <v>-0.36622352692741167</v>
      </c>
      <c r="F30">
        <f t="shared" si="1"/>
        <v>0.36622352692741167</v>
      </c>
    </row>
    <row r="31" spans="1:6" x14ac:dyDescent="0.2">
      <c r="A31" t="str">
        <v>d_30</v>
      </c>
      <c r="B31" s="2">
        <v>40601</v>
      </c>
      <c r="C31" s="4">
        <v>2</v>
      </c>
      <c r="D31">
        <f>alpha1*C30+(1-alpha1)*D30</f>
        <v>2.2563564688491882</v>
      </c>
      <c r="E31" s="4">
        <f t="shared" si="0"/>
        <v>-0.25635646884918817</v>
      </c>
      <c r="F31">
        <f t="shared" si="1"/>
        <v>0.25635646884918817</v>
      </c>
    </row>
    <row r="32" spans="1:6" x14ac:dyDescent="0.2">
      <c r="A32" t="str">
        <v>d_31</v>
      </c>
      <c r="B32" s="2">
        <v>40602</v>
      </c>
      <c r="C32" s="4">
        <v>0</v>
      </c>
      <c r="D32">
        <f>alpha1*C31+(1-alpha1)*D31</f>
        <v>2.1794495281944317</v>
      </c>
      <c r="E32" s="4">
        <f t="shared" si="0"/>
        <v>-2.1794495281944317</v>
      </c>
      <c r="F32">
        <f t="shared" si="1"/>
        <v>2.1794495281944317</v>
      </c>
    </row>
    <row r="33" spans="1:6" x14ac:dyDescent="0.2">
      <c r="A33" t="str">
        <v>d_32</v>
      </c>
      <c r="B33" s="2">
        <v>40603</v>
      </c>
      <c r="C33" s="4">
        <v>2</v>
      </c>
      <c r="D33">
        <f>alpha1*C32+(1-alpha1)*D32</f>
        <v>1.5256146697361022</v>
      </c>
      <c r="E33" s="4">
        <f t="shared" si="0"/>
        <v>0.47438533026389784</v>
      </c>
      <c r="F33">
        <f t="shared" si="1"/>
        <v>0.47438533026389784</v>
      </c>
    </row>
    <row r="34" spans="1:6" x14ac:dyDescent="0.2">
      <c r="A34" t="str">
        <v>d_33</v>
      </c>
      <c r="B34" s="2">
        <v>40604</v>
      </c>
      <c r="C34" s="4">
        <v>1</v>
      </c>
      <c r="D34">
        <f>alpha1*C33+(1-alpha1)*D33</f>
        <v>1.6679302688152715</v>
      </c>
      <c r="E34" s="4">
        <f t="shared" si="0"/>
        <v>-0.66793026881527151</v>
      </c>
      <c r="F34">
        <f t="shared" si="1"/>
        <v>0.66793026881527151</v>
      </c>
    </row>
    <row r="35" spans="1:6" x14ac:dyDescent="0.2">
      <c r="A35" t="str">
        <v>d_34</v>
      </c>
      <c r="B35" s="2">
        <v>40605</v>
      </c>
      <c r="C35" s="4">
        <v>7</v>
      </c>
      <c r="D35">
        <f>alpha1*C34+(1-alpha1)*D34</f>
        <v>1.46755118817069</v>
      </c>
      <c r="E35" s="4">
        <f t="shared" si="0"/>
        <v>5.53244881182931</v>
      </c>
      <c r="F35">
        <f t="shared" si="1"/>
        <v>5.53244881182931</v>
      </c>
    </row>
    <row r="36" spans="1:6" x14ac:dyDescent="0.2">
      <c r="A36" t="str">
        <v>d_35</v>
      </c>
      <c r="B36" s="2">
        <v>40606</v>
      </c>
      <c r="C36" s="4">
        <v>1</v>
      </c>
      <c r="D36">
        <f>alpha1*C35+(1-alpha1)*D35</f>
        <v>3.1272858317194832</v>
      </c>
      <c r="E36" s="4">
        <f t="shared" si="0"/>
        <v>-2.1272858317194832</v>
      </c>
      <c r="F36">
        <f t="shared" si="1"/>
        <v>2.1272858317194832</v>
      </c>
    </row>
    <row r="37" spans="1:6" x14ac:dyDescent="0.2">
      <c r="A37" t="str">
        <v>d_36</v>
      </c>
      <c r="B37" s="2">
        <v>40607</v>
      </c>
      <c r="C37" s="4">
        <v>2</v>
      </c>
      <c r="D37">
        <f>alpha1*C36+(1-alpha1)*D36</f>
        <v>2.4891000822036378</v>
      </c>
      <c r="E37" s="4">
        <f t="shared" si="0"/>
        <v>-0.48910008220363776</v>
      </c>
      <c r="F37">
        <f t="shared" si="1"/>
        <v>0.48910008220363776</v>
      </c>
    </row>
    <row r="38" spans="1:6" x14ac:dyDescent="0.2">
      <c r="A38" t="str">
        <v>d_37</v>
      </c>
      <c r="B38" s="2">
        <v>40608</v>
      </c>
      <c r="C38" s="4">
        <v>3</v>
      </c>
      <c r="D38">
        <f>alpha1*C37+(1-alpha1)*D37</f>
        <v>2.3423700575425461</v>
      </c>
      <c r="E38" s="4">
        <f t="shared" si="0"/>
        <v>0.65762994245745388</v>
      </c>
      <c r="F38">
        <f t="shared" si="1"/>
        <v>0.65762994245745388</v>
      </c>
    </row>
    <row r="39" spans="1:6" x14ac:dyDescent="0.2">
      <c r="A39" t="str">
        <v>d_38</v>
      </c>
      <c r="B39" s="2">
        <v>40609</v>
      </c>
      <c r="C39" s="4">
        <v>0</v>
      </c>
      <c r="D39">
        <f>alpha1*C38+(1-alpha1)*D38</f>
        <v>2.5396590402797821</v>
      </c>
      <c r="E39" s="4">
        <f t="shared" si="0"/>
        <v>-2.5396590402797821</v>
      </c>
      <c r="F39">
        <f t="shared" si="1"/>
        <v>2.5396590402797821</v>
      </c>
    </row>
    <row r="40" spans="1:6" x14ac:dyDescent="0.2">
      <c r="A40" t="str">
        <v>d_39</v>
      </c>
      <c r="B40" s="2">
        <v>40610</v>
      </c>
      <c r="C40" s="4">
        <v>1</v>
      </c>
      <c r="D40">
        <f>alpha1*C39+(1-alpha1)*D39</f>
        <v>1.7777613281958473</v>
      </c>
      <c r="E40" s="4">
        <f t="shared" si="0"/>
        <v>-0.77776132819584731</v>
      </c>
      <c r="F40">
        <f t="shared" si="1"/>
        <v>0.77776132819584731</v>
      </c>
    </row>
    <row r="41" spans="1:6" x14ac:dyDescent="0.2">
      <c r="A41" t="str">
        <v>d_40</v>
      </c>
      <c r="B41" s="2">
        <v>40611</v>
      </c>
      <c r="C41" s="4">
        <v>2</v>
      </c>
      <c r="D41">
        <f>alpha1*C40+(1-alpha1)*D40</f>
        <v>1.5444329297370931</v>
      </c>
      <c r="E41" s="4">
        <f t="shared" si="0"/>
        <v>0.45556707026290688</v>
      </c>
      <c r="F41">
        <f t="shared" si="1"/>
        <v>0.45556707026290688</v>
      </c>
    </row>
    <row r="42" spans="1:6" x14ac:dyDescent="0.2">
      <c r="A42" t="str">
        <v>d_41</v>
      </c>
      <c r="B42" s="2">
        <v>40612</v>
      </c>
      <c r="C42" s="4">
        <v>3</v>
      </c>
      <c r="D42">
        <f>alpha1*C41+(1-alpha1)*D41</f>
        <v>1.681103050815965</v>
      </c>
      <c r="E42" s="4">
        <f t="shared" si="0"/>
        <v>1.318896949184035</v>
      </c>
      <c r="F42">
        <f t="shared" si="1"/>
        <v>1.318896949184035</v>
      </c>
    </row>
    <row r="43" spans="1:6" x14ac:dyDescent="0.2">
      <c r="A43" t="str">
        <v>d_42</v>
      </c>
      <c r="B43" s="2">
        <v>40613</v>
      </c>
      <c r="C43" s="4">
        <v>0</v>
      </c>
      <c r="D43">
        <f>alpha1*C42+(1-alpha1)*D42</f>
        <v>2.0767721355711752</v>
      </c>
      <c r="E43" s="4">
        <f t="shared" si="0"/>
        <v>-2.0767721355711752</v>
      </c>
      <c r="F43">
        <f t="shared" si="1"/>
        <v>2.0767721355711752</v>
      </c>
    </row>
    <row r="44" spans="1:6" x14ac:dyDescent="0.2">
      <c r="A44" t="str">
        <v>d_43</v>
      </c>
      <c r="B44" s="2">
        <v>40614</v>
      </c>
      <c r="C44" s="4">
        <v>1</v>
      </c>
      <c r="D44">
        <f>alpha1*C43+(1-alpha1)*D43</f>
        <v>1.4537404948998225</v>
      </c>
      <c r="E44" s="4">
        <f t="shared" si="0"/>
        <v>-0.45374049489982249</v>
      </c>
      <c r="F44">
        <f t="shared" si="1"/>
        <v>0.45374049489982249</v>
      </c>
    </row>
    <row r="45" spans="1:6" x14ac:dyDescent="0.2">
      <c r="A45" t="str">
        <v>d_44</v>
      </c>
      <c r="B45" s="2">
        <v>40615</v>
      </c>
      <c r="C45" s="4">
        <v>5</v>
      </c>
      <c r="D45">
        <f>alpha1*C44+(1-alpha1)*D44</f>
        <v>1.3176183464298756</v>
      </c>
      <c r="E45" s="4">
        <f t="shared" si="0"/>
        <v>3.6823816535701246</v>
      </c>
      <c r="F45">
        <f t="shared" si="1"/>
        <v>3.6823816535701246</v>
      </c>
    </row>
    <row r="46" spans="1:6" x14ac:dyDescent="0.2">
      <c r="A46" t="str">
        <v>d_45</v>
      </c>
      <c r="B46" s="2">
        <v>40616</v>
      </c>
      <c r="C46" s="4">
        <v>0</v>
      </c>
      <c r="D46">
        <f>alpha1*C45+(1-alpha1)*D45</f>
        <v>2.422332842500913</v>
      </c>
      <c r="E46" s="4">
        <f t="shared" si="0"/>
        <v>-2.422332842500913</v>
      </c>
      <c r="F46">
        <f t="shared" si="1"/>
        <v>2.422332842500913</v>
      </c>
    </row>
    <row r="47" spans="1:6" x14ac:dyDescent="0.2">
      <c r="A47" t="str">
        <v>d_46</v>
      </c>
      <c r="B47" s="2">
        <v>40617</v>
      </c>
      <c r="C47" s="4">
        <v>0</v>
      </c>
      <c r="D47">
        <f>alpha1*C46+(1-alpha1)*D46</f>
        <v>1.695632989750639</v>
      </c>
      <c r="E47" s="4">
        <f t="shared" si="0"/>
        <v>-1.695632989750639</v>
      </c>
      <c r="F47">
        <f t="shared" si="1"/>
        <v>1.695632989750639</v>
      </c>
    </row>
    <row r="48" spans="1:6" x14ac:dyDescent="0.2">
      <c r="A48" t="str">
        <v>d_47</v>
      </c>
      <c r="B48" s="2">
        <v>40618</v>
      </c>
      <c r="C48" s="4">
        <v>1</v>
      </c>
      <c r="D48">
        <f>alpha1*C47+(1-alpha1)*D47</f>
        <v>1.1869430928254472</v>
      </c>
      <c r="E48" s="4">
        <f t="shared" si="0"/>
        <v>-0.18694309282544719</v>
      </c>
      <c r="F48">
        <f t="shared" si="1"/>
        <v>0.18694309282544719</v>
      </c>
    </row>
    <row r="49" spans="1:6" x14ac:dyDescent="0.2">
      <c r="A49" t="str">
        <v>d_48</v>
      </c>
      <c r="B49" s="2">
        <v>40619</v>
      </c>
      <c r="C49" s="4">
        <v>0</v>
      </c>
      <c r="D49">
        <f>alpha1*C48+(1-alpha1)*D48</f>
        <v>1.1308601649778129</v>
      </c>
      <c r="E49" s="4">
        <f t="shared" si="0"/>
        <v>-1.1308601649778129</v>
      </c>
      <c r="F49">
        <f t="shared" si="1"/>
        <v>1.1308601649778129</v>
      </c>
    </row>
    <row r="50" spans="1:6" x14ac:dyDescent="0.2">
      <c r="A50" t="str">
        <v>d_49</v>
      </c>
      <c r="B50" s="2">
        <v>40620</v>
      </c>
      <c r="C50" s="4">
        <v>0</v>
      </c>
      <c r="D50">
        <f>alpha1*C49+(1-alpha1)*D49</f>
        <v>0.79160211548446902</v>
      </c>
      <c r="E50" s="4">
        <f t="shared" si="0"/>
        <v>-0.79160211548446902</v>
      </c>
      <c r="F50">
        <f t="shared" si="1"/>
        <v>0.79160211548446902</v>
      </c>
    </row>
    <row r="51" spans="1:6" x14ac:dyDescent="0.2">
      <c r="A51" t="str">
        <v>d_50</v>
      </c>
      <c r="B51" s="2">
        <v>40621</v>
      </c>
      <c r="C51" s="4">
        <v>1</v>
      </c>
      <c r="D51">
        <f>alpha1*C50+(1-alpha1)*D50</f>
        <v>0.55412148083912827</v>
      </c>
      <c r="E51" s="4">
        <f t="shared" si="0"/>
        <v>0.44587851916087173</v>
      </c>
      <c r="F51">
        <f t="shared" si="1"/>
        <v>0.44587851916087173</v>
      </c>
    </row>
    <row r="52" spans="1:6" x14ac:dyDescent="0.2">
      <c r="A52" t="str">
        <v>d_51</v>
      </c>
      <c r="B52" s="2">
        <v>40622</v>
      </c>
      <c r="C52" s="4">
        <v>1</v>
      </c>
      <c r="D52">
        <f>alpha1*C51+(1-alpha1)*D51</f>
        <v>0.68788503658738975</v>
      </c>
      <c r="E52" s="4">
        <f t="shared" si="0"/>
        <v>0.31211496341261025</v>
      </c>
      <c r="F52">
        <f t="shared" si="1"/>
        <v>0.31211496341261025</v>
      </c>
    </row>
    <row r="53" spans="1:6" x14ac:dyDescent="0.2">
      <c r="A53" t="str">
        <v>d_52</v>
      </c>
      <c r="B53" s="2">
        <v>40623</v>
      </c>
      <c r="C53" s="4">
        <v>1</v>
      </c>
      <c r="D53">
        <f>alpha1*C52+(1-alpha1)*D52</f>
        <v>0.78151952561117277</v>
      </c>
      <c r="E53" s="4">
        <f t="shared" si="0"/>
        <v>0.21848047438882723</v>
      </c>
      <c r="F53">
        <f t="shared" si="1"/>
        <v>0.21848047438882723</v>
      </c>
    </row>
    <row r="54" spans="1:6" x14ac:dyDescent="0.2">
      <c r="A54" t="str">
        <v>d_53</v>
      </c>
      <c r="B54" s="2">
        <v>40624</v>
      </c>
      <c r="C54" s="4">
        <v>1</v>
      </c>
      <c r="D54">
        <f>alpha1*C53+(1-alpha1)*D53</f>
        <v>0.84706366792782095</v>
      </c>
      <c r="E54" s="4">
        <f t="shared" si="0"/>
        <v>0.15293633207217905</v>
      </c>
      <c r="F54">
        <f t="shared" si="1"/>
        <v>0.15293633207217905</v>
      </c>
    </row>
    <row r="55" spans="1:6" x14ac:dyDescent="0.2">
      <c r="A55" t="str">
        <v>d_54</v>
      </c>
      <c r="B55" s="2">
        <v>40625</v>
      </c>
      <c r="C55" s="4">
        <v>1</v>
      </c>
      <c r="D55">
        <f>alpha1*C54+(1-alpha1)*D54</f>
        <v>0.89294456754947471</v>
      </c>
      <c r="E55" s="4">
        <f t="shared" si="0"/>
        <v>0.10705543245052529</v>
      </c>
      <c r="F55">
        <f t="shared" si="1"/>
        <v>0.10705543245052529</v>
      </c>
    </row>
    <row r="56" spans="1:6" x14ac:dyDescent="0.2">
      <c r="A56" t="str">
        <v>d_55</v>
      </c>
      <c r="B56" s="2">
        <v>40626</v>
      </c>
      <c r="C56" s="4">
        <v>0</v>
      </c>
      <c r="D56">
        <f>alpha1*C55+(1-alpha1)*D55</f>
        <v>0.92506119728463232</v>
      </c>
      <c r="E56" s="4">
        <f t="shared" si="0"/>
        <v>-0.92506119728463232</v>
      </c>
      <c r="F56">
        <f t="shared" si="1"/>
        <v>0.92506119728463232</v>
      </c>
    </row>
    <row r="57" spans="1:6" x14ac:dyDescent="0.2">
      <c r="A57" t="str">
        <v>d_56</v>
      </c>
      <c r="B57" s="2">
        <v>40627</v>
      </c>
      <c r="C57" s="4">
        <v>1</v>
      </c>
      <c r="D57">
        <f>alpha1*C56+(1-alpha1)*D56</f>
        <v>0.64754283809924262</v>
      </c>
      <c r="E57" s="4">
        <f t="shared" si="0"/>
        <v>0.35245716190075738</v>
      </c>
      <c r="F57">
        <f t="shared" si="1"/>
        <v>0.35245716190075738</v>
      </c>
    </row>
    <row r="58" spans="1:6" x14ac:dyDescent="0.2">
      <c r="A58" t="str">
        <v>d_57</v>
      </c>
      <c r="B58" s="2">
        <v>40628</v>
      </c>
      <c r="C58" s="4">
        <v>2</v>
      </c>
      <c r="D58">
        <f>alpha1*C57+(1-alpha1)*D57</f>
        <v>0.75327998666946971</v>
      </c>
      <c r="E58" s="4">
        <f t="shared" si="0"/>
        <v>1.2467200133305303</v>
      </c>
      <c r="F58">
        <f t="shared" si="1"/>
        <v>1.2467200133305303</v>
      </c>
    </row>
    <row r="59" spans="1:6" x14ac:dyDescent="0.2">
      <c r="A59" t="str">
        <v>d_58</v>
      </c>
      <c r="B59" s="2">
        <v>40629</v>
      </c>
      <c r="C59" s="4">
        <v>2</v>
      </c>
      <c r="D59">
        <f>alpha1*C58+(1-alpha1)*D58</f>
        <v>1.1272959906686286</v>
      </c>
      <c r="E59" s="4">
        <f t="shared" si="0"/>
        <v>0.87270400933137138</v>
      </c>
      <c r="F59">
        <f t="shared" si="1"/>
        <v>0.87270400933137138</v>
      </c>
    </row>
    <row r="60" spans="1:6" x14ac:dyDescent="0.2">
      <c r="A60" t="str">
        <v>d_59</v>
      </c>
      <c r="B60" s="2">
        <v>40630</v>
      </c>
      <c r="C60" s="4">
        <v>0</v>
      </c>
      <c r="D60">
        <f>alpha1*C59+(1-alpha1)*D59</f>
        <v>1.3891071934680399</v>
      </c>
      <c r="E60" s="4">
        <f t="shared" si="0"/>
        <v>-1.3891071934680399</v>
      </c>
      <c r="F60">
        <f t="shared" si="1"/>
        <v>1.3891071934680399</v>
      </c>
    </row>
    <row r="61" spans="1:6" x14ac:dyDescent="0.2">
      <c r="A61" t="str">
        <v>d_60</v>
      </c>
      <c r="B61" s="2">
        <v>40631</v>
      </c>
      <c r="C61" s="4">
        <v>1</v>
      </c>
      <c r="D61">
        <f>alpha1*C60+(1-alpha1)*D60</f>
        <v>0.97237503542762782</v>
      </c>
      <c r="E61" s="4">
        <f t="shared" si="0"/>
        <v>2.7624964572372179E-2</v>
      </c>
      <c r="F61">
        <f t="shared" si="1"/>
        <v>2.7624964572372179E-2</v>
      </c>
    </row>
    <row r="62" spans="1:6" x14ac:dyDescent="0.2">
      <c r="A62" t="str">
        <v>d_61</v>
      </c>
      <c r="B62" s="2">
        <v>40632</v>
      </c>
      <c r="C62" s="4">
        <v>0</v>
      </c>
      <c r="D62">
        <f>alpha1*C61+(1-alpha1)*D61</f>
        <v>0.98066252479933946</v>
      </c>
      <c r="E62" s="4">
        <f t="shared" si="0"/>
        <v>-0.98066252479933946</v>
      </c>
      <c r="F62">
        <f t="shared" si="1"/>
        <v>0.98066252479933946</v>
      </c>
    </row>
    <row r="63" spans="1:6" x14ac:dyDescent="0.2">
      <c r="A63" t="str">
        <v>d_62</v>
      </c>
      <c r="B63" s="2">
        <v>40633</v>
      </c>
      <c r="C63" s="4">
        <v>0</v>
      </c>
      <c r="D63">
        <f>alpha1*C62+(1-alpha1)*D62</f>
        <v>0.68646376735953762</v>
      </c>
      <c r="E63" s="4">
        <f t="shared" si="0"/>
        <v>-0.68646376735953762</v>
      </c>
      <c r="F63">
        <f t="shared" si="1"/>
        <v>0.68646376735953762</v>
      </c>
    </row>
    <row r="64" spans="1:6" x14ac:dyDescent="0.2">
      <c r="A64" t="str">
        <v>d_63</v>
      </c>
      <c r="B64" s="2">
        <v>40634</v>
      </c>
      <c r="C64" s="4">
        <v>0</v>
      </c>
      <c r="D64">
        <f>alpha1*C63+(1-alpha1)*D63</f>
        <v>0.48052463715167631</v>
      </c>
      <c r="E64" s="4">
        <f t="shared" si="0"/>
        <v>-0.48052463715167631</v>
      </c>
      <c r="F64">
        <f t="shared" si="1"/>
        <v>0.48052463715167631</v>
      </c>
    </row>
    <row r="65" spans="1:6" x14ac:dyDescent="0.2">
      <c r="A65" t="str">
        <v>d_64</v>
      </c>
      <c r="B65" s="2">
        <v>40635</v>
      </c>
      <c r="C65" s="4">
        <v>0</v>
      </c>
      <c r="D65">
        <f>alpha1*C64+(1-alpha1)*D64</f>
        <v>0.3363672460061734</v>
      </c>
      <c r="E65" s="4">
        <f t="shared" si="0"/>
        <v>-0.3363672460061734</v>
      </c>
      <c r="F65">
        <f t="shared" si="1"/>
        <v>0.3363672460061734</v>
      </c>
    </row>
    <row r="66" spans="1:6" x14ac:dyDescent="0.2">
      <c r="A66" t="str">
        <v>d_65</v>
      </c>
      <c r="B66" s="2">
        <v>40636</v>
      </c>
      <c r="C66" s="4">
        <v>0</v>
      </c>
      <c r="D66">
        <f>alpha1*C65+(1-alpha1)*D65</f>
        <v>0.23545707220432135</v>
      </c>
      <c r="E66" s="4">
        <f t="shared" si="0"/>
        <v>-0.23545707220432135</v>
      </c>
      <c r="F66">
        <f t="shared" si="1"/>
        <v>0.23545707220432135</v>
      </c>
    </row>
    <row r="67" spans="1:6" x14ac:dyDescent="0.2">
      <c r="A67" t="str">
        <v>d_66</v>
      </c>
      <c r="B67" s="2">
        <v>40637</v>
      </c>
      <c r="C67" s="4">
        <v>4</v>
      </c>
      <c r="D67">
        <f>alpha1*C66+(1-alpha1)*D66</f>
        <v>0.16481995054302495</v>
      </c>
      <c r="E67" s="4">
        <f t="shared" ref="E67:E130" si="2">C67-D67</f>
        <v>3.8351800494569752</v>
      </c>
      <c r="F67">
        <f t="shared" ref="F67:F130" si="3">ABS(E67)</f>
        <v>3.8351800494569752</v>
      </c>
    </row>
    <row r="68" spans="1:6" x14ac:dyDescent="0.2">
      <c r="A68" t="str">
        <v>d_67</v>
      </c>
      <c r="B68" s="2">
        <v>40638</v>
      </c>
      <c r="C68" s="4">
        <v>0</v>
      </c>
      <c r="D68">
        <f>alpha1*C67+(1-alpha1)*D67</f>
        <v>1.3153739653801173</v>
      </c>
      <c r="E68" s="4">
        <f t="shared" si="2"/>
        <v>-1.3153739653801173</v>
      </c>
      <c r="F68">
        <f t="shared" si="3"/>
        <v>1.3153739653801173</v>
      </c>
    </row>
    <row r="69" spans="1:6" x14ac:dyDescent="0.2">
      <c r="A69" t="str">
        <v>d_68</v>
      </c>
      <c r="B69" s="2">
        <v>40639</v>
      </c>
      <c r="C69" s="4">
        <v>1</v>
      </c>
      <c r="D69">
        <f>alpha1*C68+(1-alpha1)*D68</f>
        <v>0.92076177576608209</v>
      </c>
      <c r="E69" s="4">
        <f t="shared" si="2"/>
        <v>7.9238224233917909E-2</v>
      </c>
      <c r="F69">
        <f t="shared" si="3"/>
        <v>7.9238224233917909E-2</v>
      </c>
    </row>
    <row r="70" spans="1:6" x14ac:dyDescent="0.2">
      <c r="A70" t="str">
        <v>d_69</v>
      </c>
      <c r="B70" s="2">
        <v>40640</v>
      </c>
      <c r="C70" s="4">
        <v>0</v>
      </c>
      <c r="D70">
        <f>alpha1*C69+(1-alpha1)*D69</f>
        <v>0.94453324303625741</v>
      </c>
      <c r="E70" s="4">
        <f t="shared" si="2"/>
        <v>-0.94453324303625741</v>
      </c>
      <c r="F70">
        <f t="shared" si="3"/>
        <v>0.94453324303625741</v>
      </c>
    </row>
    <row r="71" spans="1:6" x14ac:dyDescent="0.2">
      <c r="A71" t="str">
        <v>d_70</v>
      </c>
      <c r="B71" s="2">
        <v>40641</v>
      </c>
      <c r="C71" s="4">
        <v>1</v>
      </c>
      <c r="D71">
        <f>alpha1*C70+(1-alpha1)*D70</f>
        <v>0.66117327012538019</v>
      </c>
      <c r="E71" s="4">
        <f t="shared" si="2"/>
        <v>0.33882672987461981</v>
      </c>
      <c r="F71">
        <f t="shared" si="3"/>
        <v>0.33882672987461981</v>
      </c>
    </row>
    <row r="72" spans="1:6" x14ac:dyDescent="0.2">
      <c r="A72" t="str">
        <v>d_71</v>
      </c>
      <c r="B72" s="2">
        <v>40642</v>
      </c>
      <c r="C72" s="4">
        <v>0</v>
      </c>
      <c r="D72">
        <f>alpha1*C71+(1-alpha1)*D71</f>
        <v>0.76282128908776614</v>
      </c>
      <c r="E72" s="4">
        <f t="shared" si="2"/>
        <v>-0.76282128908776614</v>
      </c>
      <c r="F72">
        <f t="shared" si="3"/>
        <v>0.76282128908776614</v>
      </c>
    </row>
    <row r="73" spans="1:6" x14ac:dyDescent="0.2">
      <c r="A73" t="str">
        <v>d_72</v>
      </c>
      <c r="B73" s="2">
        <v>40643</v>
      </c>
      <c r="C73" s="4">
        <v>2</v>
      </c>
      <c r="D73">
        <f>alpha1*C72+(1-alpha1)*D72</f>
        <v>0.5339749023614363</v>
      </c>
      <c r="E73" s="4">
        <f t="shared" si="2"/>
        <v>1.4660250976385636</v>
      </c>
      <c r="F73">
        <f t="shared" si="3"/>
        <v>1.4660250976385636</v>
      </c>
    </row>
    <row r="74" spans="1:6" x14ac:dyDescent="0.2">
      <c r="A74" t="str">
        <v>d_73</v>
      </c>
      <c r="B74" s="2">
        <v>40644</v>
      </c>
      <c r="C74" s="4">
        <v>2</v>
      </c>
      <c r="D74">
        <f>alpha1*C73+(1-alpha1)*D73</f>
        <v>0.97378243165300538</v>
      </c>
      <c r="E74" s="4">
        <f t="shared" si="2"/>
        <v>1.0262175683469947</v>
      </c>
      <c r="F74">
        <f t="shared" si="3"/>
        <v>1.0262175683469947</v>
      </c>
    </row>
    <row r="75" spans="1:6" x14ac:dyDescent="0.2">
      <c r="A75" t="str">
        <v>d_74</v>
      </c>
      <c r="B75" s="2">
        <v>40645</v>
      </c>
      <c r="C75" s="4">
        <v>1</v>
      </c>
      <c r="D75">
        <f>alpha1*C74+(1-alpha1)*D74</f>
        <v>1.2816477021571036</v>
      </c>
      <c r="E75" s="4">
        <f t="shared" si="2"/>
        <v>-0.28164770215710355</v>
      </c>
      <c r="F75">
        <f t="shared" si="3"/>
        <v>0.28164770215710355</v>
      </c>
    </row>
    <row r="76" spans="1:6" x14ac:dyDescent="0.2">
      <c r="A76" t="str">
        <v>d_75</v>
      </c>
      <c r="B76" s="2">
        <v>40646</v>
      </c>
      <c r="C76" s="4">
        <v>1</v>
      </c>
      <c r="D76">
        <f>alpha1*C75+(1-alpha1)*D75</f>
        <v>1.1971533915099724</v>
      </c>
      <c r="E76" s="4">
        <f t="shared" si="2"/>
        <v>-0.19715339150997235</v>
      </c>
      <c r="F76">
        <f t="shared" si="3"/>
        <v>0.19715339150997235</v>
      </c>
    </row>
    <row r="77" spans="1:6" x14ac:dyDescent="0.2">
      <c r="A77" t="str">
        <v>d_76</v>
      </c>
      <c r="B77" s="2">
        <v>40647</v>
      </c>
      <c r="C77" s="4">
        <v>0</v>
      </c>
      <c r="D77">
        <f>alpha1*C76+(1-alpha1)*D76</f>
        <v>1.1380073740569805</v>
      </c>
      <c r="E77" s="4">
        <f t="shared" si="2"/>
        <v>-1.1380073740569805</v>
      </c>
      <c r="F77">
        <f t="shared" si="3"/>
        <v>1.1380073740569805</v>
      </c>
    </row>
    <row r="78" spans="1:6" x14ac:dyDescent="0.2">
      <c r="A78" t="str">
        <v>d_77</v>
      </c>
      <c r="B78" s="2">
        <v>40648</v>
      </c>
      <c r="C78" s="4">
        <v>2</v>
      </c>
      <c r="D78">
        <f>alpha1*C77+(1-alpha1)*D77</f>
        <v>0.79660516183988628</v>
      </c>
      <c r="E78" s="4">
        <f t="shared" si="2"/>
        <v>1.2033948381601136</v>
      </c>
      <c r="F78">
        <f t="shared" si="3"/>
        <v>1.2033948381601136</v>
      </c>
    </row>
    <row r="79" spans="1:6" x14ac:dyDescent="0.2">
      <c r="A79" t="str">
        <v>d_78</v>
      </c>
      <c r="B79" s="2">
        <v>40649</v>
      </c>
      <c r="C79" s="4">
        <v>1</v>
      </c>
      <c r="D79">
        <f>alpha1*C78+(1-alpha1)*D78</f>
        <v>1.1576236132879203</v>
      </c>
      <c r="E79" s="4">
        <f t="shared" si="2"/>
        <v>-0.15762361328792029</v>
      </c>
      <c r="F79">
        <f t="shared" si="3"/>
        <v>0.15762361328792029</v>
      </c>
    </row>
    <row r="80" spans="1:6" x14ac:dyDescent="0.2">
      <c r="A80" t="str">
        <v>d_79</v>
      </c>
      <c r="B80" s="2">
        <v>40650</v>
      </c>
      <c r="C80" s="4">
        <v>2</v>
      </c>
      <c r="D80">
        <f>alpha1*C79+(1-alpha1)*D79</f>
        <v>1.1103365293015441</v>
      </c>
      <c r="E80" s="4">
        <f t="shared" si="2"/>
        <v>0.88966347069845586</v>
      </c>
      <c r="F80">
        <f t="shared" si="3"/>
        <v>0.88966347069845586</v>
      </c>
    </row>
    <row r="81" spans="1:6" x14ac:dyDescent="0.2">
      <c r="A81" t="str">
        <v>d_80</v>
      </c>
      <c r="B81" s="2">
        <v>40651</v>
      </c>
      <c r="C81" s="4">
        <v>0</v>
      </c>
      <c r="D81">
        <f>alpha1*C80+(1-alpha1)*D80</f>
        <v>1.3772355705110808</v>
      </c>
      <c r="E81" s="4">
        <f t="shared" si="2"/>
        <v>-1.3772355705110808</v>
      </c>
      <c r="F81">
        <f t="shared" si="3"/>
        <v>1.3772355705110808</v>
      </c>
    </row>
    <row r="82" spans="1:6" x14ac:dyDescent="0.2">
      <c r="A82" t="str">
        <v>d_81</v>
      </c>
      <c r="B82" s="2">
        <v>40652</v>
      </c>
      <c r="C82" s="4">
        <v>2</v>
      </c>
      <c r="D82">
        <f>alpha1*C81+(1-alpha1)*D81</f>
        <v>0.96406489935775652</v>
      </c>
      <c r="E82" s="4">
        <f t="shared" si="2"/>
        <v>1.0359351006422435</v>
      </c>
      <c r="F82">
        <f t="shared" si="3"/>
        <v>1.0359351006422435</v>
      </c>
    </row>
    <row r="83" spans="1:6" x14ac:dyDescent="0.2">
      <c r="A83" t="str">
        <v>d_82</v>
      </c>
      <c r="B83" s="2">
        <v>40653</v>
      </c>
      <c r="C83" s="4">
        <v>0</v>
      </c>
      <c r="D83">
        <f>alpha1*C82+(1-alpha1)*D82</f>
        <v>1.2748454295504295</v>
      </c>
      <c r="E83" s="4">
        <f t="shared" si="2"/>
        <v>-1.2748454295504295</v>
      </c>
      <c r="F83">
        <f t="shared" si="3"/>
        <v>1.2748454295504295</v>
      </c>
    </row>
    <row r="84" spans="1:6" x14ac:dyDescent="0.2">
      <c r="A84" t="str">
        <v>d_83</v>
      </c>
      <c r="B84" s="2">
        <v>40654</v>
      </c>
      <c r="C84" s="4">
        <v>0</v>
      </c>
      <c r="D84">
        <f>alpha1*C83+(1-alpha1)*D83</f>
        <v>0.89239180068530055</v>
      </c>
      <c r="E84" s="4">
        <f t="shared" si="2"/>
        <v>-0.89239180068530055</v>
      </c>
      <c r="F84">
        <f t="shared" si="3"/>
        <v>0.89239180068530055</v>
      </c>
    </row>
    <row r="85" spans="1:6" x14ac:dyDescent="0.2">
      <c r="A85" t="str">
        <v>d_84</v>
      </c>
      <c r="B85" s="2">
        <v>40655</v>
      </c>
      <c r="C85" s="4">
        <v>0</v>
      </c>
      <c r="D85">
        <f>alpha1*C84+(1-alpha1)*D84</f>
        <v>0.62467426047971031</v>
      </c>
      <c r="E85" s="4">
        <f t="shared" si="2"/>
        <v>-0.62467426047971031</v>
      </c>
      <c r="F85">
        <f t="shared" si="3"/>
        <v>0.62467426047971031</v>
      </c>
    </row>
    <row r="86" spans="1:6" x14ac:dyDescent="0.2">
      <c r="A86" t="str">
        <v>d_85</v>
      </c>
      <c r="B86" s="2">
        <v>40656</v>
      </c>
      <c r="C86" s="4">
        <v>1</v>
      </c>
      <c r="D86">
        <f>alpha1*C85+(1-alpha1)*D85</f>
        <v>0.43727198233579717</v>
      </c>
      <c r="E86" s="4">
        <f t="shared" si="2"/>
        <v>0.56272801766420288</v>
      </c>
      <c r="F86">
        <f t="shared" si="3"/>
        <v>0.56272801766420288</v>
      </c>
    </row>
    <row r="87" spans="1:6" x14ac:dyDescent="0.2">
      <c r="A87" t="str">
        <v>d_86</v>
      </c>
      <c r="B87" s="2">
        <v>40657</v>
      </c>
      <c r="C87" s="4">
        <v>0</v>
      </c>
      <c r="D87">
        <f>alpha1*C86+(1-alpha1)*D86</f>
        <v>0.60609038763505807</v>
      </c>
      <c r="E87" s="4">
        <f t="shared" si="2"/>
        <v>-0.60609038763505807</v>
      </c>
      <c r="F87">
        <f t="shared" si="3"/>
        <v>0.60609038763505807</v>
      </c>
    </row>
    <row r="88" spans="1:6" x14ac:dyDescent="0.2">
      <c r="A88" t="str">
        <v>d_87</v>
      </c>
      <c r="B88" s="2">
        <v>40658</v>
      </c>
      <c r="C88" s="4">
        <v>0</v>
      </c>
      <c r="D88">
        <f>alpha1*C87+(1-alpha1)*D87</f>
        <v>0.42426327134454062</v>
      </c>
      <c r="E88" s="4">
        <f t="shared" si="2"/>
        <v>-0.42426327134454062</v>
      </c>
      <c r="F88">
        <f t="shared" si="3"/>
        <v>0.42426327134454062</v>
      </c>
    </row>
    <row r="89" spans="1:6" x14ac:dyDescent="0.2">
      <c r="A89" t="str">
        <v>d_88</v>
      </c>
      <c r="B89" s="2">
        <v>40659</v>
      </c>
      <c r="C89" s="4">
        <v>0</v>
      </c>
      <c r="D89">
        <f>alpha1*C88+(1-alpha1)*D88</f>
        <v>0.29698428994117843</v>
      </c>
      <c r="E89" s="4">
        <f t="shared" si="2"/>
        <v>-0.29698428994117843</v>
      </c>
      <c r="F89">
        <f t="shared" si="3"/>
        <v>0.29698428994117843</v>
      </c>
    </row>
    <row r="90" spans="1:6" x14ac:dyDescent="0.2">
      <c r="A90" t="str">
        <v>d_89</v>
      </c>
      <c r="B90" s="2">
        <v>40660</v>
      </c>
      <c r="C90" s="4">
        <v>0</v>
      </c>
      <c r="D90">
        <f>alpha1*C89+(1-alpha1)*D89</f>
        <v>0.2078890029588249</v>
      </c>
      <c r="E90" s="4">
        <f t="shared" si="2"/>
        <v>-0.2078890029588249</v>
      </c>
      <c r="F90">
        <f t="shared" si="3"/>
        <v>0.2078890029588249</v>
      </c>
    </row>
    <row r="91" spans="1:6" x14ac:dyDescent="0.2">
      <c r="A91" t="str">
        <v>d_90</v>
      </c>
      <c r="B91" s="2">
        <v>40661</v>
      </c>
      <c r="C91" s="4">
        <v>0</v>
      </c>
      <c r="D91">
        <f>alpha1*C90+(1-alpha1)*D90</f>
        <v>0.14552230207117742</v>
      </c>
      <c r="E91" s="4">
        <f t="shared" si="2"/>
        <v>-0.14552230207117742</v>
      </c>
      <c r="F91">
        <f t="shared" si="3"/>
        <v>0.14552230207117742</v>
      </c>
    </row>
    <row r="92" spans="1:6" x14ac:dyDescent="0.2">
      <c r="A92" t="str">
        <v>d_91</v>
      </c>
      <c r="B92" s="2">
        <v>40662</v>
      </c>
      <c r="C92" s="4">
        <v>0</v>
      </c>
      <c r="D92">
        <f>alpha1*C91+(1-alpha1)*D91</f>
        <v>0.10186561144982419</v>
      </c>
      <c r="E92" s="4">
        <f t="shared" si="2"/>
        <v>-0.10186561144982419</v>
      </c>
      <c r="F92">
        <f t="shared" si="3"/>
        <v>0.10186561144982419</v>
      </c>
    </row>
    <row r="93" spans="1:6" x14ac:dyDescent="0.2">
      <c r="A93" t="str">
        <v>d_92</v>
      </c>
      <c r="B93" s="2">
        <v>40663</v>
      </c>
      <c r="C93" s="4">
        <v>3</v>
      </c>
      <c r="D93">
        <f>alpha1*C92+(1-alpha1)*D92</f>
        <v>7.1305928014876924E-2</v>
      </c>
      <c r="E93" s="4">
        <f t="shared" si="2"/>
        <v>2.9286940719851229</v>
      </c>
      <c r="F93">
        <f t="shared" si="3"/>
        <v>2.9286940719851229</v>
      </c>
    </row>
    <row r="94" spans="1:6" x14ac:dyDescent="0.2">
      <c r="A94" t="str">
        <v>d_93</v>
      </c>
      <c r="B94" s="2">
        <v>40664</v>
      </c>
      <c r="C94" s="4">
        <v>2</v>
      </c>
      <c r="D94">
        <f>alpha1*C93+(1-alpha1)*D93</f>
        <v>0.94991414961041376</v>
      </c>
      <c r="E94" s="4">
        <f t="shared" si="2"/>
        <v>1.0500858503895862</v>
      </c>
      <c r="F94">
        <f t="shared" si="3"/>
        <v>1.0500858503895862</v>
      </c>
    </row>
    <row r="95" spans="1:6" x14ac:dyDescent="0.2">
      <c r="A95" t="str">
        <v>d_94</v>
      </c>
      <c r="B95" s="2">
        <v>40665</v>
      </c>
      <c r="C95" s="4">
        <v>7</v>
      </c>
      <c r="D95">
        <f>alpha1*C94+(1-alpha1)*D94</f>
        <v>1.2649399047272896</v>
      </c>
      <c r="E95" s="4">
        <f t="shared" si="2"/>
        <v>5.7350600952727104</v>
      </c>
      <c r="F95">
        <f t="shared" si="3"/>
        <v>5.7350600952727104</v>
      </c>
    </row>
    <row r="96" spans="1:6" x14ac:dyDescent="0.2">
      <c r="A96" t="str">
        <v>d_95</v>
      </c>
      <c r="B96" s="2">
        <v>40666</v>
      </c>
      <c r="C96" s="4">
        <v>1</v>
      </c>
      <c r="D96">
        <f>alpha1*C95+(1-alpha1)*D95</f>
        <v>2.9854579333091027</v>
      </c>
      <c r="E96" s="4">
        <f t="shared" si="2"/>
        <v>-1.9854579333091027</v>
      </c>
      <c r="F96">
        <f t="shared" si="3"/>
        <v>1.9854579333091027</v>
      </c>
    </row>
    <row r="97" spans="1:6" x14ac:dyDescent="0.2">
      <c r="A97" t="str">
        <v>d_96</v>
      </c>
      <c r="B97" s="2">
        <v>40667</v>
      </c>
      <c r="C97" s="4">
        <v>0</v>
      </c>
      <c r="D97">
        <f>alpha1*C96+(1-alpha1)*D96</f>
        <v>2.3898205533163717</v>
      </c>
      <c r="E97" s="4">
        <f t="shared" si="2"/>
        <v>-2.3898205533163717</v>
      </c>
      <c r="F97">
        <f t="shared" si="3"/>
        <v>2.3898205533163717</v>
      </c>
    </row>
    <row r="98" spans="1:6" x14ac:dyDescent="0.2">
      <c r="A98" t="str">
        <v>d_97</v>
      </c>
      <c r="B98" s="2">
        <v>40668</v>
      </c>
      <c r="C98" s="4">
        <v>0</v>
      </c>
      <c r="D98">
        <f>alpha1*C97+(1-alpha1)*D97</f>
        <v>1.67287438732146</v>
      </c>
      <c r="E98" s="4">
        <f t="shared" si="2"/>
        <v>-1.67287438732146</v>
      </c>
      <c r="F98">
        <f t="shared" si="3"/>
        <v>1.67287438732146</v>
      </c>
    </row>
    <row r="99" spans="1:6" x14ac:dyDescent="0.2">
      <c r="A99" t="str">
        <v>d_98</v>
      </c>
      <c r="B99" s="2">
        <v>40669</v>
      </c>
      <c r="C99" s="4">
        <v>9</v>
      </c>
      <c r="D99">
        <f>alpha1*C98+(1-alpha1)*D98</f>
        <v>1.1710120711250218</v>
      </c>
      <c r="E99" s="4">
        <f t="shared" si="2"/>
        <v>7.8289879288749784</v>
      </c>
      <c r="F99">
        <f t="shared" si="3"/>
        <v>7.8289879288749784</v>
      </c>
    </row>
    <row r="100" spans="1:6" x14ac:dyDescent="0.2">
      <c r="A100" t="str">
        <v>d_99</v>
      </c>
      <c r="B100" s="2">
        <v>40670</v>
      </c>
      <c r="C100" s="4">
        <v>0</v>
      </c>
      <c r="D100">
        <f>alpha1*C99+(1-alpha1)*D99</f>
        <v>3.5197084497875148</v>
      </c>
      <c r="E100" s="4">
        <f t="shared" si="2"/>
        <v>-3.5197084497875148</v>
      </c>
      <c r="F100">
        <f t="shared" si="3"/>
        <v>3.5197084497875148</v>
      </c>
    </row>
    <row r="101" spans="1:6" x14ac:dyDescent="0.2">
      <c r="A101" t="str">
        <v>d_100</v>
      </c>
      <c r="B101" s="2">
        <v>40671</v>
      </c>
      <c r="C101" s="4">
        <v>0</v>
      </c>
      <c r="D101">
        <f>alpha1*C100+(1-alpha1)*D100</f>
        <v>2.4637959148512603</v>
      </c>
      <c r="E101" s="4">
        <f t="shared" si="2"/>
        <v>-2.4637959148512603</v>
      </c>
      <c r="F101">
        <f t="shared" si="3"/>
        <v>2.4637959148512603</v>
      </c>
    </row>
    <row r="102" spans="1:6" x14ac:dyDescent="0.2">
      <c r="A102" t="str">
        <v>d_101</v>
      </c>
      <c r="B102" s="2">
        <v>40672</v>
      </c>
      <c r="C102" s="4">
        <v>0</v>
      </c>
      <c r="D102">
        <f>alpha1*C101+(1-alpha1)*D101</f>
        <v>1.7246571403958821</v>
      </c>
      <c r="E102" s="4">
        <f t="shared" si="2"/>
        <v>-1.7246571403958821</v>
      </c>
      <c r="F102">
        <f t="shared" si="3"/>
        <v>1.7246571403958821</v>
      </c>
    </row>
    <row r="103" spans="1:6" x14ac:dyDescent="0.2">
      <c r="A103" t="str">
        <v>d_102</v>
      </c>
      <c r="B103" s="2">
        <v>40673</v>
      </c>
      <c r="C103" s="4">
        <v>1</v>
      </c>
      <c r="D103">
        <f>alpha1*C102+(1-alpha1)*D102</f>
        <v>1.2072599982771175</v>
      </c>
      <c r="E103" s="4">
        <f t="shared" si="2"/>
        <v>-0.2072599982771175</v>
      </c>
      <c r="F103">
        <f t="shared" si="3"/>
        <v>0.2072599982771175</v>
      </c>
    </row>
    <row r="104" spans="1:6" x14ac:dyDescent="0.2">
      <c r="A104" t="str">
        <v>d_103</v>
      </c>
      <c r="B104" s="2">
        <v>40674</v>
      </c>
      <c r="C104" s="4">
        <v>2</v>
      </c>
      <c r="D104">
        <f>alpha1*C103+(1-alpha1)*D103</f>
        <v>1.1450819987939822</v>
      </c>
      <c r="E104" s="4">
        <f t="shared" si="2"/>
        <v>0.8549180012060178</v>
      </c>
      <c r="F104">
        <f t="shared" si="3"/>
        <v>0.8549180012060178</v>
      </c>
    </row>
    <row r="105" spans="1:6" x14ac:dyDescent="0.2">
      <c r="A105" t="str">
        <v>d_104</v>
      </c>
      <c r="B105" s="2">
        <v>40675</v>
      </c>
      <c r="C105" s="4">
        <v>0</v>
      </c>
      <c r="D105">
        <f>alpha1*C104+(1-alpha1)*D104</f>
        <v>1.4015573991557875</v>
      </c>
      <c r="E105" s="4">
        <f t="shared" si="2"/>
        <v>-1.4015573991557875</v>
      </c>
      <c r="F105">
        <f t="shared" si="3"/>
        <v>1.4015573991557875</v>
      </c>
    </row>
    <row r="106" spans="1:6" x14ac:dyDescent="0.2">
      <c r="A106" t="str">
        <v>d_105</v>
      </c>
      <c r="B106" s="2">
        <v>40676</v>
      </c>
      <c r="C106" s="4">
        <v>1</v>
      </c>
      <c r="D106">
        <f>alpha1*C105+(1-alpha1)*D105</f>
        <v>0.98109017940905119</v>
      </c>
      <c r="E106" s="4">
        <f t="shared" si="2"/>
        <v>1.8909820590948812E-2</v>
      </c>
      <c r="F106">
        <f t="shared" si="3"/>
        <v>1.8909820590948812E-2</v>
      </c>
    </row>
    <row r="107" spans="1:6" x14ac:dyDescent="0.2">
      <c r="A107" t="str">
        <v>d_106</v>
      </c>
      <c r="B107" s="2">
        <v>40677</v>
      </c>
      <c r="C107" s="4">
        <v>3</v>
      </c>
      <c r="D107">
        <f>alpha1*C106+(1-alpha1)*D106</f>
        <v>0.98676312558633583</v>
      </c>
      <c r="E107" s="4">
        <f t="shared" si="2"/>
        <v>2.0132368744136642</v>
      </c>
      <c r="F107">
        <f t="shared" si="3"/>
        <v>2.0132368744136642</v>
      </c>
    </row>
    <row r="108" spans="1:6" x14ac:dyDescent="0.2">
      <c r="A108" t="str">
        <v>d_107</v>
      </c>
      <c r="B108" s="2">
        <v>40678</v>
      </c>
      <c r="C108" s="4">
        <v>1</v>
      </c>
      <c r="D108">
        <f>alpha1*C107+(1-alpha1)*D107</f>
        <v>1.5907341879104351</v>
      </c>
      <c r="E108" s="4">
        <f t="shared" si="2"/>
        <v>-0.59073418791043508</v>
      </c>
      <c r="F108">
        <f t="shared" si="3"/>
        <v>0.59073418791043508</v>
      </c>
    </row>
    <row r="109" spans="1:6" x14ac:dyDescent="0.2">
      <c r="A109" t="str">
        <v>d_108</v>
      </c>
      <c r="B109" s="2">
        <v>40679</v>
      </c>
      <c r="C109" s="4">
        <v>3</v>
      </c>
      <c r="D109">
        <f>alpha1*C108+(1-alpha1)*D108</f>
        <v>1.4135139315373044</v>
      </c>
      <c r="E109" s="4">
        <f t="shared" si="2"/>
        <v>1.5864860684626956</v>
      </c>
      <c r="F109">
        <f t="shared" si="3"/>
        <v>1.5864860684626956</v>
      </c>
    </row>
    <row r="110" spans="1:6" x14ac:dyDescent="0.2">
      <c r="A110" t="str">
        <v>d_109</v>
      </c>
      <c r="B110" s="2">
        <v>40680</v>
      </c>
      <c r="C110" s="4">
        <v>0</v>
      </c>
      <c r="D110">
        <f>alpha1*C109+(1-alpha1)*D109</f>
        <v>1.8894597520761129</v>
      </c>
      <c r="E110" s="4">
        <f t="shared" si="2"/>
        <v>-1.8894597520761129</v>
      </c>
      <c r="F110">
        <f t="shared" si="3"/>
        <v>1.8894597520761129</v>
      </c>
    </row>
    <row r="111" spans="1:6" x14ac:dyDescent="0.2">
      <c r="A111" t="str">
        <v>d_110</v>
      </c>
      <c r="B111" s="2">
        <v>40681</v>
      </c>
      <c r="C111" s="4">
        <v>0</v>
      </c>
      <c r="D111">
        <f>alpha1*C110+(1-alpha1)*D110</f>
        <v>1.322621826453279</v>
      </c>
      <c r="E111" s="4">
        <f t="shared" si="2"/>
        <v>-1.322621826453279</v>
      </c>
      <c r="F111">
        <f t="shared" si="3"/>
        <v>1.322621826453279</v>
      </c>
    </row>
    <row r="112" spans="1:6" x14ac:dyDescent="0.2">
      <c r="A112" t="str">
        <v>d_111</v>
      </c>
      <c r="B112" s="2">
        <v>40682</v>
      </c>
      <c r="C112" s="4">
        <v>1</v>
      </c>
      <c r="D112">
        <f>alpha1*C111+(1-alpha1)*D111</f>
        <v>0.92583527851729519</v>
      </c>
      <c r="E112" s="4">
        <f t="shared" si="2"/>
        <v>7.416472148270481E-2</v>
      </c>
      <c r="F112">
        <f t="shared" si="3"/>
        <v>7.416472148270481E-2</v>
      </c>
    </row>
    <row r="113" spans="1:6" x14ac:dyDescent="0.2">
      <c r="A113" t="str">
        <v>d_112</v>
      </c>
      <c r="B113" s="2">
        <v>40683</v>
      </c>
      <c r="C113" s="4">
        <v>1</v>
      </c>
      <c r="D113">
        <f>alpha1*C112+(1-alpha1)*D112</f>
        <v>0.94808469496210668</v>
      </c>
      <c r="E113" s="4">
        <f t="shared" si="2"/>
        <v>5.1915305037893322E-2</v>
      </c>
      <c r="F113">
        <f t="shared" si="3"/>
        <v>5.1915305037893322E-2</v>
      </c>
    </row>
    <row r="114" spans="1:6" x14ac:dyDescent="0.2">
      <c r="A114" t="str">
        <v>d_113</v>
      </c>
      <c r="B114" s="2">
        <v>40684</v>
      </c>
      <c r="C114" s="4">
        <v>1</v>
      </c>
      <c r="D114">
        <f>alpha1*C113+(1-alpha1)*D113</f>
        <v>0.96365928647347454</v>
      </c>
      <c r="E114" s="4">
        <f t="shared" si="2"/>
        <v>3.6340713526525459E-2</v>
      </c>
      <c r="F114">
        <f t="shared" si="3"/>
        <v>3.6340713526525459E-2</v>
      </c>
    </row>
    <row r="115" spans="1:6" x14ac:dyDescent="0.2">
      <c r="A115" t="str">
        <v>d_114</v>
      </c>
      <c r="B115" s="2">
        <v>40685</v>
      </c>
      <c r="C115" s="4">
        <v>3</v>
      </c>
      <c r="D115">
        <f>alpha1*C114+(1-alpha1)*D114</f>
        <v>0.97456150053143209</v>
      </c>
      <c r="E115" s="4">
        <f t="shared" si="2"/>
        <v>2.0254384994685681</v>
      </c>
      <c r="F115">
        <f t="shared" si="3"/>
        <v>2.0254384994685681</v>
      </c>
    </row>
    <row r="116" spans="1:6" x14ac:dyDescent="0.2">
      <c r="A116" t="str">
        <v>d_115</v>
      </c>
      <c r="B116" s="2">
        <v>40686</v>
      </c>
      <c r="C116" s="4">
        <v>0</v>
      </c>
      <c r="D116">
        <f>alpha1*C115+(1-alpha1)*D115</f>
        <v>1.5821930503720023</v>
      </c>
      <c r="E116" s="4">
        <f t="shared" si="2"/>
        <v>-1.5821930503720023</v>
      </c>
      <c r="F116">
        <f t="shared" si="3"/>
        <v>1.5821930503720023</v>
      </c>
    </row>
    <row r="117" spans="1:6" x14ac:dyDescent="0.2">
      <c r="A117" t="str">
        <v>d_116</v>
      </c>
      <c r="B117" s="2">
        <v>40687</v>
      </c>
      <c r="C117" s="4">
        <v>1</v>
      </c>
      <c r="D117">
        <f>alpha1*C116+(1-alpha1)*D116</f>
        <v>1.1075351352604015</v>
      </c>
      <c r="E117" s="4">
        <f t="shared" si="2"/>
        <v>-0.10753513526040148</v>
      </c>
      <c r="F117">
        <f t="shared" si="3"/>
        <v>0.10753513526040148</v>
      </c>
    </row>
    <row r="118" spans="1:6" x14ac:dyDescent="0.2">
      <c r="A118" t="str">
        <v>d_117</v>
      </c>
      <c r="B118" s="2">
        <v>40688</v>
      </c>
      <c r="C118" s="4">
        <v>2</v>
      </c>
      <c r="D118">
        <f>alpha1*C117+(1-alpha1)*D117</f>
        <v>1.075274594682281</v>
      </c>
      <c r="E118" s="4">
        <f t="shared" si="2"/>
        <v>0.92472540531771896</v>
      </c>
      <c r="F118">
        <f t="shared" si="3"/>
        <v>0.92472540531771896</v>
      </c>
    </row>
    <row r="119" spans="1:6" x14ac:dyDescent="0.2">
      <c r="A119" t="str">
        <v>d_118</v>
      </c>
      <c r="B119" s="2">
        <v>40689</v>
      </c>
      <c r="C119" s="4">
        <v>0</v>
      </c>
      <c r="D119">
        <f>alpha1*C118+(1-alpha1)*D118</f>
        <v>1.3526922162775965</v>
      </c>
      <c r="E119" s="4">
        <f t="shared" si="2"/>
        <v>-1.3526922162775965</v>
      </c>
      <c r="F119">
        <f t="shared" si="3"/>
        <v>1.3526922162775965</v>
      </c>
    </row>
    <row r="120" spans="1:6" x14ac:dyDescent="0.2">
      <c r="A120" t="str">
        <v>d_119</v>
      </c>
      <c r="B120" s="2">
        <v>40690</v>
      </c>
      <c r="C120" s="4">
        <v>6</v>
      </c>
      <c r="D120">
        <f>alpha1*C119+(1-alpha1)*D119</f>
        <v>0.94688455139431749</v>
      </c>
      <c r="E120" s="4">
        <f t="shared" si="2"/>
        <v>5.0531154486056824</v>
      </c>
      <c r="F120">
        <f t="shared" si="3"/>
        <v>5.0531154486056824</v>
      </c>
    </row>
    <row r="121" spans="1:6" x14ac:dyDescent="0.2">
      <c r="A121" t="str">
        <v>d_120</v>
      </c>
      <c r="B121" s="2">
        <v>40691</v>
      </c>
      <c r="C121" s="4">
        <v>3</v>
      </c>
      <c r="D121">
        <f>alpha1*C120+(1-alpha1)*D120</f>
        <v>2.4628191859760218</v>
      </c>
      <c r="E121" s="4">
        <f t="shared" si="2"/>
        <v>0.53718081402397821</v>
      </c>
      <c r="F121">
        <f t="shared" si="3"/>
        <v>0.53718081402397821</v>
      </c>
    </row>
    <row r="122" spans="1:6" x14ac:dyDescent="0.2">
      <c r="A122" t="str">
        <v>d_121</v>
      </c>
      <c r="B122" s="2">
        <v>40692</v>
      </c>
      <c r="C122" s="4">
        <v>1</v>
      </c>
      <c r="D122">
        <f>alpha1*C121+(1-alpha1)*D121</f>
        <v>2.6239734301832152</v>
      </c>
      <c r="E122" s="4">
        <f t="shared" si="2"/>
        <v>-1.6239734301832152</v>
      </c>
      <c r="F122">
        <f t="shared" si="3"/>
        <v>1.6239734301832152</v>
      </c>
    </row>
    <row r="123" spans="1:6" x14ac:dyDescent="0.2">
      <c r="A123" t="str">
        <v>d_122</v>
      </c>
      <c r="B123" s="2">
        <v>40693</v>
      </c>
      <c r="C123" s="4">
        <v>0</v>
      </c>
      <c r="D123">
        <f>alpha1*C122+(1-alpha1)*D122</f>
        <v>2.1367814011282502</v>
      </c>
      <c r="E123" s="4">
        <f t="shared" si="2"/>
        <v>-2.1367814011282502</v>
      </c>
      <c r="F123">
        <f t="shared" si="3"/>
        <v>2.1367814011282502</v>
      </c>
    </row>
    <row r="124" spans="1:6" x14ac:dyDescent="0.2">
      <c r="A124" t="str">
        <v>d_123</v>
      </c>
      <c r="B124" s="2">
        <v>40694</v>
      </c>
      <c r="C124" s="4">
        <v>1</v>
      </c>
      <c r="D124">
        <f>alpha1*C123+(1-alpha1)*D123</f>
        <v>1.495746980789775</v>
      </c>
      <c r="E124" s="4">
        <f t="shared" si="2"/>
        <v>-0.49574698078977497</v>
      </c>
      <c r="F124">
        <f t="shared" si="3"/>
        <v>0.49574698078977497</v>
      </c>
    </row>
    <row r="125" spans="1:6" x14ac:dyDescent="0.2">
      <c r="A125" t="str">
        <v>d_124</v>
      </c>
      <c r="B125" s="2">
        <v>40695</v>
      </c>
      <c r="C125" s="4">
        <v>0</v>
      </c>
      <c r="D125">
        <f>alpha1*C124+(1-alpha1)*D124</f>
        <v>1.3470228865528424</v>
      </c>
      <c r="E125" s="4">
        <f t="shared" si="2"/>
        <v>-1.3470228865528424</v>
      </c>
      <c r="F125">
        <f t="shared" si="3"/>
        <v>1.3470228865528424</v>
      </c>
    </row>
    <row r="126" spans="1:6" x14ac:dyDescent="0.2">
      <c r="A126" t="str">
        <v>d_125</v>
      </c>
      <c r="B126" s="2">
        <v>40696</v>
      </c>
      <c r="C126" s="4">
        <v>2</v>
      </c>
      <c r="D126">
        <f>alpha1*C125+(1-alpha1)*D125</f>
        <v>0.94291602058698964</v>
      </c>
      <c r="E126" s="4">
        <f t="shared" si="2"/>
        <v>1.0570839794130102</v>
      </c>
      <c r="F126">
        <f t="shared" si="3"/>
        <v>1.0570839794130102</v>
      </c>
    </row>
    <row r="127" spans="1:6" x14ac:dyDescent="0.2">
      <c r="A127" t="str">
        <v>d_126</v>
      </c>
      <c r="B127" s="2">
        <v>40697</v>
      </c>
      <c r="C127" s="4">
        <v>0</v>
      </c>
      <c r="D127">
        <f>alpha1*C126+(1-alpha1)*D126</f>
        <v>1.2600412144108928</v>
      </c>
      <c r="E127" s="4">
        <f t="shared" si="2"/>
        <v>-1.2600412144108928</v>
      </c>
      <c r="F127">
        <f t="shared" si="3"/>
        <v>1.2600412144108928</v>
      </c>
    </row>
    <row r="128" spans="1:6" x14ac:dyDescent="0.2">
      <c r="A128" t="str">
        <v>d_127</v>
      </c>
      <c r="B128" s="2">
        <v>40698</v>
      </c>
      <c r="C128" s="4">
        <v>0</v>
      </c>
      <c r="D128">
        <f>alpha1*C127+(1-alpha1)*D127</f>
        <v>0.88202885008762488</v>
      </c>
      <c r="E128" s="4">
        <f t="shared" si="2"/>
        <v>-0.88202885008762488</v>
      </c>
      <c r="F128">
        <f t="shared" si="3"/>
        <v>0.88202885008762488</v>
      </c>
    </row>
    <row r="129" spans="1:6" x14ac:dyDescent="0.2">
      <c r="A129" t="str">
        <v>d_128</v>
      </c>
      <c r="B129" s="2">
        <v>40699</v>
      </c>
      <c r="C129" s="4">
        <v>0</v>
      </c>
      <c r="D129">
        <f>alpha1*C128+(1-alpha1)*D128</f>
        <v>0.61742019506133738</v>
      </c>
      <c r="E129" s="4">
        <f t="shared" si="2"/>
        <v>-0.61742019506133738</v>
      </c>
      <c r="F129">
        <f t="shared" si="3"/>
        <v>0.61742019506133738</v>
      </c>
    </row>
    <row r="130" spans="1:6" x14ac:dyDescent="0.2">
      <c r="A130" t="str">
        <v>d_129</v>
      </c>
      <c r="B130" s="2">
        <v>40700</v>
      </c>
      <c r="C130" s="4">
        <v>0</v>
      </c>
      <c r="D130">
        <f>alpha1*C129+(1-alpha1)*D129</f>
        <v>0.43219413654293615</v>
      </c>
      <c r="E130" s="4">
        <f t="shared" si="2"/>
        <v>-0.43219413654293615</v>
      </c>
      <c r="F130">
        <f t="shared" si="3"/>
        <v>0.43219413654293615</v>
      </c>
    </row>
    <row r="131" spans="1:6" x14ac:dyDescent="0.2">
      <c r="A131" t="str">
        <v>d_130</v>
      </c>
      <c r="B131" s="2">
        <v>40701</v>
      </c>
      <c r="C131" s="4">
        <v>0</v>
      </c>
      <c r="D131">
        <f>alpha1*C130+(1-alpha1)*D130</f>
        <v>0.30253589558005528</v>
      </c>
      <c r="E131" s="4">
        <f t="shared" ref="E131:E194" si="4">C131-D131</f>
        <v>-0.30253589558005528</v>
      </c>
      <c r="F131">
        <f t="shared" ref="F131:F194" si="5">ABS(E131)</f>
        <v>0.30253589558005528</v>
      </c>
    </row>
    <row r="132" spans="1:6" x14ac:dyDescent="0.2">
      <c r="A132" t="str">
        <v>d_131</v>
      </c>
      <c r="B132" s="2">
        <v>40702</v>
      </c>
      <c r="C132" s="4">
        <v>1</v>
      </c>
      <c r="D132">
        <f>alpha1*C131+(1-alpha1)*D131</f>
        <v>0.2117751269060387</v>
      </c>
      <c r="E132" s="4">
        <f t="shared" si="4"/>
        <v>0.78822487309396128</v>
      </c>
      <c r="F132">
        <f t="shared" si="5"/>
        <v>0.78822487309396128</v>
      </c>
    </row>
    <row r="133" spans="1:6" x14ac:dyDescent="0.2">
      <c r="A133" t="str">
        <v>d_132</v>
      </c>
      <c r="B133" s="2">
        <v>40703</v>
      </c>
      <c r="C133" s="4">
        <v>4</v>
      </c>
      <c r="D133">
        <f>alpha1*C132+(1-alpha1)*D132</f>
        <v>0.44824258883422707</v>
      </c>
      <c r="E133" s="4">
        <f t="shared" si="4"/>
        <v>3.5517574111657728</v>
      </c>
      <c r="F133">
        <f t="shared" si="5"/>
        <v>3.5517574111657728</v>
      </c>
    </row>
    <row r="134" spans="1:6" x14ac:dyDescent="0.2">
      <c r="A134" t="str">
        <v>d_133</v>
      </c>
      <c r="B134" s="2">
        <v>40704</v>
      </c>
      <c r="C134" s="4">
        <v>0</v>
      </c>
      <c r="D134">
        <f>alpha1*C133+(1-alpha1)*D133</f>
        <v>1.5137698121839589</v>
      </c>
      <c r="E134" s="4">
        <f t="shared" si="4"/>
        <v>-1.5137698121839589</v>
      </c>
      <c r="F134">
        <f t="shared" si="5"/>
        <v>1.5137698121839589</v>
      </c>
    </row>
    <row r="135" spans="1:6" x14ac:dyDescent="0.2">
      <c r="A135" t="str">
        <v>d_134</v>
      </c>
      <c r="B135" s="2">
        <v>40705</v>
      </c>
      <c r="C135" s="4">
        <v>0</v>
      </c>
      <c r="D135">
        <f>alpha1*C134+(1-alpha1)*D134</f>
        <v>1.0596388685287712</v>
      </c>
      <c r="E135" s="4">
        <f t="shared" si="4"/>
        <v>-1.0596388685287712</v>
      </c>
      <c r="F135">
        <f t="shared" si="5"/>
        <v>1.0596388685287712</v>
      </c>
    </row>
    <row r="136" spans="1:6" x14ac:dyDescent="0.2">
      <c r="A136" t="str">
        <v>d_135</v>
      </c>
      <c r="B136" s="2">
        <v>40706</v>
      </c>
      <c r="C136" s="4">
        <v>3</v>
      </c>
      <c r="D136">
        <f>alpha1*C135+(1-alpha1)*D135</f>
        <v>0.74174720797013982</v>
      </c>
      <c r="E136" s="4">
        <f t="shared" si="4"/>
        <v>2.2582527920298601</v>
      </c>
      <c r="F136">
        <f t="shared" si="5"/>
        <v>2.2582527920298601</v>
      </c>
    </row>
    <row r="137" spans="1:6" x14ac:dyDescent="0.2">
      <c r="A137" t="str">
        <v>d_136</v>
      </c>
      <c r="B137" s="2">
        <v>40707</v>
      </c>
      <c r="C137" s="4">
        <v>0</v>
      </c>
      <c r="D137">
        <f>alpha1*C136+(1-alpha1)*D136</f>
        <v>1.4192230455790977</v>
      </c>
      <c r="E137" s="4">
        <f t="shared" si="4"/>
        <v>-1.4192230455790977</v>
      </c>
      <c r="F137">
        <f t="shared" si="5"/>
        <v>1.4192230455790977</v>
      </c>
    </row>
    <row r="138" spans="1:6" x14ac:dyDescent="0.2">
      <c r="A138" t="str">
        <v>d_137</v>
      </c>
      <c r="B138" s="2">
        <v>40708</v>
      </c>
      <c r="C138" s="4">
        <v>1</v>
      </c>
      <c r="D138">
        <f>alpha1*C137+(1-alpha1)*D137</f>
        <v>0.9934561319053683</v>
      </c>
      <c r="E138" s="4">
        <f t="shared" si="4"/>
        <v>6.5438680946316996E-3</v>
      </c>
      <c r="F138">
        <f t="shared" si="5"/>
        <v>6.5438680946316996E-3</v>
      </c>
    </row>
    <row r="139" spans="1:6" x14ac:dyDescent="0.2">
      <c r="A139" t="str">
        <v>d_138</v>
      </c>
      <c r="B139" s="2">
        <v>40709</v>
      </c>
      <c r="C139" s="4">
        <v>1</v>
      </c>
      <c r="D139">
        <f>alpha1*C138+(1-alpha1)*D138</f>
        <v>0.9954192923337577</v>
      </c>
      <c r="E139" s="4">
        <f t="shared" si="4"/>
        <v>4.5807076662423007E-3</v>
      </c>
      <c r="F139">
        <f t="shared" si="5"/>
        <v>4.5807076662423007E-3</v>
      </c>
    </row>
    <row r="140" spans="1:6" x14ac:dyDescent="0.2">
      <c r="A140" t="str">
        <v>d_139</v>
      </c>
      <c r="B140" s="2">
        <v>40710</v>
      </c>
      <c r="C140" s="4">
        <v>0</v>
      </c>
      <c r="D140">
        <f>alpha1*C139+(1-alpha1)*D139</f>
        <v>0.99679350463363026</v>
      </c>
      <c r="E140" s="4">
        <f t="shared" si="4"/>
        <v>-0.99679350463363026</v>
      </c>
      <c r="F140">
        <f t="shared" si="5"/>
        <v>0.99679350463363026</v>
      </c>
    </row>
    <row r="141" spans="1:6" x14ac:dyDescent="0.2">
      <c r="A141" t="str">
        <v>d_140</v>
      </c>
      <c r="B141" s="2">
        <v>40711</v>
      </c>
      <c r="C141" s="4">
        <v>2</v>
      </c>
      <c r="D141">
        <f>alpha1*C140+(1-alpha1)*D140</f>
        <v>0.69775545324354116</v>
      </c>
      <c r="E141" s="4">
        <f t="shared" si="4"/>
        <v>1.3022445467564587</v>
      </c>
      <c r="F141">
        <f t="shared" si="5"/>
        <v>1.3022445467564587</v>
      </c>
    </row>
    <row r="142" spans="1:6" x14ac:dyDescent="0.2">
      <c r="A142" t="str">
        <v>d_141</v>
      </c>
      <c r="B142" s="2">
        <v>40712</v>
      </c>
      <c r="C142" s="4">
        <v>3</v>
      </c>
      <c r="D142">
        <f>alpha1*C141+(1-alpha1)*D141</f>
        <v>1.0884288172704788</v>
      </c>
      <c r="E142" s="4">
        <f t="shared" si="4"/>
        <v>1.9115711827295212</v>
      </c>
      <c r="F142">
        <f t="shared" si="5"/>
        <v>1.9115711827295212</v>
      </c>
    </row>
    <row r="143" spans="1:6" x14ac:dyDescent="0.2">
      <c r="A143" t="str">
        <v>d_142</v>
      </c>
      <c r="B143" s="2">
        <v>40713</v>
      </c>
      <c r="C143" s="4">
        <v>2</v>
      </c>
      <c r="D143">
        <f>alpha1*C142+(1-alpha1)*D142</f>
        <v>1.6619001720893349</v>
      </c>
      <c r="E143" s="4">
        <f t="shared" si="4"/>
        <v>0.33809982791066506</v>
      </c>
      <c r="F143">
        <f t="shared" si="5"/>
        <v>0.33809982791066506</v>
      </c>
    </row>
    <row r="144" spans="1:6" x14ac:dyDescent="0.2">
      <c r="A144" t="str">
        <v>d_143</v>
      </c>
      <c r="B144" s="2">
        <v>40714</v>
      </c>
      <c r="C144" s="4">
        <v>3</v>
      </c>
      <c r="D144">
        <f>alpha1*C143+(1-alpha1)*D143</f>
        <v>1.7633301204625345</v>
      </c>
      <c r="E144" s="4">
        <f t="shared" si="4"/>
        <v>1.2366698795374655</v>
      </c>
      <c r="F144">
        <f t="shared" si="5"/>
        <v>1.2366698795374655</v>
      </c>
    </row>
    <row r="145" spans="1:6" x14ac:dyDescent="0.2">
      <c r="A145" t="str">
        <v>d_144</v>
      </c>
      <c r="B145" s="2">
        <v>40715</v>
      </c>
      <c r="C145" s="4">
        <v>1</v>
      </c>
      <c r="D145">
        <f>alpha1*C144+(1-alpha1)*D144</f>
        <v>2.1343310843237742</v>
      </c>
      <c r="E145" s="4">
        <f t="shared" si="4"/>
        <v>-1.1343310843237742</v>
      </c>
      <c r="F145">
        <f t="shared" si="5"/>
        <v>1.1343310843237742</v>
      </c>
    </row>
    <row r="146" spans="1:6" x14ac:dyDescent="0.2">
      <c r="A146" t="str">
        <v>d_145</v>
      </c>
      <c r="B146" s="2">
        <v>40716</v>
      </c>
      <c r="C146" s="4">
        <v>1</v>
      </c>
      <c r="D146">
        <f>alpha1*C145+(1-alpha1)*D145</f>
        <v>1.7940317590266419</v>
      </c>
      <c r="E146" s="4">
        <f t="shared" si="4"/>
        <v>-0.79403175902664191</v>
      </c>
      <c r="F146">
        <f t="shared" si="5"/>
        <v>0.79403175902664191</v>
      </c>
    </row>
    <row r="147" spans="1:6" x14ac:dyDescent="0.2">
      <c r="A147" t="str">
        <v>d_146</v>
      </c>
      <c r="B147" s="2">
        <v>40717</v>
      </c>
      <c r="C147" s="4">
        <v>0</v>
      </c>
      <c r="D147">
        <f>alpha1*C146+(1-alpha1)*D146</f>
        <v>1.5558222313186494</v>
      </c>
      <c r="E147" s="4">
        <f t="shared" si="4"/>
        <v>-1.5558222313186494</v>
      </c>
      <c r="F147">
        <f t="shared" si="5"/>
        <v>1.5558222313186494</v>
      </c>
    </row>
    <row r="148" spans="1:6" x14ac:dyDescent="0.2">
      <c r="A148" t="str">
        <v>d_147</v>
      </c>
      <c r="B148" s="2">
        <v>40718</v>
      </c>
      <c r="C148" s="4">
        <v>2</v>
      </c>
      <c r="D148">
        <f>alpha1*C147+(1-alpha1)*D147</f>
        <v>1.0890755619230545</v>
      </c>
      <c r="E148" s="4">
        <f t="shared" si="4"/>
        <v>0.91092443807694545</v>
      </c>
      <c r="F148">
        <f t="shared" si="5"/>
        <v>0.91092443807694545</v>
      </c>
    </row>
    <row r="149" spans="1:6" x14ac:dyDescent="0.2">
      <c r="A149" t="str">
        <v>d_148</v>
      </c>
      <c r="B149" s="2">
        <v>40719</v>
      </c>
      <c r="C149" s="4">
        <v>1</v>
      </c>
      <c r="D149">
        <f>alpha1*C148+(1-alpha1)*D148</f>
        <v>1.362352893346138</v>
      </c>
      <c r="E149" s="4">
        <f t="shared" si="4"/>
        <v>-0.36235289334613796</v>
      </c>
      <c r="F149">
        <f t="shared" si="5"/>
        <v>0.36235289334613796</v>
      </c>
    </row>
    <row r="150" spans="1:6" x14ac:dyDescent="0.2">
      <c r="A150" t="str">
        <v>d_149</v>
      </c>
      <c r="B150" s="2">
        <v>40720</v>
      </c>
      <c r="C150" s="4">
        <v>0</v>
      </c>
      <c r="D150">
        <f>alpha1*C149+(1-alpha1)*D149</f>
        <v>1.2536470253422964</v>
      </c>
      <c r="E150" s="4">
        <f t="shared" si="4"/>
        <v>-1.2536470253422964</v>
      </c>
      <c r="F150">
        <f t="shared" si="5"/>
        <v>1.2536470253422964</v>
      </c>
    </row>
    <row r="151" spans="1:6" x14ac:dyDescent="0.2">
      <c r="A151" t="str">
        <v>d_150</v>
      </c>
      <c r="B151" s="2">
        <v>40721</v>
      </c>
      <c r="C151" s="4">
        <v>1</v>
      </c>
      <c r="D151">
        <f>alpha1*C150+(1-alpha1)*D150</f>
        <v>0.87755291773960742</v>
      </c>
      <c r="E151" s="4">
        <f t="shared" si="4"/>
        <v>0.12244708226039258</v>
      </c>
      <c r="F151">
        <f t="shared" si="5"/>
        <v>0.12244708226039258</v>
      </c>
    </row>
    <row r="152" spans="1:6" x14ac:dyDescent="0.2">
      <c r="A152" t="str">
        <v>d_151</v>
      </c>
      <c r="B152" s="2">
        <v>40722</v>
      </c>
      <c r="C152" s="4">
        <v>0</v>
      </c>
      <c r="D152">
        <f>alpha1*C151+(1-alpha1)*D151</f>
        <v>0.91428704241772518</v>
      </c>
      <c r="E152" s="4">
        <f t="shared" si="4"/>
        <v>-0.91428704241772518</v>
      </c>
      <c r="F152">
        <f t="shared" si="5"/>
        <v>0.91428704241772518</v>
      </c>
    </row>
    <row r="153" spans="1:6" x14ac:dyDescent="0.2">
      <c r="A153" t="str">
        <v>d_152</v>
      </c>
      <c r="B153" s="2">
        <v>40723</v>
      </c>
      <c r="C153" s="4">
        <v>0</v>
      </c>
      <c r="D153">
        <f>alpha1*C152+(1-alpha1)*D152</f>
        <v>0.64000092969240763</v>
      </c>
      <c r="E153" s="4">
        <f t="shared" si="4"/>
        <v>-0.64000092969240763</v>
      </c>
      <c r="F153">
        <f t="shared" si="5"/>
        <v>0.64000092969240763</v>
      </c>
    </row>
    <row r="154" spans="1:6" x14ac:dyDescent="0.2">
      <c r="A154" t="str">
        <v>d_153</v>
      </c>
      <c r="B154" s="2">
        <v>40724</v>
      </c>
      <c r="C154" s="4">
        <v>0</v>
      </c>
      <c r="D154">
        <f>alpha1*C153+(1-alpha1)*D153</f>
        <v>0.44800065078468532</v>
      </c>
      <c r="E154" s="4">
        <f t="shared" si="4"/>
        <v>-0.44800065078468532</v>
      </c>
      <c r="F154">
        <f t="shared" si="5"/>
        <v>0.44800065078468532</v>
      </c>
    </row>
    <row r="155" spans="1:6" x14ac:dyDescent="0.2">
      <c r="A155" t="str">
        <v>d_154</v>
      </c>
      <c r="B155" s="2">
        <v>40725</v>
      </c>
      <c r="C155" s="4">
        <v>0</v>
      </c>
      <c r="D155">
        <f>alpha1*C154+(1-alpha1)*D154</f>
        <v>0.31360045554927968</v>
      </c>
      <c r="E155" s="4">
        <f t="shared" si="4"/>
        <v>-0.31360045554927968</v>
      </c>
      <c r="F155">
        <f t="shared" si="5"/>
        <v>0.31360045554927968</v>
      </c>
    </row>
    <row r="156" spans="1:6" x14ac:dyDescent="0.2">
      <c r="A156" t="str">
        <v>d_155</v>
      </c>
      <c r="B156" s="2">
        <v>40726</v>
      </c>
      <c r="C156" s="4">
        <v>3</v>
      </c>
      <c r="D156">
        <f>alpha1*C155+(1-alpha1)*D155</f>
        <v>0.21952031888449575</v>
      </c>
      <c r="E156" s="4">
        <f t="shared" si="4"/>
        <v>2.7804796811155041</v>
      </c>
      <c r="F156">
        <f t="shared" si="5"/>
        <v>2.7804796811155041</v>
      </c>
    </row>
    <row r="157" spans="1:6" x14ac:dyDescent="0.2">
      <c r="A157" t="str">
        <v>d_156</v>
      </c>
      <c r="B157" s="2">
        <v>40727</v>
      </c>
      <c r="C157" s="4">
        <v>0</v>
      </c>
      <c r="D157">
        <f>alpha1*C156+(1-alpha1)*D156</f>
        <v>1.0536642232191469</v>
      </c>
      <c r="E157" s="4">
        <f t="shared" si="4"/>
        <v>-1.0536642232191469</v>
      </c>
      <c r="F157">
        <f t="shared" si="5"/>
        <v>1.0536642232191469</v>
      </c>
    </row>
    <row r="158" spans="1:6" x14ac:dyDescent="0.2">
      <c r="A158" t="str">
        <v>d_157</v>
      </c>
      <c r="B158" s="2">
        <v>40728</v>
      </c>
      <c r="C158" s="4">
        <v>1</v>
      </c>
      <c r="D158">
        <f>alpha1*C157+(1-alpha1)*D157</f>
        <v>0.73756495625340279</v>
      </c>
      <c r="E158" s="4">
        <f t="shared" si="4"/>
        <v>0.26243504374659721</v>
      </c>
      <c r="F158">
        <f t="shared" si="5"/>
        <v>0.26243504374659721</v>
      </c>
    </row>
    <row r="159" spans="1:6" x14ac:dyDescent="0.2">
      <c r="A159" t="str">
        <v>d_158</v>
      </c>
      <c r="B159" s="2">
        <v>40729</v>
      </c>
      <c r="C159" s="4">
        <v>0</v>
      </c>
      <c r="D159">
        <f>alpha1*C158+(1-alpha1)*D158</f>
        <v>0.81629546937738184</v>
      </c>
      <c r="E159" s="4">
        <f t="shared" si="4"/>
        <v>-0.81629546937738184</v>
      </c>
      <c r="F159">
        <f t="shared" si="5"/>
        <v>0.81629546937738184</v>
      </c>
    </row>
    <row r="160" spans="1:6" x14ac:dyDescent="0.2">
      <c r="A160" t="str">
        <v>d_159</v>
      </c>
      <c r="B160" s="2">
        <v>40730</v>
      </c>
      <c r="C160" s="4">
        <v>1</v>
      </c>
      <c r="D160">
        <f>alpha1*C159+(1-alpha1)*D159</f>
        <v>0.57140682856416725</v>
      </c>
      <c r="E160" s="4">
        <f t="shared" si="4"/>
        <v>0.42859317143583275</v>
      </c>
      <c r="F160">
        <f t="shared" si="5"/>
        <v>0.42859317143583275</v>
      </c>
    </row>
    <row r="161" spans="1:6" x14ac:dyDescent="0.2">
      <c r="A161" t="str">
        <v>d_160</v>
      </c>
      <c r="B161" s="2">
        <v>40731</v>
      </c>
      <c r="C161" s="4">
        <v>0</v>
      </c>
      <c r="D161">
        <f>alpha1*C160+(1-alpha1)*D160</f>
        <v>0.69998477999491704</v>
      </c>
      <c r="E161" s="4">
        <f t="shared" si="4"/>
        <v>-0.69998477999491704</v>
      </c>
      <c r="F161">
        <f t="shared" si="5"/>
        <v>0.69998477999491704</v>
      </c>
    </row>
    <row r="162" spans="1:6" x14ac:dyDescent="0.2">
      <c r="A162" t="str">
        <v>d_161</v>
      </c>
      <c r="B162" s="2">
        <v>40732</v>
      </c>
      <c r="C162" s="4">
        <v>1</v>
      </c>
      <c r="D162">
        <f>alpha1*C161+(1-alpha1)*D161</f>
        <v>0.48998934599644189</v>
      </c>
      <c r="E162" s="4">
        <f t="shared" si="4"/>
        <v>0.51001065400355805</v>
      </c>
      <c r="F162">
        <f t="shared" si="5"/>
        <v>0.51001065400355805</v>
      </c>
    </row>
    <row r="163" spans="1:6" x14ac:dyDescent="0.2">
      <c r="A163" t="str">
        <v>d_162</v>
      </c>
      <c r="B163" s="2">
        <v>40733</v>
      </c>
      <c r="C163" s="4">
        <v>2</v>
      </c>
      <c r="D163">
        <f>alpha1*C162+(1-alpha1)*D162</f>
        <v>0.64299254219750934</v>
      </c>
      <c r="E163" s="4">
        <f t="shared" si="4"/>
        <v>1.3570074578024907</v>
      </c>
      <c r="F163">
        <f t="shared" si="5"/>
        <v>1.3570074578024907</v>
      </c>
    </row>
    <row r="164" spans="1:6" x14ac:dyDescent="0.2">
      <c r="A164" t="str">
        <v>d_163</v>
      </c>
      <c r="B164" s="2">
        <v>40734</v>
      </c>
      <c r="C164" s="4">
        <v>0</v>
      </c>
      <c r="D164">
        <f>alpha1*C163+(1-alpha1)*D163</f>
        <v>1.0500947795382565</v>
      </c>
      <c r="E164" s="4">
        <f t="shared" si="4"/>
        <v>-1.0500947795382565</v>
      </c>
      <c r="F164">
        <f t="shared" si="5"/>
        <v>1.0500947795382565</v>
      </c>
    </row>
    <row r="165" spans="1:6" x14ac:dyDescent="0.2">
      <c r="A165" t="str">
        <v>d_164</v>
      </c>
      <c r="B165" s="2">
        <v>40735</v>
      </c>
      <c r="C165" s="4">
        <v>0</v>
      </c>
      <c r="D165">
        <f>alpha1*C164+(1-alpha1)*D164</f>
        <v>0.73506634567677953</v>
      </c>
      <c r="E165" s="4">
        <f t="shared" si="4"/>
        <v>-0.73506634567677953</v>
      </c>
      <c r="F165">
        <f t="shared" si="5"/>
        <v>0.73506634567677953</v>
      </c>
    </row>
    <row r="166" spans="1:6" x14ac:dyDescent="0.2">
      <c r="A166" t="str">
        <v>d_165</v>
      </c>
      <c r="B166" s="2">
        <v>40736</v>
      </c>
      <c r="C166" s="4">
        <v>4</v>
      </c>
      <c r="D166">
        <f>alpha1*C165+(1-alpha1)*D165</f>
        <v>0.51454644197374566</v>
      </c>
      <c r="E166" s="4">
        <f t="shared" si="4"/>
        <v>3.4854535580262542</v>
      </c>
      <c r="F166">
        <f t="shared" si="5"/>
        <v>3.4854535580262542</v>
      </c>
    </row>
    <row r="167" spans="1:6" x14ac:dyDescent="0.2">
      <c r="A167" t="str">
        <v>d_166</v>
      </c>
      <c r="B167" s="2">
        <v>40737</v>
      </c>
      <c r="C167" s="4">
        <v>0</v>
      </c>
      <c r="D167">
        <f>alpha1*C166+(1-alpha1)*D166</f>
        <v>1.560182509381622</v>
      </c>
      <c r="E167" s="4">
        <f t="shared" si="4"/>
        <v>-1.560182509381622</v>
      </c>
      <c r="F167">
        <f t="shared" si="5"/>
        <v>1.560182509381622</v>
      </c>
    </row>
    <row r="168" spans="1:6" x14ac:dyDescent="0.2">
      <c r="A168" t="str">
        <v>d_167</v>
      </c>
      <c r="B168" s="2">
        <v>40738</v>
      </c>
      <c r="C168" s="4">
        <v>1</v>
      </c>
      <c r="D168">
        <f>alpha1*C167+(1-alpha1)*D167</f>
        <v>1.0921277565671352</v>
      </c>
      <c r="E168" s="4">
        <f t="shared" si="4"/>
        <v>-9.2127756567135233E-2</v>
      </c>
      <c r="F168">
        <f t="shared" si="5"/>
        <v>9.2127756567135233E-2</v>
      </c>
    </row>
    <row r="169" spans="1:6" x14ac:dyDescent="0.2">
      <c r="A169" t="str">
        <v>d_168</v>
      </c>
      <c r="B169" s="2">
        <v>40739</v>
      </c>
      <c r="C169" s="4">
        <v>1</v>
      </c>
      <c r="D169">
        <f>alpha1*C168+(1-alpha1)*D168</f>
        <v>1.0644894295969947</v>
      </c>
      <c r="E169" s="4">
        <f t="shared" si="4"/>
        <v>-6.4489429596994663E-2</v>
      </c>
      <c r="F169">
        <f t="shared" si="5"/>
        <v>6.4489429596994663E-2</v>
      </c>
    </row>
    <row r="170" spans="1:6" x14ac:dyDescent="0.2">
      <c r="A170" t="str">
        <v>d_169</v>
      </c>
      <c r="B170" s="2">
        <v>40740</v>
      </c>
      <c r="C170" s="4">
        <v>1</v>
      </c>
      <c r="D170">
        <f>alpha1*C169+(1-alpha1)*D169</f>
        <v>1.0451426007178961</v>
      </c>
      <c r="E170" s="4">
        <f t="shared" si="4"/>
        <v>-4.5142600717896109E-2</v>
      </c>
      <c r="F170">
        <f t="shared" si="5"/>
        <v>4.5142600717896109E-2</v>
      </c>
    </row>
    <row r="171" spans="1:6" x14ac:dyDescent="0.2">
      <c r="A171" t="str">
        <v>d_170</v>
      </c>
      <c r="B171" s="2">
        <v>40741</v>
      </c>
      <c r="C171" s="4">
        <v>1</v>
      </c>
      <c r="D171">
        <f>alpha1*C170+(1-alpha1)*D170</f>
        <v>1.0315998205025272</v>
      </c>
      <c r="E171" s="4">
        <f t="shared" si="4"/>
        <v>-3.1599820502527187E-2</v>
      </c>
      <c r="F171">
        <f t="shared" si="5"/>
        <v>3.1599820502527187E-2</v>
      </c>
    </row>
    <row r="172" spans="1:6" x14ac:dyDescent="0.2">
      <c r="A172" t="str">
        <v>d_171</v>
      </c>
      <c r="B172" s="2">
        <v>40742</v>
      </c>
      <c r="C172" s="4">
        <v>1</v>
      </c>
      <c r="D172">
        <f>alpha1*C171+(1-alpha1)*D171</f>
        <v>1.022119874351769</v>
      </c>
      <c r="E172" s="4">
        <f t="shared" si="4"/>
        <v>-2.2119874351768987E-2</v>
      </c>
      <c r="F172">
        <f t="shared" si="5"/>
        <v>2.2119874351768987E-2</v>
      </c>
    </row>
    <row r="173" spans="1:6" x14ac:dyDescent="0.2">
      <c r="A173" t="str">
        <v>d_172</v>
      </c>
      <c r="B173" s="2">
        <v>40743</v>
      </c>
      <c r="C173" s="4">
        <v>1</v>
      </c>
      <c r="D173">
        <f>alpha1*C172+(1-alpha1)*D172</f>
        <v>1.0154839120462382</v>
      </c>
      <c r="E173" s="4">
        <f t="shared" si="4"/>
        <v>-1.5483912046238224E-2</v>
      </c>
      <c r="F173">
        <f t="shared" si="5"/>
        <v>1.5483912046238224E-2</v>
      </c>
    </row>
    <row r="174" spans="1:6" x14ac:dyDescent="0.2">
      <c r="A174" t="str">
        <v>d_173</v>
      </c>
      <c r="B174" s="2">
        <v>40744</v>
      </c>
      <c r="C174" s="4">
        <v>1</v>
      </c>
      <c r="D174">
        <f>alpha1*C173+(1-alpha1)*D173</f>
        <v>1.0108387384323667</v>
      </c>
      <c r="E174" s="4">
        <f t="shared" si="4"/>
        <v>-1.0838738432366712E-2</v>
      </c>
      <c r="F174">
        <f t="shared" si="5"/>
        <v>1.0838738432366712E-2</v>
      </c>
    </row>
    <row r="175" spans="1:6" x14ac:dyDescent="0.2">
      <c r="A175" t="str">
        <v>d_174</v>
      </c>
      <c r="B175" s="2">
        <v>40745</v>
      </c>
      <c r="C175" s="4">
        <v>2</v>
      </c>
      <c r="D175">
        <f>alpha1*C174+(1-alpha1)*D174</f>
        <v>1.0075871169026567</v>
      </c>
      <c r="E175" s="4">
        <f t="shared" si="4"/>
        <v>0.99241288309734332</v>
      </c>
      <c r="F175">
        <f t="shared" si="5"/>
        <v>0.99241288309734332</v>
      </c>
    </row>
    <row r="176" spans="1:6" x14ac:dyDescent="0.2">
      <c r="A176" t="str">
        <v>d_175</v>
      </c>
      <c r="B176" s="2">
        <v>40746</v>
      </c>
      <c r="C176" s="4">
        <v>0</v>
      </c>
      <c r="D176">
        <f>alpha1*C175+(1-alpha1)*D175</f>
        <v>1.3053109818318596</v>
      </c>
      <c r="E176" s="4">
        <f t="shared" si="4"/>
        <v>-1.3053109818318596</v>
      </c>
      <c r="F176">
        <f t="shared" si="5"/>
        <v>1.3053109818318596</v>
      </c>
    </row>
    <row r="177" spans="1:6" x14ac:dyDescent="0.2">
      <c r="A177" t="str">
        <v>d_176</v>
      </c>
      <c r="B177" s="2">
        <v>40747</v>
      </c>
      <c r="C177" s="4">
        <v>2</v>
      </c>
      <c r="D177">
        <f>alpha1*C176+(1-alpha1)*D176</f>
        <v>0.91371768728230163</v>
      </c>
      <c r="E177" s="4">
        <f t="shared" si="4"/>
        <v>1.0862823127176984</v>
      </c>
      <c r="F177">
        <f t="shared" si="5"/>
        <v>1.0862823127176984</v>
      </c>
    </row>
    <row r="178" spans="1:6" x14ac:dyDescent="0.2">
      <c r="A178" t="str">
        <v>d_177</v>
      </c>
      <c r="B178" s="2">
        <v>40748</v>
      </c>
      <c r="C178" s="4">
        <v>0</v>
      </c>
      <c r="D178">
        <f>alpha1*C177+(1-alpha1)*D177</f>
        <v>1.2396023810976111</v>
      </c>
      <c r="E178" s="4">
        <f t="shared" si="4"/>
        <v>-1.2396023810976111</v>
      </c>
      <c r="F178">
        <f t="shared" si="5"/>
        <v>1.2396023810976111</v>
      </c>
    </row>
    <row r="179" spans="1:6" x14ac:dyDescent="0.2">
      <c r="A179" t="str">
        <v>d_178</v>
      </c>
      <c r="B179" s="2">
        <v>40749</v>
      </c>
      <c r="C179" s="4">
        <v>0</v>
      </c>
      <c r="D179">
        <f>alpha1*C178+(1-alpha1)*D178</f>
        <v>0.86772166676832774</v>
      </c>
      <c r="E179" s="4">
        <f t="shared" si="4"/>
        <v>-0.86772166676832774</v>
      </c>
      <c r="F179">
        <f t="shared" si="5"/>
        <v>0.86772166676832774</v>
      </c>
    </row>
    <row r="180" spans="1:6" x14ac:dyDescent="0.2">
      <c r="A180" t="str">
        <v>d_179</v>
      </c>
      <c r="B180" s="2">
        <v>40750</v>
      </c>
      <c r="C180" s="4">
        <v>0</v>
      </c>
      <c r="D180">
        <f>alpha1*C179+(1-alpha1)*D179</f>
        <v>0.60740516673782941</v>
      </c>
      <c r="E180" s="4">
        <f t="shared" si="4"/>
        <v>-0.60740516673782941</v>
      </c>
      <c r="F180">
        <f t="shared" si="5"/>
        <v>0.60740516673782941</v>
      </c>
    </row>
    <row r="181" spans="1:6" x14ac:dyDescent="0.2">
      <c r="A181" t="str">
        <v>d_180</v>
      </c>
      <c r="B181" s="2">
        <v>40751</v>
      </c>
      <c r="C181" s="4">
        <v>1</v>
      </c>
      <c r="D181">
        <f>alpha1*C180+(1-alpha1)*D180</f>
        <v>0.42518361671648058</v>
      </c>
      <c r="E181" s="4">
        <f t="shared" si="4"/>
        <v>0.57481638328351936</v>
      </c>
      <c r="F181">
        <f t="shared" si="5"/>
        <v>0.57481638328351936</v>
      </c>
    </row>
    <row r="182" spans="1:6" x14ac:dyDescent="0.2">
      <c r="A182" t="str">
        <v>d_181</v>
      </c>
      <c r="B182" s="2">
        <v>40752</v>
      </c>
      <c r="C182" s="4">
        <v>0</v>
      </c>
      <c r="D182">
        <f>alpha1*C181+(1-alpha1)*D181</f>
        <v>0.5976285317015364</v>
      </c>
      <c r="E182" s="4">
        <f t="shared" si="4"/>
        <v>-0.5976285317015364</v>
      </c>
      <c r="F182">
        <f t="shared" si="5"/>
        <v>0.5976285317015364</v>
      </c>
    </row>
    <row r="183" spans="1:6" x14ac:dyDescent="0.2">
      <c r="A183" t="str">
        <v>d_182</v>
      </c>
      <c r="B183" s="2">
        <v>40753</v>
      </c>
      <c r="C183" s="4">
        <v>2</v>
      </c>
      <c r="D183">
        <f>alpha1*C182+(1-alpha1)*D182</f>
        <v>0.41833997219107544</v>
      </c>
      <c r="E183" s="4">
        <f t="shared" si="4"/>
        <v>1.5816600278089246</v>
      </c>
      <c r="F183">
        <f t="shared" si="5"/>
        <v>1.5816600278089246</v>
      </c>
    </row>
    <row r="184" spans="1:6" x14ac:dyDescent="0.2">
      <c r="A184" t="str">
        <v>d_183</v>
      </c>
      <c r="B184" s="2">
        <v>40754</v>
      </c>
      <c r="C184" s="4">
        <v>0</v>
      </c>
      <c r="D184">
        <f>alpha1*C183+(1-alpha1)*D183</f>
        <v>0.89283798053375274</v>
      </c>
      <c r="E184" s="4">
        <f t="shared" si="4"/>
        <v>-0.89283798053375274</v>
      </c>
      <c r="F184">
        <f t="shared" si="5"/>
        <v>0.89283798053375274</v>
      </c>
    </row>
    <row r="185" spans="1:6" x14ac:dyDescent="0.2">
      <c r="A185" t="str">
        <v>d_184</v>
      </c>
      <c r="B185" s="2">
        <v>40755</v>
      </c>
      <c r="C185" s="4">
        <v>1</v>
      </c>
      <c r="D185">
        <f>alpha1*C184+(1-alpha1)*D184</f>
        <v>0.62498658637362692</v>
      </c>
      <c r="E185" s="4">
        <f t="shared" si="4"/>
        <v>0.37501341362637308</v>
      </c>
      <c r="F185">
        <f t="shared" si="5"/>
        <v>0.37501341362637308</v>
      </c>
    </row>
    <row r="186" spans="1:6" x14ac:dyDescent="0.2">
      <c r="A186" t="str">
        <v>d_185</v>
      </c>
      <c r="B186" s="2">
        <v>40756</v>
      </c>
      <c r="C186" s="4">
        <v>0</v>
      </c>
      <c r="D186">
        <f>alpha1*C185+(1-alpha1)*D185</f>
        <v>0.73749061046153885</v>
      </c>
      <c r="E186" s="4">
        <f t="shared" si="4"/>
        <v>-0.73749061046153885</v>
      </c>
      <c r="F186">
        <f t="shared" si="5"/>
        <v>0.73749061046153885</v>
      </c>
    </row>
    <row r="187" spans="1:6" x14ac:dyDescent="0.2">
      <c r="A187" t="str">
        <v>d_186</v>
      </c>
      <c r="B187" s="2">
        <v>40757</v>
      </c>
      <c r="C187" s="4">
        <v>0</v>
      </c>
      <c r="D187">
        <f>alpha1*C186+(1-alpha1)*D186</f>
        <v>0.51624342732307715</v>
      </c>
      <c r="E187" s="4">
        <f t="shared" si="4"/>
        <v>-0.51624342732307715</v>
      </c>
      <c r="F187">
        <f t="shared" si="5"/>
        <v>0.51624342732307715</v>
      </c>
    </row>
    <row r="188" spans="1:6" x14ac:dyDescent="0.2">
      <c r="A188" t="str">
        <v>d_187</v>
      </c>
      <c r="B188" s="2">
        <v>40758</v>
      </c>
      <c r="C188" s="4">
        <v>1</v>
      </c>
      <c r="D188">
        <f>alpha1*C187+(1-alpha1)*D187</f>
        <v>0.36137039912615398</v>
      </c>
      <c r="E188" s="4">
        <f t="shared" si="4"/>
        <v>0.63862960087384602</v>
      </c>
      <c r="F188">
        <f t="shared" si="5"/>
        <v>0.63862960087384602</v>
      </c>
    </row>
    <row r="189" spans="1:6" x14ac:dyDescent="0.2">
      <c r="A189" t="str">
        <v>d_188</v>
      </c>
      <c r="B189" s="2">
        <v>40759</v>
      </c>
      <c r="C189" s="4">
        <v>1</v>
      </c>
      <c r="D189">
        <f>alpha1*C188+(1-alpha1)*D188</f>
        <v>0.5529592793883078</v>
      </c>
      <c r="E189" s="4">
        <f t="shared" si="4"/>
        <v>0.4470407206116922</v>
      </c>
      <c r="F189">
        <f t="shared" si="5"/>
        <v>0.4470407206116922</v>
      </c>
    </row>
    <row r="190" spans="1:6" x14ac:dyDescent="0.2">
      <c r="A190" t="str">
        <v>d_189</v>
      </c>
      <c r="B190" s="2">
        <v>40760</v>
      </c>
      <c r="C190" s="4">
        <v>0</v>
      </c>
      <c r="D190">
        <f>alpha1*C189+(1-alpha1)*D189</f>
        <v>0.68707149557181535</v>
      </c>
      <c r="E190" s="4">
        <f t="shared" si="4"/>
        <v>-0.68707149557181535</v>
      </c>
      <c r="F190">
        <f t="shared" si="5"/>
        <v>0.68707149557181535</v>
      </c>
    </row>
    <row r="191" spans="1:6" x14ac:dyDescent="0.2">
      <c r="A191" t="str">
        <v>d_190</v>
      </c>
      <c r="B191" s="2">
        <v>40761</v>
      </c>
      <c r="C191" s="4">
        <v>0</v>
      </c>
      <c r="D191">
        <f>alpha1*C190+(1-alpha1)*D190</f>
        <v>0.48095004690027071</v>
      </c>
      <c r="E191" s="4">
        <f t="shared" si="4"/>
        <v>-0.48095004690027071</v>
      </c>
      <c r="F191">
        <f t="shared" si="5"/>
        <v>0.48095004690027071</v>
      </c>
    </row>
    <row r="192" spans="1:6" x14ac:dyDescent="0.2">
      <c r="A192" t="str">
        <v>d_191</v>
      </c>
      <c r="B192" s="2">
        <v>40762</v>
      </c>
      <c r="C192" s="4">
        <v>0</v>
      </c>
      <c r="D192">
        <f>alpha1*C191+(1-alpha1)*D191</f>
        <v>0.3366650328301895</v>
      </c>
      <c r="E192" s="4">
        <f t="shared" si="4"/>
        <v>-0.3366650328301895</v>
      </c>
      <c r="F192">
        <f t="shared" si="5"/>
        <v>0.3366650328301895</v>
      </c>
    </row>
    <row r="193" spans="1:6" x14ac:dyDescent="0.2">
      <c r="A193" t="str">
        <v>d_192</v>
      </c>
      <c r="B193" s="2">
        <v>40763</v>
      </c>
      <c r="C193" s="4">
        <v>0</v>
      </c>
      <c r="D193">
        <f>alpha1*C192+(1-alpha1)*D192</f>
        <v>0.23566552298113264</v>
      </c>
      <c r="E193" s="4">
        <f t="shared" si="4"/>
        <v>-0.23566552298113264</v>
      </c>
      <c r="F193">
        <f t="shared" si="5"/>
        <v>0.23566552298113264</v>
      </c>
    </row>
    <row r="194" spans="1:6" x14ac:dyDescent="0.2">
      <c r="A194" t="str">
        <v>d_193</v>
      </c>
      <c r="B194" s="2">
        <v>40764</v>
      </c>
      <c r="C194" s="4">
        <v>0</v>
      </c>
      <c r="D194">
        <f>alpha1*C193+(1-alpha1)*D193</f>
        <v>0.16496586608679284</v>
      </c>
      <c r="E194" s="4">
        <f t="shared" si="4"/>
        <v>-0.16496586608679284</v>
      </c>
      <c r="F194">
        <f t="shared" si="5"/>
        <v>0.16496586608679284</v>
      </c>
    </row>
    <row r="195" spans="1:6" x14ac:dyDescent="0.2">
      <c r="A195" t="str">
        <v>d_194</v>
      </c>
      <c r="B195" s="2">
        <v>40765</v>
      </c>
      <c r="C195" s="4">
        <v>0</v>
      </c>
      <c r="D195">
        <f>alpha1*C194+(1-alpha1)*D194</f>
        <v>0.11547610626075498</v>
      </c>
      <c r="E195" s="4">
        <f t="shared" ref="E195:E258" si="6">C195-D195</f>
        <v>-0.11547610626075498</v>
      </c>
      <c r="F195">
        <f t="shared" ref="F195:F258" si="7">ABS(E195)</f>
        <v>0.11547610626075498</v>
      </c>
    </row>
    <row r="196" spans="1:6" x14ac:dyDescent="0.2">
      <c r="A196" t="str">
        <v>d_195</v>
      </c>
      <c r="B196" s="2">
        <v>40766</v>
      </c>
      <c r="C196" s="4">
        <v>0</v>
      </c>
      <c r="D196">
        <f>alpha1*C195+(1-alpha1)*D195</f>
        <v>8.0833274382528478E-2</v>
      </c>
      <c r="E196" s="4">
        <f t="shared" si="6"/>
        <v>-8.0833274382528478E-2</v>
      </c>
      <c r="F196">
        <f t="shared" si="7"/>
        <v>8.0833274382528478E-2</v>
      </c>
    </row>
    <row r="197" spans="1:6" x14ac:dyDescent="0.2">
      <c r="A197" t="str">
        <v>d_196</v>
      </c>
      <c r="B197" s="2">
        <v>40767</v>
      </c>
      <c r="C197" s="4">
        <v>0</v>
      </c>
      <c r="D197">
        <f>alpha1*C196+(1-alpha1)*D196</f>
        <v>5.6583292067769929E-2</v>
      </c>
      <c r="E197" s="4">
        <f t="shared" si="6"/>
        <v>-5.6583292067769929E-2</v>
      </c>
      <c r="F197">
        <f t="shared" si="7"/>
        <v>5.6583292067769929E-2</v>
      </c>
    </row>
    <row r="198" spans="1:6" x14ac:dyDescent="0.2">
      <c r="A198" t="str">
        <v>d_197</v>
      </c>
      <c r="B198" s="2">
        <v>40768</v>
      </c>
      <c r="C198" s="4">
        <v>0</v>
      </c>
      <c r="D198">
        <f>alpha1*C197+(1-alpha1)*D197</f>
        <v>3.9608304447438951E-2</v>
      </c>
      <c r="E198" s="4">
        <f t="shared" si="6"/>
        <v>-3.9608304447438951E-2</v>
      </c>
      <c r="F198">
        <f t="shared" si="7"/>
        <v>3.9608304447438951E-2</v>
      </c>
    </row>
    <row r="199" spans="1:6" x14ac:dyDescent="0.2">
      <c r="A199" t="str">
        <v>d_198</v>
      </c>
      <c r="B199" s="2">
        <v>40769</v>
      </c>
      <c r="C199" s="4">
        <v>0</v>
      </c>
      <c r="D199">
        <f>alpha1*C198+(1-alpha1)*D198</f>
        <v>2.7725813113207265E-2</v>
      </c>
      <c r="E199" s="4">
        <f t="shared" si="6"/>
        <v>-2.7725813113207265E-2</v>
      </c>
      <c r="F199">
        <f t="shared" si="7"/>
        <v>2.7725813113207265E-2</v>
      </c>
    </row>
    <row r="200" spans="1:6" x14ac:dyDescent="0.2">
      <c r="A200" t="str">
        <v>d_199</v>
      </c>
      <c r="B200" s="2">
        <v>40770</v>
      </c>
      <c r="C200" s="4">
        <v>0</v>
      </c>
      <c r="D200">
        <f>alpha1*C199+(1-alpha1)*D199</f>
        <v>1.9408069179245084E-2</v>
      </c>
      <c r="E200" s="4">
        <f t="shared" si="6"/>
        <v>-1.9408069179245084E-2</v>
      </c>
      <c r="F200">
        <f t="shared" si="7"/>
        <v>1.9408069179245084E-2</v>
      </c>
    </row>
    <row r="201" spans="1:6" x14ac:dyDescent="0.2">
      <c r="A201" t="str">
        <v>d_200</v>
      </c>
      <c r="B201" s="2">
        <v>40771</v>
      </c>
      <c r="C201" s="4">
        <v>0</v>
      </c>
      <c r="D201">
        <f>alpha1*C200+(1-alpha1)*D200</f>
        <v>1.3585648425471558E-2</v>
      </c>
      <c r="E201" s="4">
        <f t="shared" si="6"/>
        <v>-1.3585648425471558E-2</v>
      </c>
      <c r="F201">
        <f t="shared" si="7"/>
        <v>1.3585648425471558E-2</v>
      </c>
    </row>
    <row r="202" spans="1:6" x14ac:dyDescent="0.2">
      <c r="A202" t="str">
        <v>d_201</v>
      </c>
      <c r="B202" s="2">
        <v>40772</v>
      </c>
      <c r="C202" s="4">
        <v>0</v>
      </c>
      <c r="D202">
        <f>alpha1*C201+(1-alpha1)*D201</f>
        <v>9.5099538978300896E-3</v>
      </c>
      <c r="E202" s="4">
        <f t="shared" si="6"/>
        <v>-9.5099538978300896E-3</v>
      </c>
      <c r="F202">
        <f t="shared" si="7"/>
        <v>9.5099538978300896E-3</v>
      </c>
    </row>
    <row r="203" spans="1:6" x14ac:dyDescent="0.2">
      <c r="A203" t="str">
        <v>d_202</v>
      </c>
      <c r="B203" s="2">
        <v>40773</v>
      </c>
      <c r="C203" s="4">
        <v>0</v>
      </c>
      <c r="D203">
        <f>alpha1*C202+(1-alpha1)*D202</f>
        <v>6.6569677284810625E-3</v>
      </c>
      <c r="E203" s="4">
        <f t="shared" si="6"/>
        <v>-6.6569677284810625E-3</v>
      </c>
      <c r="F203">
        <f t="shared" si="7"/>
        <v>6.6569677284810625E-3</v>
      </c>
    </row>
    <row r="204" spans="1:6" x14ac:dyDescent="0.2">
      <c r="A204" t="str">
        <v>d_203</v>
      </c>
      <c r="B204" s="2">
        <v>40774</v>
      </c>
      <c r="C204" s="4">
        <v>0</v>
      </c>
      <c r="D204">
        <f>alpha1*C203+(1-alpha1)*D203</f>
        <v>4.6598774099367432E-3</v>
      </c>
      <c r="E204" s="4">
        <f t="shared" si="6"/>
        <v>-4.6598774099367432E-3</v>
      </c>
      <c r="F204">
        <f t="shared" si="7"/>
        <v>4.6598774099367432E-3</v>
      </c>
    </row>
    <row r="205" spans="1:6" x14ac:dyDescent="0.2">
      <c r="A205" t="str">
        <v>d_204</v>
      </c>
      <c r="B205" s="2">
        <v>40775</v>
      </c>
      <c r="C205" s="4">
        <v>0</v>
      </c>
      <c r="D205">
        <f>alpha1*C204+(1-alpha1)*D204</f>
        <v>3.2619141869557199E-3</v>
      </c>
      <c r="E205" s="4">
        <f t="shared" si="6"/>
        <v>-3.2619141869557199E-3</v>
      </c>
      <c r="F205">
        <f t="shared" si="7"/>
        <v>3.2619141869557199E-3</v>
      </c>
    </row>
    <row r="206" spans="1:6" x14ac:dyDescent="0.2">
      <c r="A206" t="str">
        <v>d_205</v>
      </c>
      <c r="B206" s="2">
        <v>40776</v>
      </c>
      <c r="C206" s="4">
        <v>0</v>
      </c>
      <c r="D206">
        <f>alpha1*C205+(1-alpha1)*D205</f>
        <v>2.283339930869004E-3</v>
      </c>
      <c r="E206" s="4">
        <f t="shared" si="6"/>
        <v>-2.283339930869004E-3</v>
      </c>
      <c r="F206">
        <f t="shared" si="7"/>
        <v>2.283339930869004E-3</v>
      </c>
    </row>
    <row r="207" spans="1:6" x14ac:dyDescent="0.2">
      <c r="A207" t="str">
        <v>d_206</v>
      </c>
      <c r="B207" s="2">
        <v>40777</v>
      </c>
      <c r="C207" s="4">
        <v>0</v>
      </c>
      <c r="D207">
        <f>alpha1*C206+(1-alpha1)*D206</f>
        <v>1.5983379516083026E-3</v>
      </c>
      <c r="E207" s="4">
        <f t="shared" si="6"/>
        <v>-1.5983379516083026E-3</v>
      </c>
      <c r="F207">
        <f t="shared" si="7"/>
        <v>1.5983379516083026E-3</v>
      </c>
    </row>
    <row r="208" spans="1:6" x14ac:dyDescent="0.2">
      <c r="A208" t="str">
        <v>d_207</v>
      </c>
      <c r="B208" s="2">
        <v>40778</v>
      </c>
      <c r="C208" s="4">
        <v>0</v>
      </c>
      <c r="D208">
        <f>alpha1*C207+(1-alpha1)*D207</f>
        <v>1.1188365661258118E-3</v>
      </c>
      <c r="E208" s="4">
        <f t="shared" si="6"/>
        <v>-1.1188365661258118E-3</v>
      </c>
      <c r="F208">
        <f t="shared" si="7"/>
        <v>1.1188365661258118E-3</v>
      </c>
    </row>
    <row r="209" spans="1:6" x14ac:dyDescent="0.2">
      <c r="A209" t="str">
        <v>d_208</v>
      </c>
      <c r="B209" s="2">
        <v>40779</v>
      </c>
      <c r="C209" s="4">
        <v>0</v>
      </c>
      <c r="D209">
        <f>alpha1*C208+(1-alpha1)*D208</f>
        <v>7.8318559628806823E-4</v>
      </c>
      <c r="E209" s="4">
        <f t="shared" si="6"/>
        <v>-7.8318559628806823E-4</v>
      </c>
      <c r="F209">
        <f t="shared" si="7"/>
        <v>7.8318559628806823E-4</v>
      </c>
    </row>
    <row r="210" spans="1:6" x14ac:dyDescent="0.2">
      <c r="A210" t="str">
        <v>d_209</v>
      </c>
      <c r="B210" s="2">
        <v>40780</v>
      </c>
      <c r="C210" s="4">
        <v>0</v>
      </c>
      <c r="D210">
        <f>alpha1*C209+(1-alpha1)*D209</f>
        <v>5.4822991740164772E-4</v>
      </c>
      <c r="E210" s="4">
        <f t="shared" si="6"/>
        <v>-5.4822991740164772E-4</v>
      </c>
      <c r="F210">
        <f t="shared" si="7"/>
        <v>5.4822991740164772E-4</v>
      </c>
    </row>
    <row r="211" spans="1:6" x14ac:dyDescent="0.2">
      <c r="A211" t="str">
        <v>d_210</v>
      </c>
      <c r="B211" s="2">
        <v>40781</v>
      </c>
      <c r="C211" s="4">
        <v>0</v>
      </c>
      <c r="D211">
        <f>alpha1*C210+(1-alpha1)*D210</f>
        <v>3.8376094218115338E-4</v>
      </c>
      <c r="E211" s="4">
        <f t="shared" si="6"/>
        <v>-3.8376094218115338E-4</v>
      </c>
      <c r="F211">
        <f t="shared" si="7"/>
        <v>3.8376094218115338E-4</v>
      </c>
    </row>
    <row r="212" spans="1:6" x14ac:dyDescent="0.2">
      <c r="A212" t="str">
        <v>d_211</v>
      </c>
      <c r="B212" s="2">
        <v>40782</v>
      </c>
      <c r="C212" s="4">
        <v>0</v>
      </c>
      <c r="D212">
        <f>alpha1*C211+(1-alpha1)*D211</f>
        <v>2.6863265952680734E-4</v>
      </c>
      <c r="E212" s="4">
        <f t="shared" si="6"/>
        <v>-2.6863265952680734E-4</v>
      </c>
      <c r="F212">
        <f t="shared" si="7"/>
        <v>2.6863265952680734E-4</v>
      </c>
    </row>
    <row r="213" spans="1:6" x14ac:dyDescent="0.2">
      <c r="A213" t="str">
        <v>d_212</v>
      </c>
      <c r="B213" s="2">
        <v>40783</v>
      </c>
      <c r="C213" s="4">
        <v>0</v>
      </c>
      <c r="D213">
        <f>alpha1*C212+(1-alpha1)*D212</f>
        <v>1.8804286166876512E-4</v>
      </c>
      <c r="E213" s="4">
        <f t="shared" si="6"/>
        <v>-1.8804286166876512E-4</v>
      </c>
      <c r="F213">
        <f t="shared" si="7"/>
        <v>1.8804286166876512E-4</v>
      </c>
    </row>
    <row r="214" spans="1:6" x14ac:dyDescent="0.2">
      <c r="A214" t="str">
        <v>d_213</v>
      </c>
      <c r="B214" s="2">
        <v>40784</v>
      </c>
      <c r="C214" s="4">
        <v>0</v>
      </c>
      <c r="D214">
        <f>alpha1*C213+(1-alpha1)*D213</f>
        <v>1.3163000316813558E-4</v>
      </c>
      <c r="E214" s="4">
        <f t="shared" si="6"/>
        <v>-1.3163000316813558E-4</v>
      </c>
      <c r="F214">
        <f t="shared" si="7"/>
        <v>1.3163000316813558E-4</v>
      </c>
    </row>
    <row r="215" spans="1:6" x14ac:dyDescent="0.2">
      <c r="A215" t="str">
        <v>d_214</v>
      </c>
      <c r="B215" s="2">
        <v>40785</v>
      </c>
      <c r="C215" s="4">
        <v>0</v>
      </c>
      <c r="D215">
        <f>alpha1*C214+(1-alpha1)*D214</f>
        <v>9.2141002217694897E-5</v>
      </c>
      <c r="E215" s="4">
        <f t="shared" si="6"/>
        <v>-9.2141002217694897E-5</v>
      </c>
      <c r="F215">
        <f t="shared" si="7"/>
        <v>9.2141002217694897E-5</v>
      </c>
    </row>
    <row r="216" spans="1:6" x14ac:dyDescent="0.2">
      <c r="A216" t="str">
        <v>d_215</v>
      </c>
      <c r="B216" s="2">
        <v>40786</v>
      </c>
      <c r="C216" s="4">
        <v>0</v>
      </c>
      <c r="D216">
        <f>alpha1*C215+(1-alpha1)*D215</f>
        <v>6.449870155238642E-5</v>
      </c>
      <c r="E216" s="4">
        <f t="shared" si="6"/>
        <v>-6.449870155238642E-5</v>
      </c>
      <c r="F216">
        <f t="shared" si="7"/>
        <v>6.449870155238642E-5</v>
      </c>
    </row>
    <row r="217" spans="1:6" x14ac:dyDescent="0.2">
      <c r="A217" t="str">
        <v>d_216</v>
      </c>
      <c r="B217" s="2">
        <v>40787</v>
      </c>
      <c r="C217" s="4">
        <v>0</v>
      </c>
      <c r="D217">
        <f>alpha1*C216+(1-alpha1)*D216</f>
        <v>4.5149091086670491E-5</v>
      </c>
      <c r="E217" s="4">
        <f t="shared" si="6"/>
        <v>-4.5149091086670491E-5</v>
      </c>
      <c r="F217">
        <f t="shared" si="7"/>
        <v>4.5149091086670491E-5</v>
      </c>
    </row>
    <row r="218" spans="1:6" x14ac:dyDescent="0.2">
      <c r="A218" t="str">
        <v>d_217</v>
      </c>
      <c r="B218" s="2">
        <v>40788</v>
      </c>
      <c r="C218" s="4">
        <v>0</v>
      </c>
      <c r="D218">
        <f>alpha1*C217+(1-alpha1)*D217</f>
        <v>3.1604363760669343E-5</v>
      </c>
      <c r="E218" s="4">
        <f t="shared" si="6"/>
        <v>-3.1604363760669343E-5</v>
      </c>
      <c r="F218">
        <f t="shared" si="7"/>
        <v>3.1604363760669343E-5</v>
      </c>
    </row>
    <row r="219" spans="1:6" x14ac:dyDescent="0.2">
      <c r="A219" t="str">
        <v>d_218</v>
      </c>
      <c r="B219" s="2">
        <v>40789</v>
      </c>
      <c r="C219" s="4">
        <v>0</v>
      </c>
      <c r="D219">
        <f>alpha1*C218+(1-alpha1)*D218</f>
        <v>2.212305463246854E-5</v>
      </c>
      <c r="E219" s="4">
        <f t="shared" si="6"/>
        <v>-2.212305463246854E-5</v>
      </c>
      <c r="F219">
        <f t="shared" si="7"/>
        <v>2.212305463246854E-5</v>
      </c>
    </row>
    <row r="220" spans="1:6" x14ac:dyDescent="0.2">
      <c r="A220" t="str">
        <v>d_219</v>
      </c>
      <c r="B220" s="2">
        <v>40790</v>
      </c>
      <c r="C220" s="4">
        <v>0</v>
      </c>
      <c r="D220">
        <f>alpha1*C219+(1-alpha1)*D219</f>
        <v>1.5486138242727979E-5</v>
      </c>
      <c r="E220" s="4">
        <f t="shared" si="6"/>
        <v>-1.5486138242727979E-5</v>
      </c>
      <c r="F220">
        <f t="shared" si="7"/>
        <v>1.5486138242727979E-5</v>
      </c>
    </row>
    <row r="221" spans="1:6" x14ac:dyDescent="0.2">
      <c r="A221" t="str">
        <v>d_220</v>
      </c>
      <c r="B221" s="2">
        <v>40791</v>
      </c>
      <c r="C221" s="4">
        <v>0</v>
      </c>
      <c r="D221">
        <f>alpha1*C220+(1-alpha1)*D220</f>
        <v>1.0840296769909584E-5</v>
      </c>
      <c r="E221" s="4">
        <f t="shared" si="6"/>
        <v>-1.0840296769909584E-5</v>
      </c>
      <c r="F221">
        <f t="shared" si="7"/>
        <v>1.0840296769909584E-5</v>
      </c>
    </row>
    <row r="222" spans="1:6" x14ac:dyDescent="0.2">
      <c r="A222" t="str">
        <v>d_221</v>
      </c>
      <c r="B222" s="2">
        <v>40792</v>
      </c>
      <c r="C222" s="4">
        <v>0</v>
      </c>
      <c r="D222">
        <f>alpha1*C221+(1-alpha1)*D221</f>
        <v>7.5882077389367078E-6</v>
      </c>
      <c r="E222" s="4">
        <f t="shared" si="6"/>
        <v>-7.5882077389367078E-6</v>
      </c>
      <c r="F222">
        <f t="shared" si="7"/>
        <v>7.5882077389367078E-6</v>
      </c>
    </row>
    <row r="223" spans="1:6" x14ac:dyDescent="0.2">
      <c r="A223" t="str">
        <v>d_222</v>
      </c>
      <c r="B223" s="2">
        <v>40793</v>
      </c>
      <c r="C223" s="4">
        <v>0</v>
      </c>
      <c r="D223">
        <f>alpha1*C222+(1-alpha1)*D222</f>
        <v>5.3117454172556949E-6</v>
      </c>
      <c r="E223" s="4">
        <f t="shared" si="6"/>
        <v>-5.3117454172556949E-6</v>
      </c>
      <c r="F223">
        <f t="shared" si="7"/>
        <v>5.3117454172556949E-6</v>
      </c>
    </row>
    <row r="224" spans="1:6" x14ac:dyDescent="0.2">
      <c r="A224" t="str">
        <v>d_223</v>
      </c>
      <c r="B224" s="2">
        <v>40794</v>
      </c>
      <c r="C224" s="4">
        <v>0</v>
      </c>
      <c r="D224">
        <f>alpha1*C223+(1-alpha1)*D223</f>
        <v>3.7182217920789863E-6</v>
      </c>
      <c r="E224" s="4">
        <f t="shared" si="6"/>
        <v>-3.7182217920789863E-6</v>
      </c>
      <c r="F224">
        <f t="shared" si="7"/>
        <v>3.7182217920789863E-6</v>
      </c>
    </row>
    <row r="225" spans="1:6" x14ac:dyDescent="0.2">
      <c r="A225" t="str">
        <v>d_224</v>
      </c>
      <c r="B225" s="2">
        <v>40795</v>
      </c>
      <c r="C225" s="4">
        <v>0</v>
      </c>
      <c r="D225">
        <f>alpha1*C224+(1-alpha1)*D224</f>
        <v>2.6027552544552904E-6</v>
      </c>
      <c r="E225" s="4">
        <f t="shared" si="6"/>
        <v>-2.6027552544552904E-6</v>
      </c>
      <c r="F225">
        <f t="shared" si="7"/>
        <v>2.6027552544552904E-6</v>
      </c>
    </row>
    <row r="226" spans="1:6" x14ac:dyDescent="0.2">
      <c r="A226" t="str">
        <v>d_225</v>
      </c>
      <c r="B226" s="2">
        <v>40796</v>
      </c>
      <c r="C226" s="4">
        <v>0</v>
      </c>
      <c r="D226">
        <f>alpha1*C225+(1-alpha1)*D225</f>
        <v>1.8219286781187031E-6</v>
      </c>
      <c r="E226" s="4">
        <f t="shared" si="6"/>
        <v>-1.8219286781187031E-6</v>
      </c>
      <c r="F226">
        <f t="shared" si="7"/>
        <v>1.8219286781187031E-6</v>
      </c>
    </row>
    <row r="227" spans="1:6" x14ac:dyDescent="0.2">
      <c r="A227" t="str">
        <v>d_226</v>
      </c>
      <c r="B227" s="2">
        <v>40797</v>
      </c>
      <c r="C227" s="4">
        <v>0</v>
      </c>
      <c r="D227">
        <f>alpha1*C226+(1-alpha1)*D226</f>
        <v>1.2753500746830921E-6</v>
      </c>
      <c r="E227" s="4">
        <f t="shared" si="6"/>
        <v>-1.2753500746830921E-6</v>
      </c>
      <c r="F227">
        <f t="shared" si="7"/>
        <v>1.2753500746830921E-6</v>
      </c>
    </row>
    <row r="228" spans="1:6" x14ac:dyDescent="0.2">
      <c r="A228" t="str">
        <v>d_227</v>
      </c>
      <c r="B228" s="2">
        <v>40798</v>
      </c>
      <c r="C228" s="4">
        <v>0</v>
      </c>
      <c r="D228">
        <f>alpha1*C227+(1-alpha1)*D227</f>
        <v>8.9274505227816445E-7</v>
      </c>
      <c r="E228" s="4">
        <f t="shared" si="6"/>
        <v>-8.9274505227816445E-7</v>
      </c>
      <c r="F228">
        <f t="shared" si="7"/>
        <v>8.9274505227816445E-7</v>
      </c>
    </row>
    <row r="229" spans="1:6" x14ac:dyDescent="0.2">
      <c r="A229" t="str">
        <v>d_228</v>
      </c>
      <c r="B229" s="2">
        <v>40799</v>
      </c>
      <c r="C229" s="4">
        <v>0</v>
      </c>
      <c r="D229">
        <f>alpha1*C228+(1-alpha1)*D228</f>
        <v>6.2492153659471509E-7</v>
      </c>
      <c r="E229" s="4">
        <f t="shared" si="6"/>
        <v>-6.2492153659471509E-7</v>
      </c>
      <c r="F229">
        <f t="shared" si="7"/>
        <v>6.2492153659471509E-7</v>
      </c>
    </row>
    <row r="230" spans="1:6" x14ac:dyDescent="0.2">
      <c r="A230" t="str">
        <v>d_229</v>
      </c>
      <c r="B230" s="2">
        <v>40800</v>
      </c>
      <c r="C230" s="4">
        <v>0</v>
      </c>
      <c r="D230">
        <f>alpha1*C229+(1-alpha1)*D229</f>
        <v>4.3744507561630055E-7</v>
      </c>
      <c r="E230" s="4">
        <f t="shared" si="6"/>
        <v>-4.3744507561630055E-7</v>
      </c>
      <c r="F230">
        <f t="shared" si="7"/>
        <v>4.3744507561630055E-7</v>
      </c>
    </row>
    <row r="231" spans="1:6" x14ac:dyDescent="0.2">
      <c r="A231" t="str">
        <v>d_230</v>
      </c>
      <c r="B231" s="2">
        <v>40801</v>
      </c>
      <c r="C231" s="4">
        <v>0</v>
      </c>
      <c r="D231">
        <f>alpha1*C230+(1-alpha1)*D230</f>
        <v>3.0621155293141035E-7</v>
      </c>
      <c r="E231" s="4">
        <f t="shared" si="6"/>
        <v>-3.0621155293141035E-7</v>
      </c>
      <c r="F231">
        <f t="shared" si="7"/>
        <v>3.0621155293141035E-7</v>
      </c>
    </row>
    <row r="232" spans="1:6" x14ac:dyDescent="0.2">
      <c r="A232" t="str">
        <v>d_231</v>
      </c>
      <c r="B232" s="2">
        <v>40802</v>
      </c>
      <c r="C232" s="4">
        <v>0</v>
      </c>
      <c r="D232">
        <f>alpha1*C231+(1-alpha1)*D231</f>
        <v>2.1434808705198724E-7</v>
      </c>
      <c r="E232" s="4">
        <f t="shared" si="6"/>
        <v>-2.1434808705198724E-7</v>
      </c>
      <c r="F232">
        <f t="shared" si="7"/>
        <v>2.1434808705198724E-7</v>
      </c>
    </row>
    <row r="233" spans="1:6" x14ac:dyDescent="0.2">
      <c r="A233" t="str">
        <v>d_232</v>
      </c>
      <c r="B233" s="2">
        <v>40803</v>
      </c>
      <c r="C233" s="4">
        <v>0</v>
      </c>
      <c r="D233">
        <f>alpha1*C232+(1-alpha1)*D232</f>
        <v>1.5004366093639106E-7</v>
      </c>
      <c r="E233" s="4">
        <f t="shared" si="6"/>
        <v>-1.5004366093639106E-7</v>
      </c>
      <c r="F233">
        <f t="shared" si="7"/>
        <v>1.5004366093639106E-7</v>
      </c>
    </row>
    <row r="234" spans="1:6" x14ac:dyDescent="0.2">
      <c r="A234" t="str">
        <v>d_233</v>
      </c>
      <c r="B234" s="2">
        <v>40804</v>
      </c>
      <c r="C234" s="4">
        <v>0</v>
      </c>
      <c r="D234">
        <f>alpha1*C233+(1-alpha1)*D233</f>
        <v>1.0503056265547373E-7</v>
      </c>
      <c r="E234" s="4">
        <f t="shared" si="6"/>
        <v>-1.0503056265547373E-7</v>
      </c>
      <c r="F234">
        <f t="shared" si="7"/>
        <v>1.0503056265547373E-7</v>
      </c>
    </row>
    <row r="235" spans="1:6" x14ac:dyDescent="0.2">
      <c r="A235" t="str">
        <v>d_234</v>
      </c>
      <c r="B235" s="2">
        <v>40805</v>
      </c>
      <c r="C235" s="4">
        <v>0</v>
      </c>
      <c r="D235">
        <f>alpha1*C234+(1-alpha1)*D234</f>
        <v>7.352139385883161E-8</v>
      </c>
      <c r="E235" s="4">
        <f t="shared" si="6"/>
        <v>-7.352139385883161E-8</v>
      </c>
      <c r="F235">
        <f t="shared" si="7"/>
        <v>7.352139385883161E-8</v>
      </c>
    </row>
    <row r="236" spans="1:6" x14ac:dyDescent="0.2">
      <c r="A236" t="str">
        <v>d_235</v>
      </c>
      <c r="B236" s="2">
        <v>40806</v>
      </c>
      <c r="C236" s="4">
        <v>0</v>
      </c>
      <c r="D236">
        <f>alpha1*C235+(1-alpha1)*D235</f>
        <v>5.1464975701182126E-8</v>
      </c>
      <c r="E236" s="4">
        <f t="shared" si="6"/>
        <v>-5.1464975701182126E-8</v>
      </c>
      <c r="F236">
        <f t="shared" si="7"/>
        <v>5.1464975701182126E-8</v>
      </c>
    </row>
    <row r="237" spans="1:6" x14ac:dyDescent="0.2">
      <c r="A237" t="str">
        <v>d_236</v>
      </c>
      <c r="B237" s="2">
        <v>40807</v>
      </c>
      <c r="C237" s="4">
        <v>0</v>
      </c>
      <c r="D237">
        <f>alpha1*C236+(1-alpha1)*D236</f>
        <v>3.6025482990827485E-8</v>
      </c>
      <c r="E237" s="4">
        <f t="shared" si="6"/>
        <v>-3.6025482990827485E-8</v>
      </c>
      <c r="F237">
        <f t="shared" si="7"/>
        <v>3.6025482990827485E-8</v>
      </c>
    </row>
    <row r="238" spans="1:6" x14ac:dyDescent="0.2">
      <c r="A238" t="str">
        <v>d_237</v>
      </c>
      <c r="B238" s="2">
        <v>40808</v>
      </c>
      <c r="C238" s="4">
        <v>0</v>
      </c>
      <c r="D238">
        <f>alpha1*C237+(1-alpha1)*D237</f>
        <v>2.521783809357924E-8</v>
      </c>
      <c r="E238" s="4">
        <f t="shared" si="6"/>
        <v>-2.521783809357924E-8</v>
      </c>
      <c r="F238">
        <f t="shared" si="7"/>
        <v>2.521783809357924E-8</v>
      </c>
    </row>
    <row r="239" spans="1:6" x14ac:dyDescent="0.2">
      <c r="A239" t="str">
        <v>d_238</v>
      </c>
      <c r="B239" s="2">
        <v>40809</v>
      </c>
      <c r="C239" s="4">
        <v>0</v>
      </c>
      <c r="D239">
        <f>alpha1*C238+(1-alpha1)*D238</f>
        <v>1.7652486665505466E-8</v>
      </c>
      <c r="E239" s="4">
        <f t="shared" si="6"/>
        <v>-1.7652486665505466E-8</v>
      </c>
      <c r="F239">
        <f t="shared" si="7"/>
        <v>1.7652486665505466E-8</v>
      </c>
    </row>
    <row r="240" spans="1:6" x14ac:dyDescent="0.2">
      <c r="A240" t="str">
        <v>d_239</v>
      </c>
      <c r="B240" s="2">
        <v>40810</v>
      </c>
      <c r="C240" s="4">
        <v>0</v>
      </c>
      <c r="D240">
        <f>alpha1*C239+(1-alpha1)*D239</f>
        <v>1.2356740665853825E-8</v>
      </c>
      <c r="E240" s="4">
        <f t="shared" si="6"/>
        <v>-1.2356740665853825E-8</v>
      </c>
      <c r="F240">
        <f t="shared" si="7"/>
        <v>1.2356740665853825E-8</v>
      </c>
    </row>
    <row r="241" spans="1:6" x14ac:dyDescent="0.2">
      <c r="A241" t="str">
        <v>d_240</v>
      </c>
      <c r="B241" s="2">
        <v>40811</v>
      </c>
      <c r="C241" s="4">
        <v>0</v>
      </c>
      <c r="D241">
        <f>alpha1*C240+(1-alpha1)*D240</f>
        <v>8.6497184660976776E-9</v>
      </c>
      <c r="E241" s="4">
        <f t="shared" si="6"/>
        <v>-8.6497184660976776E-9</v>
      </c>
      <c r="F241">
        <f t="shared" si="7"/>
        <v>8.6497184660976776E-9</v>
      </c>
    </row>
    <row r="242" spans="1:6" x14ac:dyDescent="0.2">
      <c r="A242" t="str">
        <v>d_241</v>
      </c>
      <c r="B242" s="2">
        <v>40812</v>
      </c>
      <c r="C242" s="4">
        <v>0</v>
      </c>
      <c r="D242">
        <f>alpha1*C241+(1-alpha1)*D241</f>
        <v>6.0548029262683739E-9</v>
      </c>
      <c r="E242" s="4">
        <f t="shared" si="6"/>
        <v>-6.0548029262683739E-9</v>
      </c>
      <c r="F242">
        <f t="shared" si="7"/>
        <v>6.0548029262683739E-9</v>
      </c>
    </row>
    <row r="243" spans="1:6" x14ac:dyDescent="0.2">
      <c r="A243" t="str">
        <v>d_242</v>
      </c>
      <c r="B243" s="2">
        <v>40813</v>
      </c>
      <c r="C243" s="4">
        <v>0</v>
      </c>
      <c r="D243">
        <f>alpha1*C242+(1-alpha1)*D242</f>
        <v>4.2383620483878614E-9</v>
      </c>
      <c r="E243" s="4">
        <f t="shared" si="6"/>
        <v>-4.2383620483878614E-9</v>
      </c>
      <c r="F243">
        <f t="shared" si="7"/>
        <v>4.2383620483878614E-9</v>
      </c>
    </row>
    <row r="244" spans="1:6" x14ac:dyDescent="0.2">
      <c r="A244" t="str">
        <v>d_243</v>
      </c>
      <c r="B244" s="2">
        <v>40814</v>
      </c>
      <c r="C244" s="4">
        <v>0</v>
      </c>
      <c r="D244">
        <f>alpha1*C243+(1-alpha1)*D243</f>
        <v>2.9668534338715028E-9</v>
      </c>
      <c r="E244" s="4">
        <f t="shared" si="6"/>
        <v>-2.9668534338715028E-9</v>
      </c>
      <c r="F244">
        <f t="shared" si="7"/>
        <v>2.9668534338715028E-9</v>
      </c>
    </row>
    <row r="245" spans="1:6" x14ac:dyDescent="0.2">
      <c r="A245" t="str">
        <v>d_244</v>
      </c>
      <c r="B245" s="2">
        <v>40815</v>
      </c>
      <c r="C245" s="4">
        <v>0</v>
      </c>
      <c r="D245">
        <f>alpha1*C244+(1-alpha1)*D244</f>
        <v>2.076797403710052E-9</v>
      </c>
      <c r="E245" s="4">
        <f t="shared" si="6"/>
        <v>-2.076797403710052E-9</v>
      </c>
      <c r="F245">
        <f t="shared" si="7"/>
        <v>2.076797403710052E-9</v>
      </c>
    </row>
    <row r="246" spans="1:6" x14ac:dyDescent="0.2">
      <c r="A246" t="str">
        <v>d_245</v>
      </c>
      <c r="B246" s="2">
        <v>40816</v>
      </c>
      <c r="C246" s="4">
        <v>0</v>
      </c>
      <c r="D246">
        <f>alpha1*C245+(1-alpha1)*D245</f>
        <v>1.4537581825970362E-9</v>
      </c>
      <c r="E246" s="4">
        <f t="shared" si="6"/>
        <v>-1.4537581825970362E-9</v>
      </c>
      <c r="F246">
        <f t="shared" si="7"/>
        <v>1.4537581825970362E-9</v>
      </c>
    </row>
    <row r="247" spans="1:6" x14ac:dyDescent="0.2">
      <c r="A247" t="str">
        <v>d_246</v>
      </c>
      <c r="B247" s="2">
        <v>40817</v>
      </c>
      <c r="C247" s="4">
        <v>0</v>
      </c>
      <c r="D247">
        <f>alpha1*C246+(1-alpha1)*D246</f>
        <v>1.0176307278179253E-9</v>
      </c>
      <c r="E247" s="4">
        <f t="shared" si="6"/>
        <v>-1.0176307278179253E-9</v>
      </c>
      <c r="F247">
        <f t="shared" si="7"/>
        <v>1.0176307278179253E-9</v>
      </c>
    </row>
    <row r="248" spans="1:6" x14ac:dyDescent="0.2">
      <c r="A248" t="str">
        <v>d_247</v>
      </c>
      <c r="B248" s="2">
        <v>40818</v>
      </c>
      <c r="C248" s="4">
        <v>0</v>
      </c>
      <c r="D248">
        <f>alpha1*C247+(1-alpha1)*D247</f>
        <v>7.1234150947254771E-10</v>
      </c>
      <c r="E248" s="4">
        <f t="shared" si="6"/>
        <v>-7.1234150947254771E-10</v>
      </c>
      <c r="F248">
        <f t="shared" si="7"/>
        <v>7.1234150947254771E-10</v>
      </c>
    </row>
    <row r="249" spans="1:6" x14ac:dyDescent="0.2">
      <c r="A249" t="str">
        <v>d_248</v>
      </c>
      <c r="B249" s="2">
        <v>40819</v>
      </c>
      <c r="C249" s="4">
        <v>0</v>
      </c>
      <c r="D249">
        <f>alpha1*C248+(1-alpha1)*D248</f>
        <v>4.9863905663078335E-10</v>
      </c>
      <c r="E249" s="4">
        <f t="shared" si="6"/>
        <v>-4.9863905663078335E-10</v>
      </c>
      <c r="F249">
        <f t="shared" si="7"/>
        <v>4.9863905663078335E-10</v>
      </c>
    </row>
    <row r="250" spans="1:6" x14ac:dyDescent="0.2">
      <c r="A250" t="str">
        <v>d_249</v>
      </c>
      <c r="B250" s="2">
        <v>40820</v>
      </c>
      <c r="C250" s="4">
        <v>0</v>
      </c>
      <c r="D250">
        <f>alpha1*C249+(1-alpha1)*D249</f>
        <v>3.490473396415483E-10</v>
      </c>
      <c r="E250" s="4">
        <f t="shared" si="6"/>
        <v>-3.490473396415483E-10</v>
      </c>
      <c r="F250">
        <f t="shared" si="7"/>
        <v>3.490473396415483E-10</v>
      </c>
    </row>
    <row r="251" spans="1:6" x14ac:dyDescent="0.2">
      <c r="A251" t="str">
        <v>d_250</v>
      </c>
      <c r="B251" s="2">
        <v>40821</v>
      </c>
      <c r="C251" s="4">
        <v>0</v>
      </c>
      <c r="D251">
        <f>alpha1*C250+(1-alpha1)*D250</f>
        <v>2.4433313774908382E-10</v>
      </c>
      <c r="E251" s="4">
        <f t="shared" si="6"/>
        <v>-2.4433313774908382E-10</v>
      </c>
      <c r="F251">
        <f t="shared" si="7"/>
        <v>2.4433313774908382E-10</v>
      </c>
    </row>
    <row r="252" spans="1:6" x14ac:dyDescent="0.2">
      <c r="A252" t="str">
        <v>d_251</v>
      </c>
      <c r="B252" s="2">
        <v>40822</v>
      </c>
      <c r="C252" s="4">
        <v>0</v>
      </c>
      <c r="D252">
        <f>alpha1*C251+(1-alpha1)*D251</f>
        <v>1.7103319642435866E-10</v>
      </c>
      <c r="E252" s="4">
        <f t="shared" si="6"/>
        <v>-1.7103319642435866E-10</v>
      </c>
      <c r="F252">
        <f t="shared" si="7"/>
        <v>1.7103319642435866E-10</v>
      </c>
    </row>
    <row r="253" spans="1:6" x14ac:dyDescent="0.2">
      <c r="A253" t="str">
        <v>d_252</v>
      </c>
      <c r="B253" s="2">
        <v>40823</v>
      </c>
      <c r="C253" s="4">
        <v>0</v>
      </c>
      <c r="D253">
        <f>alpha1*C252+(1-alpha1)*D252</f>
        <v>1.1972323749705105E-10</v>
      </c>
      <c r="E253" s="4">
        <f t="shared" si="6"/>
        <v>-1.1972323749705105E-10</v>
      </c>
      <c r="F253">
        <f t="shared" si="7"/>
        <v>1.1972323749705105E-10</v>
      </c>
    </row>
    <row r="254" spans="1:6" x14ac:dyDescent="0.2">
      <c r="A254" t="str">
        <v>d_253</v>
      </c>
      <c r="B254" s="2">
        <v>40824</v>
      </c>
      <c r="C254" s="4">
        <v>0</v>
      </c>
      <c r="D254">
        <f>alpha1*C253+(1-alpha1)*D253</f>
        <v>8.3806266247935726E-11</v>
      </c>
      <c r="E254" s="4">
        <f t="shared" si="6"/>
        <v>-8.3806266247935726E-11</v>
      </c>
      <c r="F254">
        <f t="shared" si="7"/>
        <v>8.3806266247935726E-11</v>
      </c>
    </row>
    <row r="255" spans="1:6" x14ac:dyDescent="0.2">
      <c r="A255" t="str">
        <v>d_254</v>
      </c>
      <c r="B255" s="2">
        <v>40825</v>
      </c>
      <c r="C255" s="4">
        <v>0</v>
      </c>
      <c r="D255">
        <f>alpha1*C254+(1-alpha1)*D254</f>
        <v>5.8664386373555003E-11</v>
      </c>
      <c r="E255" s="4">
        <f t="shared" si="6"/>
        <v>-5.8664386373555003E-11</v>
      </c>
      <c r="F255">
        <f t="shared" si="7"/>
        <v>5.8664386373555003E-11</v>
      </c>
    </row>
    <row r="256" spans="1:6" x14ac:dyDescent="0.2">
      <c r="A256" t="str">
        <v>d_255</v>
      </c>
      <c r="B256" s="2">
        <v>40826</v>
      </c>
      <c r="C256" s="4">
        <v>0</v>
      </c>
      <c r="D256">
        <f>alpha1*C255+(1-alpha1)*D255</f>
        <v>4.1065070461488501E-11</v>
      </c>
      <c r="E256" s="4">
        <f t="shared" si="6"/>
        <v>-4.1065070461488501E-11</v>
      </c>
      <c r="F256">
        <f t="shared" si="7"/>
        <v>4.1065070461488501E-11</v>
      </c>
    </row>
    <row r="257" spans="1:6" x14ac:dyDescent="0.2">
      <c r="A257" t="str">
        <v>d_256</v>
      </c>
      <c r="B257" s="2">
        <v>40827</v>
      </c>
      <c r="C257" s="4">
        <v>0</v>
      </c>
      <c r="D257">
        <f>alpha1*C256+(1-alpha1)*D256</f>
        <v>2.874554932304195E-11</v>
      </c>
      <c r="E257" s="4">
        <f t="shared" si="6"/>
        <v>-2.874554932304195E-11</v>
      </c>
      <c r="F257">
        <f t="shared" si="7"/>
        <v>2.874554932304195E-11</v>
      </c>
    </row>
    <row r="258" spans="1:6" x14ac:dyDescent="0.2">
      <c r="A258" t="str">
        <v>d_257</v>
      </c>
      <c r="B258" s="2">
        <v>40828</v>
      </c>
      <c r="C258" s="4">
        <v>0</v>
      </c>
      <c r="D258">
        <f>alpha1*C257+(1-alpha1)*D257</f>
        <v>2.0121884526129365E-11</v>
      </c>
      <c r="E258" s="4">
        <f t="shared" si="6"/>
        <v>-2.0121884526129365E-11</v>
      </c>
      <c r="F258">
        <f t="shared" si="7"/>
        <v>2.0121884526129365E-11</v>
      </c>
    </row>
    <row r="259" spans="1:6" x14ac:dyDescent="0.2">
      <c r="A259" t="str">
        <v>d_258</v>
      </c>
      <c r="B259" s="2">
        <v>40829</v>
      </c>
      <c r="C259" s="4">
        <v>0</v>
      </c>
      <c r="D259">
        <f>alpha1*C258+(1-alpha1)*D258</f>
        <v>1.4085319168290555E-11</v>
      </c>
      <c r="E259" s="4">
        <f t="shared" ref="E259:E322" si="8">C259-D259</f>
        <v>-1.4085319168290555E-11</v>
      </c>
      <c r="F259">
        <f t="shared" ref="F259:F322" si="9">ABS(E259)</f>
        <v>1.4085319168290555E-11</v>
      </c>
    </row>
    <row r="260" spans="1:6" x14ac:dyDescent="0.2">
      <c r="A260" t="str">
        <v>d_259</v>
      </c>
      <c r="B260" s="2">
        <v>40830</v>
      </c>
      <c r="C260" s="4">
        <v>0</v>
      </c>
      <c r="D260">
        <f>alpha1*C259+(1-alpha1)*D259</f>
        <v>9.859723417803388E-12</v>
      </c>
      <c r="E260" s="4">
        <f t="shared" si="8"/>
        <v>-9.859723417803388E-12</v>
      </c>
      <c r="F260">
        <f t="shared" si="9"/>
        <v>9.859723417803388E-12</v>
      </c>
    </row>
    <row r="261" spans="1:6" x14ac:dyDescent="0.2">
      <c r="A261" t="str">
        <v>d_260</v>
      </c>
      <c r="B261" s="2">
        <v>40831</v>
      </c>
      <c r="C261" s="4">
        <v>0</v>
      </c>
      <c r="D261">
        <f>alpha1*C260+(1-alpha1)*D260</f>
        <v>6.9018063924623708E-12</v>
      </c>
      <c r="E261" s="4">
        <f t="shared" si="8"/>
        <v>-6.9018063924623708E-12</v>
      </c>
      <c r="F261">
        <f t="shared" si="9"/>
        <v>6.9018063924623708E-12</v>
      </c>
    </row>
    <row r="262" spans="1:6" x14ac:dyDescent="0.2">
      <c r="A262" t="str">
        <v>d_261</v>
      </c>
      <c r="B262" s="2">
        <v>40832</v>
      </c>
      <c r="C262" s="4">
        <v>0</v>
      </c>
      <c r="D262">
        <f>alpha1*C261+(1-alpha1)*D261</f>
        <v>4.8312644747236594E-12</v>
      </c>
      <c r="E262" s="4">
        <f t="shared" si="8"/>
        <v>-4.8312644747236594E-12</v>
      </c>
      <c r="F262">
        <f t="shared" si="9"/>
        <v>4.8312644747236594E-12</v>
      </c>
    </row>
    <row r="263" spans="1:6" x14ac:dyDescent="0.2">
      <c r="A263" t="str">
        <v>d_262</v>
      </c>
      <c r="B263" s="2">
        <v>40833</v>
      </c>
      <c r="C263" s="4">
        <v>0</v>
      </c>
      <c r="D263">
        <f>alpha1*C262+(1-alpha1)*D262</f>
        <v>3.3818851323065613E-12</v>
      </c>
      <c r="E263" s="4">
        <f t="shared" si="8"/>
        <v>-3.3818851323065613E-12</v>
      </c>
      <c r="F263">
        <f t="shared" si="9"/>
        <v>3.3818851323065613E-12</v>
      </c>
    </row>
    <row r="264" spans="1:6" x14ac:dyDescent="0.2">
      <c r="A264" t="str">
        <v>d_263</v>
      </c>
      <c r="B264" s="2">
        <v>40834</v>
      </c>
      <c r="C264" s="4">
        <v>0</v>
      </c>
      <c r="D264">
        <f>alpha1*C263+(1-alpha1)*D263</f>
        <v>2.3673195926145928E-12</v>
      </c>
      <c r="E264" s="4">
        <f t="shared" si="8"/>
        <v>-2.3673195926145928E-12</v>
      </c>
      <c r="F264">
        <f t="shared" si="9"/>
        <v>2.3673195926145928E-12</v>
      </c>
    </row>
    <row r="265" spans="1:6" x14ac:dyDescent="0.2">
      <c r="A265" t="str">
        <v>d_264</v>
      </c>
      <c r="B265" s="2">
        <v>40835</v>
      </c>
      <c r="C265" s="4">
        <v>0</v>
      </c>
      <c r="D265">
        <f>alpha1*C264+(1-alpha1)*D264</f>
        <v>1.6571237148302149E-12</v>
      </c>
      <c r="E265" s="4">
        <f t="shared" si="8"/>
        <v>-1.6571237148302149E-12</v>
      </c>
      <c r="F265">
        <f t="shared" si="9"/>
        <v>1.6571237148302149E-12</v>
      </c>
    </row>
    <row r="266" spans="1:6" x14ac:dyDescent="0.2">
      <c r="A266" t="str">
        <v>d_265</v>
      </c>
      <c r="B266" s="2">
        <v>40836</v>
      </c>
      <c r="C266" s="4">
        <v>0</v>
      </c>
      <c r="D266">
        <f>alpha1*C265+(1-alpha1)*D265</f>
        <v>1.1599866003811504E-12</v>
      </c>
      <c r="E266" s="4">
        <f t="shared" si="8"/>
        <v>-1.1599866003811504E-12</v>
      </c>
      <c r="F266">
        <f t="shared" si="9"/>
        <v>1.1599866003811504E-12</v>
      </c>
    </row>
    <row r="267" spans="1:6" x14ac:dyDescent="0.2">
      <c r="A267" t="str">
        <v>d_266</v>
      </c>
      <c r="B267" s="2">
        <v>40837</v>
      </c>
      <c r="C267" s="4">
        <v>0</v>
      </c>
      <c r="D267">
        <f>alpha1*C266+(1-alpha1)*D266</f>
        <v>8.119906202668052E-13</v>
      </c>
      <c r="E267" s="4">
        <f t="shared" si="8"/>
        <v>-8.119906202668052E-13</v>
      </c>
      <c r="F267">
        <f t="shared" si="9"/>
        <v>8.119906202668052E-13</v>
      </c>
    </row>
    <row r="268" spans="1:6" x14ac:dyDescent="0.2">
      <c r="A268" t="str">
        <v>d_267</v>
      </c>
      <c r="B268" s="2">
        <v>40838</v>
      </c>
      <c r="C268" s="4">
        <v>0</v>
      </c>
      <c r="D268">
        <f>alpha1*C267+(1-alpha1)*D267</f>
        <v>5.6839343418676363E-13</v>
      </c>
      <c r="E268" s="4">
        <f t="shared" si="8"/>
        <v>-5.6839343418676363E-13</v>
      </c>
      <c r="F268">
        <f t="shared" si="9"/>
        <v>5.6839343418676363E-13</v>
      </c>
    </row>
    <row r="269" spans="1:6" x14ac:dyDescent="0.2">
      <c r="A269" t="str">
        <v>d_268</v>
      </c>
      <c r="B269" s="2">
        <v>40839</v>
      </c>
      <c r="C269" s="4">
        <v>0</v>
      </c>
      <c r="D269">
        <f>alpha1*C268+(1-alpha1)*D268</f>
        <v>3.9787540393073454E-13</v>
      </c>
      <c r="E269" s="4">
        <f t="shared" si="8"/>
        <v>-3.9787540393073454E-13</v>
      </c>
      <c r="F269">
        <f t="shared" si="9"/>
        <v>3.9787540393073454E-13</v>
      </c>
    </row>
    <row r="270" spans="1:6" x14ac:dyDescent="0.2">
      <c r="A270" t="str">
        <v>d_269</v>
      </c>
      <c r="B270" s="2">
        <v>40840</v>
      </c>
      <c r="C270" s="4">
        <v>0</v>
      </c>
      <c r="D270">
        <f>alpha1*C269+(1-alpha1)*D269</f>
        <v>2.7851278275151414E-13</v>
      </c>
      <c r="E270" s="4">
        <f t="shared" si="8"/>
        <v>-2.7851278275151414E-13</v>
      </c>
      <c r="F270">
        <f t="shared" si="9"/>
        <v>2.7851278275151414E-13</v>
      </c>
    </row>
    <row r="271" spans="1:6" x14ac:dyDescent="0.2">
      <c r="A271" t="str">
        <v>d_270</v>
      </c>
      <c r="B271" s="2">
        <v>40841</v>
      </c>
      <c r="C271" s="4">
        <v>0</v>
      </c>
      <c r="D271">
        <f>alpha1*C270+(1-alpha1)*D270</f>
        <v>1.949589479260599E-13</v>
      </c>
      <c r="E271" s="4">
        <f t="shared" si="8"/>
        <v>-1.949589479260599E-13</v>
      </c>
      <c r="F271">
        <f t="shared" si="9"/>
        <v>1.949589479260599E-13</v>
      </c>
    </row>
    <row r="272" spans="1:6" x14ac:dyDescent="0.2">
      <c r="A272" t="str">
        <v>d_271</v>
      </c>
      <c r="B272" s="2">
        <v>40842</v>
      </c>
      <c r="C272" s="4">
        <v>0</v>
      </c>
      <c r="D272">
        <f>alpha1*C271+(1-alpha1)*D271</f>
        <v>1.3647126354824193E-13</v>
      </c>
      <c r="E272" s="4">
        <f t="shared" si="8"/>
        <v>-1.3647126354824193E-13</v>
      </c>
      <c r="F272">
        <f t="shared" si="9"/>
        <v>1.3647126354824193E-13</v>
      </c>
    </row>
    <row r="273" spans="1:6" x14ac:dyDescent="0.2">
      <c r="A273" t="str">
        <v>d_272</v>
      </c>
      <c r="B273" s="2">
        <v>40843</v>
      </c>
      <c r="C273" s="4">
        <v>0</v>
      </c>
      <c r="D273">
        <f>alpha1*C272+(1-alpha1)*D272</f>
        <v>9.5529884483769348E-14</v>
      </c>
      <c r="E273" s="4">
        <f t="shared" si="8"/>
        <v>-9.5529884483769348E-14</v>
      </c>
      <c r="F273">
        <f t="shared" si="9"/>
        <v>9.5529884483769348E-14</v>
      </c>
    </row>
    <row r="274" spans="1:6" x14ac:dyDescent="0.2">
      <c r="A274" t="str">
        <v>d_273</v>
      </c>
      <c r="B274" s="2">
        <v>40844</v>
      </c>
      <c r="C274" s="4">
        <v>0</v>
      </c>
      <c r="D274">
        <f>alpha1*C273+(1-alpha1)*D273</f>
        <v>6.6870919138638545E-14</v>
      </c>
      <c r="E274" s="4">
        <f t="shared" si="8"/>
        <v>-6.6870919138638545E-14</v>
      </c>
      <c r="F274">
        <f t="shared" si="9"/>
        <v>6.6870919138638545E-14</v>
      </c>
    </row>
    <row r="275" spans="1:6" x14ac:dyDescent="0.2">
      <c r="A275" t="str">
        <v>d_274</v>
      </c>
      <c r="B275" s="2">
        <v>40845</v>
      </c>
      <c r="C275" s="4">
        <v>0</v>
      </c>
      <c r="D275">
        <f>alpha1*C274+(1-alpha1)*D274</f>
        <v>4.6809643397046977E-14</v>
      </c>
      <c r="E275" s="4">
        <f t="shared" si="8"/>
        <v>-4.6809643397046977E-14</v>
      </c>
      <c r="F275">
        <f t="shared" si="9"/>
        <v>4.6809643397046977E-14</v>
      </c>
    </row>
    <row r="276" spans="1:6" x14ac:dyDescent="0.2">
      <c r="A276" t="str">
        <v>d_275</v>
      </c>
      <c r="B276" s="2">
        <v>40846</v>
      </c>
      <c r="C276" s="4">
        <v>0</v>
      </c>
      <c r="D276">
        <f>alpha1*C275+(1-alpha1)*D275</f>
        <v>3.2766750377932885E-14</v>
      </c>
      <c r="E276" s="4">
        <f t="shared" si="8"/>
        <v>-3.2766750377932885E-14</v>
      </c>
      <c r="F276">
        <f t="shared" si="9"/>
        <v>3.2766750377932885E-14</v>
      </c>
    </row>
    <row r="277" spans="1:6" x14ac:dyDescent="0.2">
      <c r="A277" t="str">
        <v>d_276</v>
      </c>
      <c r="B277" s="2">
        <v>40847</v>
      </c>
      <c r="C277" s="4">
        <v>0</v>
      </c>
      <c r="D277">
        <f>alpha1*C276+(1-alpha1)*D276</f>
        <v>2.2936725264553019E-14</v>
      </c>
      <c r="E277" s="4">
        <f t="shared" si="8"/>
        <v>-2.2936725264553019E-14</v>
      </c>
      <c r="F277">
        <f t="shared" si="9"/>
        <v>2.2936725264553019E-14</v>
      </c>
    </row>
    <row r="278" spans="1:6" x14ac:dyDescent="0.2">
      <c r="A278" t="str">
        <v>d_277</v>
      </c>
      <c r="B278" s="2">
        <v>40848</v>
      </c>
      <c r="C278" s="4">
        <v>0</v>
      </c>
      <c r="D278">
        <f>alpha1*C277+(1-alpha1)*D277</f>
        <v>1.6055707685187113E-14</v>
      </c>
      <c r="E278" s="4">
        <f t="shared" si="8"/>
        <v>-1.6055707685187113E-14</v>
      </c>
      <c r="F278">
        <f t="shared" si="9"/>
        <v>1.6055707685187113E-14</v>
      </c>
    </row>
    <row r="279" spans="1:6" x14ac:dyDescent="0.2">
      <c r="A279" t="str">
        <v>d_278</v>
      </c>
      <c r="B279" s="2">
        <v>40849</v>
      </c>
      <c r="C279" s="4">
        <v>3</v>
      </c>
      <c r="D279">
        <f>alpha1*C278+(1-alpha1)*D278</f>
        <v>1.1238995379630979E-14</v>
      </c>
      <c r="E279" s="4">
        <f t="shared" si="8"/>
        <v>2.9999999999999889</v>
      </c>
      <c r="F279">
        <f t="shared" si="9"/>
        <v>2.9999999999999889</v>
      </c>
    </row>
    <row r="280" spans="1:6" x14ac:dyDescent="0.2">
      <c r="A280" t="str">
        <v>d_279</v>
      </c>
      <c r="B280" s="2">
        <v>40850</v>
      </c>
      <c r="C280" s="4">
        <v>1</v>
      </c>
      <c r="D280">
        <f>alpha1*C279+(1-alpha1)*D279</f>
        <v>0.90000000000000779</v>
      </c>
      <c r="E280" s="4">
        <f t="shared" si="8"/>
        <v>9.9999999999992206E-2</v>
      </c>
      <c r="F280">
        <f t="shared" si="9"/>
        <v>9.9999999999992206E-2</v>
      </c>
    </row>
    <row r="281" spans="1:6" x14ac:dyDescent="0.2">
      <c r="A281" t="str">
        <v>d_280</v>
      </c>
      <c r="B281" s="2">
        <v>40851</v>
      </c>
      <c r="C281" s="4">
        <v>4</v>
      </c>
      <c r="D281">
        <f>alpha1*C280+(1-alpha1)*D280</f>
        <v>0.93000000000000549</v>
      </c>
      <c r="E281" s="4">
        <f t="shared" si="8"/>
        <v>3.0699999999999945</v>
      </c>
      <c r="F281">
        <f t="shared" si="9"/>
        <v>3.0699999999999945</v>
      </c>
    </row>
    <row r="282" spans="1:6" x14ac:dyDescent="0.2">
      <c r="A282" t="str">
        <v>d_281</v>
      </c>
      <c r="B282" s="2">
        <v>40852</v>
      </c>
      <c r="C282" s="4">
        <v>2</v>
      </c>
      <c r="D282">
        <f>alpha1*C281+(1-alpha1)*D281</f>
        <v>1.8510000000000038</v>
      </c>
      <c r="E282" s="4">
        <f t="shared" si="8"/>
        <v>0.14899999999999625</v>
      </c>
      <c r="F282">
        <f t="shared" si="9"/>
        <v>0.14899999999999625</v>
      </c>
    </row>
    <row r="283" spans="1:6" x14ac:dyDescent="0.2">
      <c r="A283" t="str">
        <v>d_282</v>
      </c>
      <c r="B283" s="2">
        <v>40853</v>
      </c>
      <c r="C283" s="4">
        <v>1</v>
      </c>
      <c r="D283">
        <f>alpha1*C282+(1-alpha1)*D282</f>
        <v>1.8957000000000024</v>
      </c>
      <c r="E283" s="4">
        <f t="shared" si="8"/>
        <v>-0.89570000000000238</v>
      </c>
      <c r="F283">
        <f t="shared" si="9"/>
        <v>0.89570000000000238</v>
      </c>
    </row>
    <row r="284" spans="1:6" x14ac:dyDescent="0.2">
      <c r="A284" t="str">
        <v>d_283</v>
      </c>
      <c r="B284" s="2">
        <v>40854</v>
      </c>
      <c r="C284" s="4">
        <v>0</v>
      </c>
      <c r="D284">
        <f>alpha1*C283+(1-alpha1)*D283</f>
        <v>1.6269900000000017</v>
      </c>
      <c r="E284" s="4">
        <f t="shared" si="8"/>
        <v>-1.6269900000000017</v>
      </c>
      <c r="F284">
        <f t="shared" si="9"/>
        <v>1.6269900000000017</v>
      </c>
    </row>
    <row r="285" spans="1:6" x14ac:dyDescent="0.2">
      <c r="A285" t="str">
        <v>d_284</v>
      </c>
      <c r="B285" s="2">
        <v>40855</v>
      </c>
      <c r="C285" s="4">
        <v>2</v>
      </c>
      <c r="D285">
        <f>alpha1*C284+(1-alpha1)*D284</f>
        <v>1.138893000000001</v>
      </c>
      <c r="E285" s="4">
        <f t="shared" si="8"/>
        <v>0.86110699999999896</v>
      </c>
      <c r="F285">
        <f t="shared" si="9"/>
        <v>0.86110699999999896</v>
      </c>
    </row>
    <row r="286" spans="1:6" x14ac:dyDescent="0.2">
      <c r="A286" t="str">
        <v>d_285</v>
      </c>
      <c r="B286" s="2">
        <v>40856</v>
      </c>
      <c r="C286" s="4">
        <v>1</v>
      </c>
      <c r="D286">
        <f>alpha1*C285+(1-alpha1)*D285</f>
        <v>1.3972251000000007</v>
      </c>
      <c r="E286" s="4">
        <f t="shared" si="8"/>
        <v>-0.39722510000000066</v>
      </c>
      <c r="F286">
        <f t="shared" si="9"/>
        <v>0.39722510000000066</v>
      </c>
    </row>
    <row r="287" spans="1:6" x14ac:dyDescent="0.2">
      <c r="A287" t="str">
        <v>d_286</v>
      </c>
      <c r="B287" s="2">
        <v>40857</v>
      </c>
      <c r="C287" s="4">
        <v>0</v>
      </c>
      <c r="D287">
        <f>alpha1*C286+(1-alpha1)*D286</f>
        <v>1.2780575700000003</v>
      </c>
      <c r="E287" s="4">
        <f t="shared" si="8"/>
        <v>-1.2780575700000003</v>
      </c>
      <c r="F287">
        <f t="shared" si="9"/>
        <v>1.2780575700000003</v>
      </c>
    </row>
    <row r="288" spans="1:6" x14ac:dyDescent="0.2">
      <c r="A288" t="str">
        <v>d_287</v>
      </c>
      <c r="B288" s="2">
        <v>40858</v>
      </c>
      <c r="C288" s="4">
        <v>1</v>
      </c>
      <c r="D288">
        <f>alpha1*C287+(1-alpha1)*D287</f>
        <v>0.89464029900000019</v>
      </c>
      <c r="E288" s="4">
        <f t="shared" si="8"/>
        <v>0.10535970099999981</v>
      </c>
      <c r="F288">
        <f t="shared" si="9"/>
        <v>0.10535970099999981</v>
      </c>
    </row>
    <row r="289" spans="1:6" x14ac:dyDescent="0.2">
      <c r="A289" t="str">
        <v>d_288</v>
      </c>
      <c r="B289" s="2">
        <v>40859</v>
      </c>
      <c r="C289" s="4">
        <v>0</v>
      </c>
      <c r="D289">
        <f>alpha1*C288+(1-alpha1)*D288</f>
        <v>0.92624820930000018</v>
      </c>
      <c r="E289" s="4">
        <f t="shared" si="8"/>
        <v>-0.92624820930000018</v>
      </c>
      <c r="F289">
        <f t="shared" si="9"/>
        <v>0.92624820930000018</v>
      </c>
    </row>
    <row r="290" spans="1:6" x14ac:dyDescent="0.2">
      <c r="A290" t="str">
        <v>d_289</v>
      </c>
      <c r="B290" s="2">
        <v>40860</v>
      </c>
      <c r="C290" s="4">
        <v>6</v>
      </c>
      <c r="D290">
        <f>alpha1*C289+(1-alpha1)*D289</f>
        <v>0.64837374651000013</v>
      </c>
      <c r="E290" s="4">
        <f t="shared" si="8"/>
        <v>5.3516262534900001</v>
      </c>
      <c r="F290">
        <f t="shared" si="9"/>
        <v>5.3516262534900001</v>
      </c>
    </row>
    <row r="291" spans="1:6" x14ac:dyDescent="0.2">
      <c r="A291" t="str">
        <v>d_290</v>
      </c>
      <c r="B291" s="2">
        <v>40861</v>
      </c>
      <c r="C291" s="4">
        <v>1</v>
      </c>
      <c r="D291">
        <f>alpha1*C290+(1-alpha1)*D290</f>
        <v>2.2538616225569998</v>
      </c>
      <c r="E291" s="4">
        <f t="shared" si="8"/>
        <v>-1.2538616225569998</v>
      </c>
      <c r="F291">
        <f t="shared" si="9"/>
        <v>1.2538616225569998</v>
      </c>
    </row>
    <row r="292" spans="1:6" x14ac:dyDescent="0.2">
      <c r="A292" t="str">
        <v>d_291</v>
      </c>
      <c r="B292" s="2">
        <v>40862</v>
      </c>
      <c r="C292" s="4">
        <v>0</v>
      </c>
      <c r="D292">
        <f>alpha1*C291+(1-alpha1)*D291</f>
        <v>1.8777031357898999</v>
      </c>
      <c r="E292" s="4">
        <f t="shared" si="8"/>
        <v>-1.8777031357898999</v>
      </c>
      <c r="F292">
        <f t="shared" si="9"/>
        <v>1.8777031357898999</v>
      </c>
    </row>
    <row r="293" spans="1:6" x14ac:dyDescent="0.2">
      <c r="A293" t="str">
        <v>d_292</v>
      </c>
      <c r="B293" s="2">
        <v>40863</v>
      </c>
      <c r="C293" s="4">
        <v>0</v>
      </c>
      <c r="D293">
        <f>alpha1*C292+(1-alpha1)*D292</f>
        <v>1.3143921950529298</v>
      </c>
      <c r="E293" s="4">
        <f t="shared" si="8"/>
        <v>-1.3143921950529298</v>
      </c>
      <c r="F293">
        <f t="shared" si="9"/>
        <v>1.3143921950529298</v>
      </c>
    </row>
    <row r="294" spans="1:6" x14ac:dyDescent="0.2">
      <c r="A294" t="str">
        <v>d_293</v>
      </c>
      <c r="B294" s="2">
        <v>40864</v>
      </c>
      <c r="C294" s="4">
        <v>0</v>
      </c>
      <c r="D294">
        <f>alpha1*C293+(1-alpha1)*D293</f>
        <v>0.92007453653705085</v>
      </c>
      <c r="E294" s="4">
        <f t="shared" si="8"/>
        <v>-0.92007453653705085</v>
      </c>
      <c r="F294">
        <f t="shared" si="9"/>
        <v>0.92007453653705085</v>
      </c>
    </row>
    <row r="295" spans="1:6" x14ac:dyDescent="0.2">
      <c r="A295" t="str">
        <v>d_294</v>
      </c>
      <c r="B295" s="2">
        <v>40865</v>
      </c>
      <c r="C295" s="4">
        <v>1</v>
      </c>
      <c r="D295">
        <f>alpha1*C294+(1-alpha1)*D294</f>
        <v>0.64405217557593553</v>
      </c>
      <c r="E295" s="4">
        <f t="shared" si="8"/>
        <v>0.35594782442406447</v>
      </c>
      <c r="F295">
        <f t="shared" si="9"/>
        <v>0.35594782442406447</v>
      </c>
    </row>
    <row r="296" spans="1:6" x14ac:dyDescent="0.2">
      <c r="A296" t="str">
        <v>d_295</v>
      </c>
      <c r="B296" s="2">
        <v>40866</v>
      </c>
      <c r="C296" s="4">
        <v>3</v>
      </c>
      <c r="D296">
        <f>alpha1*C295+(1-alpha1)*D295</f>
        <v>0.75083652290315483</v>
      </c>
      <c r="E296" s="4">
        <f t="shared" si="8"/>
        <v>2.2491634770968449</v>
      </c>
      <c r="F296">
        <f t="shared" si="9"/>
        <v>2.2491634770968449</v>
      </c>
    </row>
    <row r="297" spans="1:6" x14ac:dyDescent="0.2">
      <c r="A297" t="str">
        <v>d_296</v>
      </c>
      <c r="B297" s="2">
        <v>40867</v>
      </c>
      <c r="C297" s="4">
        <v>4</v>
      </c>
      <c r="D297">
        <f>alpha1*C296+(1-alpha1)*D296</f>
        <v>1.4255855660322081</v>
      </c>
      <c r="E297" s="4">
        <f t="shared" si="8"/>
        <v>2.5744144339677919</v>
      </c>
      <c r="F297">
        <f t="shared" si="9"/>
        <v>2.5744144339677919</v>
      </c>
    </row>
    <row r="298" spans="1:6" x14ac:dyDescent="0.2">
      <c r="A298" t="str">
        <v>d_297</v>
      </c>
      <c r="B298" s="2">
        <v>40868</v>
      </c>
      <c r="C298" s="4">
        <v>0</v>
      </c>
      <c r="D298">
        <f>alpha1*C297+(1-alpha1)*D297</f>
        <v>2.1979098962225456</v>
      </c>
      <c r="E298" s="4">
        <f t="shared" si="8"/>
        <v>-2.1979098962225456</v>
      </c>
      <c r="F298">
        <f t="shared" si="9"/>
        <v>2.1979098962225456</v>
      </c>
    </row>
    <row r="299" spans="1:6" x14ac:dyDescent="0.2">
      <c r="A299" t="str">
        <v>d_298</v>
      </c>
      <c r="B299" s="2">
        <v>40869</v>
      </c>
      <c r="C299" s="4">
        <v>0</v>
      </c>
      <c r="D299">
        <f>alpha1*C298+(1-alpha1)*D298</f>
        <v>1.5385369273557818</v>
      </c>
      <c r="E299" s="4">
        <f t="shared" si="8"/>
        <v>-1.5385369273557818</v>
      </c>
      <c r="F299">
        <f t="shared" si="9"/>
        <v>1.5385369273557818</v>
      </c>
    </row>
    <row r="300" spans="1:6" x14ac:dyDescent="0.2">
      <c r="A300" t="str">
        <v>d_299</v>
      </c>
      <c r="B300" s="2">
        <v>40870</v>
      </c>
      <c r="C300" s="4">
        <v>1</v>
      </c>
      <c r="D300">
        <f>alpha1*C299+(1-alpha1)*D299</f>
        <v>1.0769758491490473</v>
      </c>
      <c r="E300" s="4">
        <f t="shared" si="8"/>
        <v>-7.6975849149047315E-2</v>
      </c>
      <c r="F300">
        <f t="shared" si="9"/>
        <v>7.6975849149047315E-2</v>
      </c>
    </row>
    <row r="301" spans="1:6" x14ac:dyDescent="0.2">
      <c r="A301" t="str">
        <v>d_300</v>
      </c>
      <c r="B301" s="2">
        <v>40871</v>
      </c>
      <c r="C301" s="4">
        <v>0</v>
      </c>
      <c r="D301">
        <f>alpha1*C300+(1-alpha1)*D300</f>
        <v>1.0538830944043331</v>
      </c>
      <c r="E301" s="4">
        <f t="shared" si="8"/>
        <v>-1.0538830944043331</v>
      </c>
      <c r="F301">
        <f t="shared" si="9"/>
        <v>1.0538830944043331</v>
      </c>
    </row>
    <row r="302" spans="1:6" x14ac:dyDescent="0.2">
      <c r="A302" t="str">
        <v>d_301</v>
      </c>
      <c r="B302" s="2">
        <v>40872</v>
      </c>
      <c r="C302" s="4">
        <v>2</v>
      </c>
      <c r="D302">
        <f>alpha1*C301+(1-alpha1)*D301</f>
        <v>0.7377181660830332</v>
      </c>
      <c r="E302" s="4">
        <f t="shared" si="8"/>
        <v>1.2622818339169668</v>
      </c>
      <c r="F302">
        <f t="shared" si="9"/>
        <v>1.2622818339169668</v>
      </c>
    </row>
    <row r="303" spans="1:6" x14ac:dyDescent="0.2">
      <c r="A303" t="str">
        <v>d_302</v>
      </c>
      <c r="B303" s="2">
        <v>40873</v>
      </c>
      <c r="C303" s="4">
        <v>0</v>
      </c>
      <c r="D303">
        <f>alpha1*C302+(1-alpha1)*D302</f>
        <v>1.1164027162581232</v>
      </c>
      <c r="E303" s="4">
        <f t="shared" si="8"/>
        <v>-1.1164027162581232</v>
      </c>
      <c r="F303">
        <f t="shared" si="9"/>
        <v>1.1164027162581232</v>
      </c>
    </row>
    <row r="304" spans="1:6" x14ac:dyDescent="0.2">
      <c r="A304" t="str">
        <v>d_303</v>
      </c>
      <c r="B304" s="2">
        <v>40874</v>
      </c>
      <c r="C304" s="4">
        <v>0</v>
      </c>
      <c r="D304">
        <f>alpha1*C303+(1-alpha1)*D303</f>
        <v>0.78148190138068618</v>
      </c>
      <c r="E304" s="4">
        <f t="shared" si="8"/>
        <v>-0.78148190138068618</v>
      </c>
      <c r="F304">
        <f t="shared" si="9"/>
        <v>0.78148190138068618</v>
      </c>
    </row>
    <row r="305" spans="1:6" x14ac:dyDescent="0.2">
      <c r="A305" t="str">
        <v>d_304</v>
      </c>
      <c r="B305" s="2">
        <v>40875</v>
      </c>
      <c r="C305" s="4">
        <v>1</v>
      </c>
      <c r="D305">
        <f>alpha1*C304+(1-alpha1)*D304</f>
        <v>0.54703733096648033</v>
      </c>
      <c r="E305" s="4">
        <f t="shared" si="8"/>
        <v>0.45296266903351967</v>
      </c>
      <c r="F305">
        <f t="shared" si="9"/>
        <v>0.45296266903351967</v>
      </c>
    </row>
    <row r="306" spans="1:6" x14ac:dyDescent="0.2">
      <c r="A306" t="str">
        <v>d_305</v>
      </c>
      <c r="B306" s="2">
        <v>40876</v>
      </c>
      <c r="C306" s="4">
        <v>0</v>
      </c>
      <c r="D306">
        <f>alpha1*C305+(1-alpha1)*D305</f>
        <v>0.68292613167653626</v>
      </c>
      <c r="E306" s="4">
        <f t="shared" si="8"/>
        <v>-0.68292613167653626</v>
      </c>
      <c r="F306">
        <f t="shared" si="9"/>
        <v>0.68292613167653626</v>
      </c>
    </row>
    <row r="307" spans="1:6" x14ac:dyDescent="0.2">
      <c r="A307" t="str">
        <v>d_306</v>
      </c>
      <c r="B307" s="2">
        <v>40877</v>
      </c>
      <c r="C307" s="4">
        <v>8</v>
      </c>
      <c r="D307">
        <f>alpha1*C306+(1-alpha1)*D306</f>
        <v>0.47804829217357536</v>
      </c>
      <c r="E307" s="4">
        <f t="shared" si="8"/>
        <v>7.5219517078264246</v>
      </c>
      <c r="F307">
        <f t="shared" si="9"/>
        <v>7.5219517078264246</v>
      </c>
    </row>
    <row r="308" spans="1:6" x14ac:dyDescent="0.2">
      <c r="A308" t="str">
        <v>d_307</v>
      </c>
      <c r="B308" s="2">
        <v>40878</v>
      </c>
      <c r="C308" s="4">
        <v>3</v>
      </c>
      <c r="D308">
        <f>alpha1*C307+(1-alpha1)*D307</f>
        <v>2.7346338045215024</v>
      </c>
      <c r="E308" s="4">
        <f t="shared" si="8"/>
        <v>0.2653661954784976</v>
      </c>
      <c r="F308">
        <f t="shared" si="9"/>
        <v>0.2653661954784976</v>
      </c>
    </row>
    <row r="309" spans="1:6" x14ac:dyDescent="0.2">
      <c r="A309" t="str">
        <v>d_308</v>
      </c>
      <c r="B309" s="2">
        <v>40879</v>
      </c>
      <c r="C309" s="4">
        <v>1</v>
      </c>
      <c r="D309">
        <f>alpha1*C308+(1-alpha1)*D308</f>
        <v>2.8142436631650511</v>
      </c>
      <c r="E309" s="4">
        <f t="shared" si="8"/>
        <v>-1.8142436631650511</v>
      </c>
      <c r="F309">
        <f t="shared" si="9"/>
        <v>1.8142436631650511</v>
      </c>
    </row>
    <row r="310" spans="1:6" x14ac:dyDescent="0.2">
      <c r="A310" t="str">
        <v>d_309</v>
      </c>
      <c r="B310" s="2">
        <v>40880</v>
      </c>
      <c r="C310" s="4">
        <v>1</v>
      </c>
      <c r="D310">
        <f>alpha1*C309+(1-alpha1)*D309</f>
        <v>2.2699705642155354</v>
      </c>
      <c r="E310" s="4">
        <f t="shared" si="8"/>
        <v>-1.2699705642155354</v>
      </c>
      <c r="F310">
        <f t="shared" si="9"/>
        <v>1.2699705642155354</v>
      </c>
    </row>
    <row r="311" spans="1:6" x14ac:dyDescent="0.2">
      <c r="A311" t="str">
        <v>d_310</v>
      </c>
      <c r="B311" s="2">
        <v>40881</v>
      </c>
      <c r="C311" s="4">
        <v>5</v>
      </c>
      <c r="D311">
        <f>alpha1*C310+(1-alpha1)*D310</f>
        <v>1.8889793949508749</v>
      </c>
      <c r="E311" s="4">
        <f t="shared" si="8"/>
        <v>3.1110206050491254</v>
      </c>
      <c r="F311">
        <f t="shared" si="9"/>
        <v>3.1110206050491254</v>
      </c>
    </row>
    <row r="312" spans="1:6" x14ac:dyDescent="0.2">
      <c r="A312" t="str">
        <v>d_311</v>
      </c>
      <c r="B312" s="2">
        <v>40882</v>
      </c>
      <c r="C312" s="4">
        <v>3</v>
      </c>
      <c r="D312">
        <f>alpha1*C311+(1-alpha1)*D311</f>
        <v>2.8222855764656121</v>
      </c>
      <c r="E312" s="4">
        <f t="shared" si="8"/>
        <v>0.17771442353438793</v>
      </c>
      <c r="F312">
        <f t="shared" si="9"/>
        <v>0.17771442353438793</v>
      </c>
    </row>
    <row r="313" spans="1:6" x14ac:dyDescent="0.2">
      <c r="A313" t="str">
        <v>d_312</v>
      </c>
      <c r="B313" s="2">
        <v>40883</v>
      </c>
      <c r="C313" s="4">
        <v>2</v>
      </c>
      <c r="D313">
        <f>alpha1*C312+(1-alpha1)*D312</f>
        <v>2.8755999035259281</v>
      </c>
      <c r="E313" s="4">
        <f t="shared" si="8"/>
        <v>-0.87559990352592809</v>
      </c>
      <c r="F313">
        <f t="shared" si="9"/>
        <v>0.87559990352592809</v>
      </c>
    </row>
    <row r="314" spans="1:6" x14ac:dyDescent="0.2">
      <c r="A314" t="str">
        <v>d_313</v>
      </c>
      <c r="B314" s="2">
        <v>40884</v>
      </c>
      <c r="C314" s="4">
        <v>0</v>
      </c>
      <c r="D314">
        <f>alpha1*C313+(1-alpha1)*D313</f>
        <v>2.6129199324681496</v>
      </c>
      <c r="E314" s="4">
        <f t="shared" si="8"/>
        <v>-2.6129199324681496</v>
      </c>
      <c r="F314">
        <f t="shared" si="9"/>
        <v>2.6129199324681496</v>
      </c>
    </row>
    <row r="315" spans="1:6" x14ac:dyDescent="0.2">
      <c r="A315" t="str">
        <v>d_314</v>
      </c>
      <c r="B315" s="2">
        <v>40885</v>
      </c>
      <c r="C315" s="4">
        <v>1</v>
      </c>
      <c r="D315">
        <f>alpha1*C314+(1-alpha1)*D314</f>
        <v>1.8290439527277045</v>
      </c>
      <c r="E315" s="4">
        <f t="shared" si="8"/>
        <v>-0.82904395272770448</v>
      </c>
      <c r="F315">
        <f t="shared" si="9"/>
        <v>0.82904395272770448</v>
      </c>
    </row>
    <row r="316" spans="1:6" x14ac:dyDescent="0.2">
      <c r="A316" t="str">
        <v>d_315</v>
      </c>
      <c r="B316" s="2">
        <v>40886</v>
      </c>
      <c r="C316" s="4">
        <v>0</v>
      </c>
      <c r="D316">
        <f>alpha1*C315+(1-alpha1)*D315</f>
        <v>1.5803307669093931</v>
      </c>
      <c r="E316" s="4">
        <f t="shared" si="8"/>
        <v>-1.5803307669093931</v>
      </c>
      <c r="F316">
        <f t="shared" si="9"/>
        <v>1.5803307669093931</v>
      </c>
    </row>
    <row r="317" spans="1:6" x14ac:dyDescent="0.2">
      <c r="A317" t="str">
        <v>d_316</v>
      </c>
      <c r="B317" s="2">
        <v>40887</v>
      </c>
      <c r="C317" s="4">
        <v>0</v>
      </c>
      <c r="D317">
        <f>alpha1*C316+(1-alpha1)*D316</f>
        <v>1.1062315368365752</v>
      </c>
      <c r="E317" s="4">
        <f t="shared" si="8"/>
        <v>-1.1062315368365752</v>
      </c>
      <c r="F317">
        <f t="shared" si="9"/>
        <v>1.1062315368365752</v>
      </c>
    </row>
    <row r="318" spans="1:6" x14ac:dyDescent="0.2">
      <c r="A318" t="str">
        <v>d_317</v>
      </c>
      <c r="B318" s="2">
        <v>40888</v>
      </c>
      <c r="C318" s="4">
        <v>2</v>
      </c>
      <c r="D318">
        <f>alpha1*C317+(1-alpha1)*D317</f>
        <v>0.77436207578560257</v>
      </c>
      <c r="E318" s="4">
        <f t="shared" si="8"/>
        <v>1.2256379242143973</v>
      </c>
      <c r="F318">
        <f t="shared" si="9"/>
        <v>1.2256379242143973</v>
      </c>
    </row>
    <row r="319" spans="1:6" x14ac:dyDescent="0.2">
      <c r="A319" t="str">
        <v>d_318</v>
      </c>
      <c r="B319" s="2">
        <v>40889</v>
      </c>
      <c r="C319" s="4">
        <v>0</v>
      </c>
      <c r="D319">
        <f>alpha1*C318+(1-alpha1)*D318</f>
        <v>1.1420534530499218</v>
      </c>
      <c r="E319" s="4">
        <f t="shared" si="8"/>
        <v>-1.1420534530499218</v>
      </c>
      <c r="F319">
        <f t="shared" si="9"/>
        <v>1.1420534530499218</v>
      </c>
    </row>
    <row r="320" spans="1:6" x14ac:dyDescent="0.2">
      <c r="A320" t="str">
        <v>d_319</v>
      </c>
      <c r="B320" s="2">
        <v>40890</v>
      </c>
      <c r="C320" s="4">
        <v>1</v>
      </c>
      <c r="D320">
        <f>alpha1*C319+(1-alpha1)*D319</f>
        <v>0.79943741713494521</v>
      </c>
      <c r="E320" s="4">
        <f t="shared" si="8"/>
        <v>0.20056258286505479</v>
      </c>
      <c r="F320">
        <f t="shared" si="9"/>
        <v>0.20056258286505479</v>
      </c>
    </row>
    <row r="321" spans="1:6" x14ac:dyDescent="0.2">
      <c r="A321" t="str">
        <v>d_320</v>
      </c>
      <c r="B321" s="2">
        <v>40891</v>
      </c>
      <c r="C321" s="4">
        <v>0</v>
      </c>
      <c r="D321">
        <f>alpha1*C320+(1-alpha1)*D320</f>
        <v>0.85960619199446153</v>
      </c>
      <c r="E321" s="4">
        <f t="shared" si="8"/>
        <v>-0.85960619199446153</v>
      </c>
      <c r="F321">
        <f t="shared" si="9"/>
        <v>0.85960619199446153</v>
      </c>
    </row>
    <row r="322" spans="1:6" x14ac:dyDescent="0.2">
      <c r="A322" t="str">
        <v>d_321</v>
      </c>
      <c r="B322" s="2">
        <v>40892</v>
      </c>
      <c r="C322" s="4">
        <v>1</v>
      </c>
      <c r="D322">
        <f>alpha1*C321+(1-alpha1)*D321</f>
        <v>0.60172433439612305</v>
      </c>
      <c r="E322" s="4">
        <f t="shared" si="8"/>
        <v>0.39827566560387695</v>
      </c>
      <c r="F322">
        <f t="shared" si="9"/>
        <v>0.39827566560387695</v>
      </c>
    </row>
    <row r="323" spans="1:6" x14ac:dyDescent="0.2">
      <c r="A323" t="str">
        <v>d_322</v>
      </c>
      <c r="B323" s="2">
        <v>40893</v>
      </c>
      <c r="C323" s="4">
        <v>2</v>
      </c>
      <c r="D323">
        <f>alpha1*C322+(1-alpha1)*D322</f>
        <v>0.72120703407728604</v>
      </c>
      <c r="E323" s="4">
        <f t="shared" ref="E323:E366" si="10">C323-D323</f>
        <v>1.278792965922714</v>
      </c>
      <c r="F323">
        <f t="shared" ref="F323:F366" si="11">ABS(E323)</f>
        <v>1.278792965922714</v>
      </c>
    </row>
    <row r="324" spans="1:6" x14ac:dyDescent="0.2">
      <c r="A324" t="str">
        <v>d_323</v>
      </c>
      <c r="B324" s="2">
        <v>40894</v>
      </c>
      <c r="C324" s="4">
        <v>2</v>
      </c>
      <c r="D324">
        <f>alpha1*C323+(1-alpha1)*D323</f>
        <v>1.1048449238541003</v>
      </c>
      <c r="E324" s="4">
        <f t="shared" si="10"/>
        <v>0.89515507614589973</v>
      </c>
      <c r="F324">
        <f t="shared" si="11"/>
        <v>0.89515507614589973</v>
      </c>
    </row>
    <row r="325" spans="1:6" x14ac:dyDescent="0.2">
      <c r="A325" t="str">
        <v>d_324</v>
      </c>
      <c r="B325" s="2">
        <v>40895</v>
      </c>
      <c r="C325" s="4">
        <v>6</v>
      </c>
      <c r="D325">
        <f>alpha1*C324+(1-alpha1)*D324</f>
        <v>1.3733914466978701</v>
      </c>
      <c r="E325" s="4">
        <f t="shared" si="10"/>
        <v>4.6266085533021304</v>
      </c>
      <c r="F325">
        <f t="shared" si="11"/>
        <v>4.6266085533021304</v>
      </c>
    </row>
    <row r="326" spans="1:6" x14ac:dyDescent="0.2">
      <c r="A326" t="str">
        <v>d_325</v>
      </c>
      <c r="B326" s="2">
        <v>40896</v>
      </c>
      <c r="C326" s="4">
        <v>2</v>
      </c>
      <c r="D326">
        <f>alpha1*C325+(1-alpha1)*D325</f>
        <v>2.7613740126885089</v>
      </c>
      <c r="E326" s="4">
        <f t="shared" si="10"/>
        <v>-0.76137401268850891</v>
      </c>
      <c r="F326">
        <f t="shared" si="11"/>
        <v>0.76137401268850891</v>
      </c>
    </row>
    <row r="327" spans="1:6" x14ac:dyDescent="0.2">
      <c r="A327" t="str">
        <v>d_326</v>
      </c>
      <c r="B327" s="2">
        <v>40897</v>
      </c>
      <c r="C327" s="4">
        <v>3</v>
      </c>
      <c r="D327">
        <f>alpha1*C326+(1-alpha1)*D326</f>
        <v>2.5329618088819559</v>
      </c>
      <c r="E327" s="4">
        <f t="shared" si="10"/>
        <v>0.46703819111804412</v>
      </c>
      <c r="F327">
        <f t="shared" si="11"/>
        <v>0.46703819111804412</v>
      </c>
    </row>
    <row r="328" spans="1:6" x14ac:dyDescent="0.2">
      <c r="A328" t="str">
        <v>d_327</v>
      </c>
      <c r="B328" s="2">
        <v>40898</v>
      </c>
      <c r="C328" s="4">
        <v>5</v>
      </c>
      <c r="D328">
        <f>alpha1*C327+(1-alpha1)*D327</f>
        <v>2.6730732662173686</v>
      </c>
      <c r="E328" s="4">
        <f t="shared" si="10"/>
        <v>2.3269267337826314</v>
      </c>
      <c r="F328">
        <f t="shared" si="11"/>
        <v>2.3269267337826314</v>
      </c>
    </row>
    <row r="329" spans="1:6" x14ac:dyDescent="0.2">
      <c r="A329" t="str">
        <v>d_328</v>
      </c>
      <c r="B329" s="2">
        <v>40899</v>
      </c>
      <c r="C329" s="4">
        <v>3</v>
      </c>
      <c r="D329">
        <f>alpha1*C328+(1-alpha1)*D328</f>
        <v>3.3711512863521582</v>
      </c>
      <c r="E329" s="4">
        <f t="shared" si="10"/>
        <v>-0.37115128635215822</v>
      </c>
      <c r="F329">
        <f t="shared" si="11"/>
        <v>0.37115128635215822</v>
      </c>
    </row>
    <row r="330" spans="1:6" x14ac:dyDescent="0.2">
      <c r="A330" t="str">
        <v>d_329</v>
      </c>
      <c r="B330" s="2">
        <v>40900</v>
      </c>
      <c r="C330" s="4">
        <v>5</v>
      </c>
      <c r="D330">
        <f>alpha1*C329+(1-alpha1)*D329</f>
        <v>3.2598059004465103</v>
      </c>
      <c r="E330" s="4">
        <f t="shared" si="10"/>
        <v>1.7401940995534897</v>
      </c>
      <c r="F330">
        <f t="shared" si="11"/>
        <v>1.7401940995534897</v>
      </c>
    </row>
    <row r="331" spans="1:6" x14ac:dyDescent="0.2">
      <c r="A331" t="str">
        <v>d_330</v>
      </c>
      <c r="B331" s="2">
        <v>40901</v>
      </c>
      <c r="C331" s="4">
        <v>1</v>
      </c>
      <c r="D331">
        <f>alpha1*C330+(1-alpha1)*D330</f>
        <v>3.7818641303125569</v>
      </c>
      <c r="E331" s="4">
        <f t="shared" si="10"/>
        <v>-2.7818641303125569</v>
      </c>
      <c r="F331">
        <f t="shared" si="11"/>
        <v>2.7818641303125569</v>
      </c>
    </row>
    <row r="332" spans="1:6" x14ac:dyDescent="0.2">
      <c r="A332" t="str">
        <v>d_331</v>
      </c>
      <c r="B332" s="2">
        <v>40902</v>
      </c>
      <c r="C332" s="4">
        <v>0</v>
      </c>
      <c r="D332">
        <f>alpha1*C331+(1-alpha1)*D331</f>
        <v>2.9473048912187894</v>
      </c>
      <c r="E332" s="4">
        <f t="shared" si="10"/>
        <v>-2.9473048912187894</v>
      </c>
      <c r="F332">
        <f t="shared" si="11"/>
        <v>2.9473048912187894</v>
      </c>
    </row>
    <row r="333" spans="1:6" x14ac:dyDescent="0.2">
      <c r="A333" t="str">
        <v>d_332</v>
      </c>
      <c r="B333" s="2">
        <v>40903</v>
      </c>
      <c r="C333" s="4">
        <v>1</v>
      </c>
      <c r="D333">
        <f>alpha1*C332+(1-alpha1)*D332</f>
        <v>2.0631134238531526</v>
      </c>
      <c r="E333" s="4">
        <f t="shared" si="10"/>
        <v>-1.0631134238531526</v>
      </c>
      <c r="F333">
        <f t="shared" si="11"/>
        <v>1.0631134238531526</v>
      </c>
    </row>
    <row r="334" spans="1:6" x14ac:dyDescent="0.2">
      <c r="A334" t="str">
        <v>d_333</v>
      </c>
      <c r="B334" s="2">
        <v>40904</v>
      </c>
      <c r="C334" s="4">
        <v>1</v>
      </c>
      <c r="D334">
        <f>alpha1*C333+(1-alpha1)*D333</f>
        <v>1.7441793966972068</v>
      </c>
      <c r="E334" s="4">
        <f t="shared" si="10"/>
        <v>-0.74417939669720679</v>
      </c>
      <c r="F334">
        <f t="shared" si="11"/>
        <v>0.74417939669720679</v>
      </c>
    </row>
    <row r="335" spans="1:6" x14ac:dyDescent="0.2">
      <c r="A335" t="str">
        <v>d_334</v>
      </c>
      <c r="B335" s="2">
        <v>40905</v>
      </c>
      <c r="C335" s="4">
        <v>1</v>
      </c>
      <c r="D335">
        <f>alpha1*C334+(1-alpha1)*D334</f>
        <v>1.5209255776880448</v>
      </c>
      <c r="E335" s="4">
        <f t="shared" si="10"/>
        <v>-0.52092557768804482</v>
      </c>
      <c r="F335">
        <f t="shared" si="11"/>
        <v>0.52092557768804482</v>
      </c>
    </row>
    <row r="336" spans="1:6" x14ac:dyDescent="0.2">
      <c r="A336" t="str">
        <v>d_335</v>
      </c>
      <c r="B336" s="2">
        <v>40906</v>
      </c>
      <c r="C336" s="4">
        <v>0</v>
      </c>
      <c r="D336">
        <f>alpha1*C335+(1-alpha1)*D335</f>
        <v>1.3646479043816313</v>
      </c>
      <c r="E336" s="4">
        <f t="shared" si="10"/>
        <v>-1.3646479043816313</v>
      </c>
      <c r="F336">
        <f t="shared" si="11"/>
        <v>1.3646479043816313</v>
      </c>
    </row>
    <row r="337" spans="1:6" x14ac:dyDescent="0.2">
      <c r="A337" t="str">
        <v>d_336</v>
      </c>
      <c r="B337" s="2">
        <v>40907</v>
      </c>
      <c r="C337" s="4">
        <v>0</v>
      </c>
      <c r="D337">
        <f>alpha1*C336+(1-alpha1)*D336</f>
        <v>0.95525353306714189</v>
      </c>
      <c r="E337" s="4">
        <f t="shared" si="10"/>
        <v>-0.95525353306714189</v>
      </c>
      <c r="F337">
        <f t="shared" si="11"/>
        <v>0.95525353306714189</v>
      </c>
    </row>
    <row r="338" spans="1:6" x14ac:dyDescent="0.2">
      <c r="A338" t="str">
        <v>d_337</v>
      </c>
      <c r="B338" s="2">
        <v>40908</v>
      </c>
      <c r="C338" s="4">
        <v>2</v>
      </c>
      <c r="D338">
        <f>alpha1*C337+(1-alpha1)*D337</f>
        <v>0.66867747314699932</v>
      </c>
      <c r="E338" s="4">
        <f t="shared" si="10"/>
        <v>1.3313225268530007</v>
      </c>
      <c r="F338">
        <f t="shared" si="11"/>
        <v>1.3313225268530007</v>
      </c>
    </row>
    <row r="339" spans="1:6" x14ac:dyDescent="0.2">
      <c r="A339" t="str">
        <v>d_338</v>
      </c>
      <c r="B339" s="2">
        <v>40909</v>
      </c>
      <c r="C339" s="4">
        <v>2</v>
      </c>
      <c r="D339">
        <f>alpha1*C338+(1-alpha1)*D338</f>
        <v>1.0680742312028995</v>
      </c>
      <c r="E339" s="4">
        <f t="shared" si="10"/>
        <v>0.93192576879710054</v>
      </c>
      <c r="F339">
        <f t="shared" si="11"/>
        <v>0.93192576879710054</v>
      </c>
    </row>
    <row r="340" spans="1:6" x14ac:dyDescent="0.2">
      <c r="A340" t="str">
        <v>d_339</v>
      </c>
      <c r="B340" s="2">
        <v>40910</v>
      </c>
      <c r="C340" s="4">
        <v>0</v>
      </c>
      <c r="D340">
        <f>alpha1*C339+(1-alpha1)*D339</f>
        <v>1.3476519618420295</v>
      </c>
      <c r="E340" s="4">
        <f t="shared" si="10"/>
        <v>-1.3476519618420295</v>
      </c>
      <c r="F340">
        <f t="shared" si="11"/>
        <v>1.3476519618420295</v>
      </c>
    </row>
    <row r="341" spans="1:6" x14ac:dyDescent="0.2">
      <c r="A341" t="str">
        <v>d_340</v>
      </c>
      <c r="B341" s="2">
        <v>40911</v>
      </c>
      <c r="C341" s="4">
        <v>0</v>
      </c>
      <c r="D341">
        <f>alpha1*C340+(1-alpha1)*D340</f>
        <v>0.94335637328942057</v>
      </c>
      <c r="E341" s="4">
        <f t="shared" si="10"/>
        <v>-0.94335637328942057</v>
      </c>
      <c r="F341">
        <f t="shared" si="11"/>
        <v>0.94335637328942057</v>
      </c>
    </row>
    <row r="342" spans="1:6" x14ac:dyDescent="0.2">
      <c r="A342" t="str">
        <v>d_341</v>
      </c>
      <c r="B342" s="2">
        <v>40912</v>
      </c>
      <c r="C342" s="4">
        <v>1</v>
      </c>
      <c r="D342">
        <f>alpha1*C341+(1-alpha1)*D341</f>
        <v>0.66034946130259431</v>
      </c>
      <c r="E342" s="4">
        <f t="shared" si="10"/>
        <v>0.33965053869740569</v>
      </c>
      <c r="F342">
        <f t="shared" si="11"/>
        <v>0.33965053869740569</v>
      </c>
    </row>
    <row r="343" spans="1:6" x14ac:dyDescent="0.2">
      <c r="A343" t="str">
        <v>d_342</v>
      </c>
      <c r="B343" s="2">
        <v>40913</v>
      </c>
      <c r="C343" s="4">
        <v>1</v>
      </c>
      <c r="D343">
        <f>alpha1*C342+(1-alpha1)*D342</f>
        <v>0.76224462291181605</v>
      </c>
      <c r="E343" s="4">
        <f t="shared" si="10"/>
        <v>0.23775537708818395</v>
      </c>
      <c r="F343">
        <f t="shared" si="11"/>
        <v>0.23775537708818395</v>
      </c>
    </row>
    <row r="344" spans="1:6" x14ac:dyDescent="0.2">
      <c r="A344" t="str">
        <v>d_343</v>
      </c>
      <c r="B344" s="2">
        <v>40914</v>
      </c>
      <c r="C344" s="4">
        <v>0</v>
      </c>
      <c r="D344">
        <f>alpha1*C343+(1-alpha1)*D343</f>
        <v>0.83357123603827121</v>
      </c>
      <c r="E344" s="4">
        <f t="shared" si="10"/>
        <v>-0.83357123603827121</v>
      </c>
      <c r="F344">
        <f t="shared" si="11"/>
        <v>0.83357123603827121</v>
      </c>
    </row>
    <row r="345" spans="1:6" x14ac:dyDescent="0.2">
      <c r="A345" t="str">
        <v>d_344</v>
      </c>
      <c r="B345" s="2">
        <v>40915</v>
      </c>
      <c r="C345" s="4">
        <v>1</v>
      </c>
      <c r="D345">
        <f>alpha1*C344+(1-alpha1)*D344</f>
        <v>0.58349986522678976</v>
      </c>
      <c r="E345" s="4">
        <f t="shared" si="10"/>
        <v>0.41650013477321024</v>
      </c>
      <c r="F345">
        <f t="shared" si="11"/>
        <v>0.41650013477321024</v>
      </c>
    </row>
    <row r="346" spans="1:6" x14ac:dyDescent="0.2">
      <c r="A346" t="str">
        <v>d_345</v>
      </c>
      <c r="B346" s="2">
        <v>40916</v>
      </c>
      <c r="C346" s="4">
        <v>0</v>
      </c>
      <c r="D346">
        <f>alpha1*C345+(1-alpha1)*D345</f>
        <v>0.70844990565875277</v>
      </c>
      <c r="E346" s="4">
        <f t="shared" si="10"/>
        <v>-0.70844990565875277</v>
      </c>
      <c r="F346">
        <f t="shared" si="11"/>
        <v>0.70844990565875277</v>
      </c>
    </row>
    <row r="347" spans="1:6" x14ac:dyDescent="0.2">
      <c r="A347" t="str">
        <v>d_346</v>
      </c>
      <c r="B347" s="2">
        <v>40917</v>
      </c>
      <c r="C347" s="4">
        <v>0</v>
      </c>
      <c r="D347">
        <f>alpha1*C346+(1-alpha1)*D346</f>
        <v>0.4959149339611269</v>
      </c>
      <c r="E347" s="4">
        <f t="shared" si="10"/>
        <v>-0.4959149339611269</v>
      </c>
      <c r="F347">
        <f t="shared" si="11"/>
        <v>0.4959149339611269</v>
      </c>
    </row>
    <row r="348" spans="1:6" x14ac:dyDescent="0.2">
      <c r="A348" t="str">
        <v>d_347</v>
      </c>
      <c r="B348" s="2">
        <v>40918</v>
      </c>
      <c r="C348" s="4">
        <v>0</v>
      </c>
      <c r="D348">
        <f>alpha1*C347+(1-alpha1)*D347</f>
        <v>0.34714045377278879</v>
      </c>
      <c r="E348" s="4">
        <f t="shared" si="10"/>
        <v>-0.34714045377278879</v>
      </c>
      <c r="F348">
        <f t="shared" si="11"/>
        <v>0.34714045377278879</v>
      </c>
    </row>
    <row r="349" spans="1:6" x14ac:dyDescent="0.2">
      <c r="A349" t="str">
        <v>d_348</v>
      </c>
      <c r="B349" s="2">
        <v>40919</v>
      </c>
      <c r="C349" s="4">
        <v>2</v>
      </c>
      <c r="D349">
        <f>alpha1*C348+(1-alpha1)*D348</f>
        <v>0.24299831764095214</v>
      </c>
      <c r="E349" s="4">
        <f t="shared" si="10"/>
        <v>1.7570016823590477</v>
      </c>
      <c r="F349">
        <f t="shared" si="11"/>
        <v>1.7570016823590477</v>
      </c>
    </row>
    <row r="350" spans="1:6" x14ac:dyDescent="0.2">
      <c r="A350" t="str">
        <v>d_349</v>
      </c>
      <c r="B350" s="2">
        <v>40920</v>
      </c>
      <c r="C350" s="4">
        <v>0</v>
      </c>
      <c r="D350">
        <f>alpha1*C349+(1-alpha1)*D349</f>
        <v>0.77009882234866645</v>
      </c>
      <c r="E350" s="4">
        <f t="shared" si="10"/>
        <v>-0.77009882234866645</v>
      </c>
      <c r="F350">
        <f t="shared" si="11"/>
        <v>0.77009882234866645</v>
      </c>
    </row>
    <row r="351" spans="1:6" x14ac:dyDescent="0.2">
      <c r="A351" t="str">
        <v>d_350</v>
      </c>
      <c r="B351" s="2">
        <v>40921</v>
      </c>
      <c r="C351" s="4">
        <v>1</v>
      </c>
      <c r="D351">
        <f>alpha1*C350+(1-alpha1)*D350</f>
        <v>0.53906917564406642</v>
      </c>
      <c r="E351" s="4">
        <f t="shared" si="10"/>
        <v>0.46093082435593358</v>
      </c>
      <c r="F351">
        <f t="shared" si="11"/>
        <v>0.46093082435593358</v>
      </c>
    </row>
    <row r="352" spans="1:6" x14ac:dyDescent="0.2">
      <c r="A352" t="str">
        <v>d_351</v>
      </c>
      <c r="B352" s="2">
        <v>40922</v>
      </c>
      <c r="C352" s="4">
        <v>0</v>
      </c>
      <c r="D352">
        <f>alpha1*C351+(1-alpha1)*D351</f>
        <v>0.67734842295084641</v>
      </c>
      <c r="E352" s="4">
        <f t="shared" si="10"/>
        <v>-0.67734842295084641</v>
      </c>
      <c r="F352">
        <f t="shared" si="11"/>
        <v>0.67734842295084641</v>
      </c>
    </row>
    <row r="353" spans="1:6" x14ac:dyDescent="0.2">
      <c r="A353" t="str">
        <v>d_352</v>
      </c>
      <c r="B353" s="2">
        <v>40923</v>
      </c>
      <c r="C353" s="4">
        <v>1</v>
      </c>
      <c r="D353">
        <f>alpha1*C352+(1-alpha1)*D352</f>
        <v>0.47414389606559243</v>
      </c>
      <c r="E353" s="4">
        <f t="shared" si="10"/>
        <v>0.52585610393440763</v>
      </c>
      <c r="F353">
        <f t="shared" si="11"/>
        <v>0.52585610393440763</v>
      </c>
    </row>
    <row r="354" spans="1:6" x14ac:dyDescent="0.2">
      <c r="A354" t="str">
        <v>d_353</v>
      </c>
      <c r="B354" s="2">
        <v>40924</v>
      </c>
      <c r="C354" s="4">
        <v>1</v>
      </c>
      <c r="D354">
        <f>alpha1*C353+(1-alpha1)*D353</f>
        <v>0.63190072724591473</v>
      </c>
      <c r="E354" s="4">
        <f t="shared" si="10"/>
        <v>0.36809927275408527</v>
      </c>
      <c r="F354">
        <f t="shared" si="11"/>
        <v>0.36809927275408527</v>
      </c>
    </row>
    <row r="355" spans="1:6" x14ac:dyDescent="0.2">
      <c r="A355" t="str">
        <v>d_354</v>
      </c>
      <c r="B355" s="2">
        <v>40925</v>
      </c>
      <c r="C355" s="4">
        <v>1</v>
      </c>
      <c r="D355">
        <f>alpha1*C354+(1-alpha1)*D354</f>
        <v>0.74233050907214027</v>
      </c>
      <c r="E355" s="4">
        <f t="shared" si="10"/>
        <v>0.25766949092785973</v>
      </c>
      <c r="F355">
        <f t="shared" si="11"/>
        <v>0.25766949092785973</v>
      </c>
    </row>
    <row r="356" spans="1:6" x14ac:dyDescent="0.2">
      <c r="A356" t="str">
        <v>d_355</v>
      </c>
      <c r="B356" s="2">
        <v>40926</v>
      </c>
      <c r="C356" s="4">
        <v>0</v>
      </c>
      <c r="D356">
        <f>alpha1*C355+(1-alpha1)*D355</f>
        <v>0.81963135635049822</v>
      </c>
      <c r="E356" s="4">
        <f t="shared" si="10"/>
        <v>-0.81963135635049822</v>
      </c>
      <c r="F356">
        <f t="shared" si="11"/>
        <v>0.81963135635049822</v>
      </c>
    </row>
    <row r="357" spans="1:6" x14ac:dyDescent="0.2">
      <c r="A357" t="str">
        <v>d_356</v>
      </c>
      <c r="B357" s="2">
        <v>40927</v>
      </c>
      <c r="C357" s="4">
        <v>0</v>
      </c>
      <c r="D357">
        <f>alpha1*C356+(1-alpha1)*D356</f>
        <v>0.57374194944534873</v>
      </c>
      <c r="E357" s="4">
        <f t="shared" si="10"/>
        <v>-0.57374194944534873</v>
      </c>
      <c r="F357">
        <f t="shared" si="11"/>
        <v>0.57374194944534873</v>
      </c>
    </row>
    <row r="358" spans="1:6" x14ac:dyDescent="0.2">
      <c r="A358" t="str">
        <v>d_357</v>
      </c>
      <c r="B358" s="2">
        <v>40928</v>
      </c>
      <c r="C358" s="4">
        <v>4</v>
      </c>
      <c r="D358">
        <f>alpha1*C357+(1-alpha1)*D357</f>
        <v>0.40161936461174408</v>
      </c>
      <c r="E358" s="4">
        <f t="shared" si="10"/>
        <v>3.5983806353882559</v>
      </c>
      <c r="F358">
        <f t="shared" si="11"/>
        <v>3.5983806353882559</v>
      </c>
    </row>
    <row r="359" spans="1:6" x14ac:dyDescent="0.2">
      <c r="A359" t="str">
        <v>d_358</v>
      </c>
      <c r="B359" s="2">
        <v>40929</v>
      </c>
      <c r="C359" s="4">
        <v>1</v>
      </c>
      <c r="D359">
        <f>alpha1*C358+(1-alpha1)*D358</f>
        <v>1.4811335552282208</v>
      </c>
      <c r="E359" s="4">
        <f t="shared" si="10"/>
        <v>-0.48113355522822077</v>
      </c>
      <c r="F359">
        <f t="shared" si="11"/>
        <v>0.48113355522822077</v>
      </c>
    </row>
    <row r="360" spans="1:6" x14ac:dyDescent="0.2">
      <c r="A360" t="str">
        <v>d_359</v>
      </c>
      <c r="B360" s="2">
        <v>40930</v>
      </c>
      <c r="C360" s="4">
        <v>1</v>
      </c>
      <c r="D360">
        <f>alpha1*C359+(1-alpha1)*D359</f>
        <v>1.3367934886597546</v>
      </c>
      <c r="E360" s="4">
        <f t="shared" si="10"/>
        <v>-0.33679348865975456</v>
      </c>
      <c r="F360">
        <f t="shared" si="11"/>
        <v>0.33679348865975456</v>
      </c>
    </row>
    <row r="361" spans="1:6" x14ac:dyDescent="0.2">
      <c r="A361" t="str">
        <v>d_360</v>
      </c>
      <c r="B361" s="2">
        <v>40931</v>
      </c>
      <c r="C361" s="4">
        <v>0</v>
      </c>
      <c r="D361">
        <f>alpha1*C360+(1-alpha1)*D360</f>
        <v>1.2357554420618282</v>
      </c>
      <c r="E361" s="4">
        <f t="shared" si="10"/>
        <v>-1.2357554420618282</v>
      </c>
      <c r="F361">
        <f t="shared" si="11"/>
        <v>1.2357554420618282</v>
      </c>
    </row>
    <row r="362" spans="1:6" x14ac:dyDescent="0.2">
      <c r="A362" t="str">
        <v>d_361</v>
      </c>
      <c r="B362" s="2">
        <v>40932</v>
      </c>
      <c r="C362" s="4">
        <v>0</v>
      </c>
      <c r="D362">
        <f>alpha1*C361+(1-alpha1)*D361</f>
        <v>0.86502880944327964</v>
      </c>
      <c r="E362" s="4">
        <f t="shared" si="10"/>
        <v>-0.86502880944327964</v>
      </c>
      <c r="F362">
        <f t="shared" si="11"/>
        <v>0.86502880944327964</v>
      </c>
    </row>
    <row r="363" spans="1:6" x14ac:dyDescent="0.2">
      <c r="A363" t="str">
        <v>d_362</v>
      </c>
      <c r="B363" s="2">
        <v>40933</v>
      </c>
      <c r="C363" s="4">
        <v>0</v>
      </c>
      <c r="D363">
        <f>alpha1*C362+(1-alpha1)*D362</f>
        <v>0.60552016661029573</v>
      </c>
      <c r="E363" s="4">
        <f t="shared" si="10"/>
        <v>-0.60552016661029573</v>
      </c>
      <c r="F363">
        <f t="shared" si="11"/>
        <v>0.60552016661029573</v>
      </c>
    </row>
    <row r="364" spans="1:6" x14ac:dyDescent="0.2">
      <c r="A364" t="str">
        <v>d_363</v>
      </c>
      <c r="B364" s="2">
        <v>40934</v>
      </c>
      <c r="C364" s="4">
        <v>0</v>
      </c>
      <c r="D364">
        <f>alpha1*C363+(1-alpha1)*D363</f>
        <v>0.42386411662720697</v>
      </c>
      <c r="E364" s="4">
        <f t="shared" si="10"/>
        <v>-0.42386411662720697</v>
      </c>
      <c r="F364">
        <f t="shared" si="11"/>
        <v>0.42386411662720697</v>
      </c>
    </row>
    <row r="365" spans="1:6" x14ac:dyDescent="0.2">
      <c r="A365" t="str">
        <v>d_364</v>
      </c>
      <c r="B365" s="2">
        <v>40935</v>
      </c>
      <c r="C365" s="4">
        <v>0</v>
      </c>
      <c r="D365">
        <f>alpha1*C364+(1-alpha1)*D364</f>
        <v>0.29670488163904485</v>
      </c>
      <c r="E365" s="4">
        <f t="shared" si="10"/>
        <v>-0.29670488163904485</v>
      </c>
      <c r="F365">
        <f t="shared" si="11"/>
        <v>0.29670488163904485</v>
      </c>
    </row>
    <row r="366" spans="1:6" x14ac:dyDescent="0.2">
      <c r="A366" t="str">
        <v>d_365</v>
      </c>
      <c r="B366" s="2">
        <v>40936</v>
      </c>
      <c r="C366" s="4">
        <v>2</v>
      </c>
      <c r="D366">
        <f>alpha1*C365+(1-alpha1)*D365</f>
        <v>0.20769341714733139</v>
      </c>
      <c r="E366" s="4">
        <f t="shared" si="10"/>
        <v>1.7923065828526685</v>
      </c>
      <c r="F366">
        <f t="shared" si="11"/>
        <v>1.7923065828526685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F54F6-B9E1-F548-94E3-397C1FD2C702}">
  <dimension ref="A1:R366"/>
  <sheetViews>
    <sheetView workbookViewId="0">
      <selection activeCell="T49" sqref="T49"/>
    </sheetView>
  </sheetViews>
  <sheetFormatPr baseColWidth="10" defaultRowHeight="16" x14ac:dyDescent="0.2"/>
  <cols>
    <col min="4" max="4" width="15.33203125" customWidth="1"/>
    <col min="8" max="9" width="20" customWidth="1"/>
    <col min="17" max="17" width="13.6640625" customWidth="1"/>
  </cols>
  <sheetData>
    <row r="1" spans="1:18" x14ac:dyDescent="0.2">
      <c r="A1" t="s">
        <v>0</v>
      </c>
      <c r="B1" t="s">
        <v>1</v>
      </c>
      <c r="C1" t="s">
        <v>388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428</v>
      </c>
      <c r="J1" t="s">
        <v>426</v>
      </c>
      <c r="K1" t="s">
        <v>427</v>
      </c>
      <c r="Q1" t="s">
        <v>425</v>
      </c>
      <c r="R1">
        <v>0.2</v>
      </c>
    </row>
    <row r="2" spans="1:18" x14ac:dyDescent="0.2">
      <c r="A2" t="str" cm="1">
        <f t="array" ref="A2:A366">Table2[d]</f>
        <v>d_1</v>
      </c>
      <c r="B2" s="2" cm="1">
        <f t="array" ref="B2:B366">Table2[date]</f>
        <v>40572</v>
      </c>
      <c r="C2" s="4" cm="1">
        <f t="array" ref="C2:C366">Table2[SKU1_Sales]</f>
        <v>3</v>
      </c>
      <c r="D2" s="4">
        <f>C2</f>
        <v>3</v>
      </c>
      <c r="E2">
        <v>1</v>
      </c>
      <c r="F2" s="4">
        <f>D2</f>
        <v>3</v>
      </c>
      <c r="G2">
        <v>1</v>
      </c>
      <c r="H2">
        <f>F2/G2</f>
        <v>3</v>
      </c>
      <c r="I2">
        <f>(1-alpha_c/2)*(F2/G2)</f>
        <v>2.7</v>
      </c>
    </row>
    <row r="3" spans="1:18" x14ac:dyDescent="0.2">
      <c r="A3" t="str">
        <v>d_2</v>
      </c>
      <c r="B3" s="2">
        <v>40573</v>
      </c>
      <c r="C3" s="4">
        <v>0</v>
      </c>
      <c r="D3">
        <f>IF(C3&gt;0,C3,D2)</f>
        <v>3</v>
      </c>
      <c r="E3">
        <f>IF(C3&gt;0,1,E2+1)</f>
        <v>2</v>
      </c>
      <c r="F3">
        <f>IF(C3&gt;0,alpha_c*D3+(1-alpha_c)*F2,F2)</f>
        <v>3</v>
      </c>
      <c r="G3">
        <f>IF(C3&gt;0, alpha_c*E3+(1-alpha_c)*G2,G2)</f>
        <v>1</v>
      </c>
      <c r="H3">
        <f t="shared" ref="H3:H66" si="0">F3/G3</f>
        <v>3</v>
      </c>
      <c r="I3">
        <f>(1-alpha_c/2)*(F3/G3)</f>
        <v>2.7</v>
      </c>
      <c r="J3" s="4">
        <f>C3-H3</f>
        <v>-3</v>
      </c>
      <c r="K3">
        <f>ABS(J3)</f>
        <v>3</v>
      </c>
    </row>
    <row r="4" spans="1:18" x14ac:dyDescent="0.2">
      <c r="A4" t="str">
        <v>d_3</v>
      </c>
      <c r="B4" s="2">
        <v>40574</v>
      </c>
      <c r="C4" s="4">
        <v>0</v>
      </c>
      <c r="D4">
        <f t="shared" ref="D4:D67" si="1">IF(C4&gt;0,C4,D3)</f>
        <v>3</v>
      </c>
      <c r="E4">
        <f t="shared" ref="E4:E67" si="2">IF(C4&gt;0,1,E3+1)</f>
        <v>3</v>
      </c>
      <c r="F4">
        <f>IF(C4&gt;0,alpha_c*D4+(1-alpha_c)*F3,F3)</f>
        <v>3</v>
      </c>
      <c r="G4">
        <f>IF(C4&gt;0, alpha_c*E4+(1-alpha_c)*G3,G3)</f>
        <v>1</v>
      </c>
      <c r="H4">
        <f t="shared" si="0"/>
        <v>3</v>
      </c>
      <c r="I4">
        <f>(1-alpha_c/2)*(F4/G4)</f>
        <v>2.7</v>
      </c>
      <c r="J4" s="4">
        <f t="shared" ref="J4:J67" si="3">C4-H4</f>
        <v>-3</v>
      </c>
      <c r="K4">
        <f t="shared" ref="K4:K67" si="4">ABS(J4)</f>
        <v>3</v>
      </c>
    </row>
    <row r="5" spans="1:18" x14ac:dyDescent="0.2">
      <c r="A5" t="str">
        <v>d_4</v>
      </c>
      <c r="B5" s="2">
        <v>40575</v>
      </c>
      <c r="C5" s="4">
        <v>1</v>
      </c>
      <c r="D5">
        <f t="shared" si="1"/>
        <v>1</v>
      </c>
      <c r="E5">
        <f t="shared" si="2"/>
        <v>1</v>
      </c>
      <c r="F5">
        <f>IF(C5&gt;0,alpha_c*D5+(1-alpha_c)*F4,F4)</f>
        <v>2.6000000000000005</v>
      </c>
      <c r="G5">
        <f>IF(C5&gt;0, alpha_c*E5+(1-alpha_c)*G4,G4)</f>
        <v>1</v>
      </c>
      <c r="H5">
        <f t="shared" si="0"/>
        <v>2.6000000000000005</v>
      </c>
      <c r="I5">
        <f>(1-alpha_c/2)*(F5/G5)</f>
        <v>2.3400000000000007</v>
      </c>
      <c r="J5" s="4">
        <f t="shared" si="3"/>
        <v>-1.6000000000000005</v>
      </c>
      <c r="K5">
        <f t="shared" si="4"/>
        <v>1.6000000000000005</v>
      </c>
      <c r="N5" t="s">
        <v>405</v>
      </c>
    </row>
    <row r="6" spans="1:18" x14ac:dyDescent="0.2">
      <c r="A6" t="str">
        <v>d_5</v>
      </c>
      <c r="B6" s="2">
        <v>40576</v>
      </c>
      <c r="C6" s="4">
        <v>4</v>
      </c>
      <c r="D6">
        <f t="shared" si="1"/>
        <v>4</v>
      </c>
      <c r="E6">
        <f t="shared" si="2"/>
        <v>1</v>
      </c>
      <c r="F6">
        <f>IF(C6&gt;0,alpha_c*D6+(1-alpha_c)*F5,F5)</f>
        <v>2.8800000000000008</v>
      </c>
      <c r="G6">
        <f>IF(C6&gt;0, alpha_c*E6+(1-alpha_c)*G5,G5)</f>
        <v>1</v>
      </c>
      <c r="H6">
        <f t="shared" si="0"/>
        <v>2.8800000000000008</v>
      </c>
      <c r="I6">
        <f>(1-alpha_c/2)*(F6/G6)</f>
        <v>2.592000000000001</v>
      </c>
      <c r="J6" s="4">
        <f t="shared" si="3"/>
        <v>1.1199999999999992</v>
      </c>
      <c r="K6">
        <f t="shared" si="4"/>
        <v>1.1199999999999992</v>
      </c>
      <c r="N6" t="s">
        <v>406</v>
      </c>
    </row>
    <row r="7" spans="1:18" x14ac:dyDescent="0.2">
      <c r="A7" t="str">
        <v>d_6</v>
      </c>
      <c r="B7" s="2">
        <v>40577</v>
      </c>
      <c r="C7" s="4">
        <v>2</v>
      </c>
      <c r="D7">
        <f t="shared" si="1"/>
        <v>2</v>
      </c>
      <c r="E7">
        <f t="shared" si="2"/>
        <v>1</v>
      </c>
      <c r="F7">
        <f>IF(C7&gt;0,alpha_c*D7+(1-alpha_c)*F6,F6)</f>
        <v>2.7040000000000006</v>
      </c>
      <c r="G7">
        <f>IF(C7&gt;0, alpha_c*E7+(1-alpha_c)*G6,G6)</f>
        <v>1</v>
      </c>
      <c r="H7">
        <f t="shared" si="0"/>
        <v>2.7040000000000006</v>
      </c>
      <c r="I7">
        <f>(1-alpha_c/2)*(F7/G7)</f>
        <v>2.4336000000000007</v>
      </c>
      <c r="J7" s="4">
        <f t="shared" si="3"/>
        <v>-0.70400000000000063</v>
      </c>
      <c r="K7">
        <f t="shared" si="4"/>
        <v>0.70400000000000063</v>
      </c>
      <c r="N7" t="s">
        <v>407</v>
      </c>
    </row>
    <row r="8" spans="1:18" x14ac:dyDescent="0.2">
      <c r="A8" t="str">
        <v>d_7</v>
      </c>
      <c r="B8" s="2">
        <v>40578</v>
      </c>
      <c r="C8" s="4">
        <v>0</v>
      </c>
      <c r="D8">
        <f t="shared" si="1"/>
        <v>2</v>
      </c>
      <c r="E8">
        <f t="shared" si="2"/>
        <v>2</v>
      </c>
      <c r="F8">
        <f>IF(C8&gt;0,alpha_c*D8+(1-alpha_c)*F7,F7)</f>
        <v>2.7040000000000006</v>
      </c>
      <c r="G8">
        <f>IF(C8&gt;0, alpha_c*E8+(1-alpha_c)*G7,G7)</f>
        <v>1</v>
      </c>
      <c r="H8">
        <f t="shared" si="0"/>
        <v>2.7040000000000006</v>
      </c>
      <c r="I8">
        <f>(1-alpha_c/2)*(F8/G8)</f>
        <v>2.4336000000000007</v>
      </c>
      <c r="J8" s="4">
        <f t="shared" si="3"/>
        <v>-2.7040000000000006</v>
      </c>
      <c r="K8">
        <f t="shared" si="4"/>
        <v>2.7040000000000006</v>
      </c>
      <c r="N8" t="s">
        <v>408</v>
      </c>
    </row>
    <row r="9" spans="1:18" x14ac:dyDescent="0.2">
      <c r="A9" t="str">
        <v>d_8</v>
      </c>
      <c r="B9" s="2">
        <v>40579</v>
      </c>
      <c r="C9" s="4">
        <v>2</v>
      </c>
      <c r="D9">
        <f t="shared" si="1"/>
        <v>2</v>
      </c>
      <c r="E9">
        <f t="shared" si="2"/>
        <v>1</v>
      </c>
      <c r="F9">
        <f>IF(C9&gt;0,alpha_c*D9+(1-alpha_c)*F8,F8)</f>
        <v>2.5632000000000006</v>
      </c>
      <c r="G9">
        <f>IF(C9&gt;0, alpha_c*E9+(1-alpha_c)*G8,G8)</f>
        <v>1</v>
      </c>
      <c r="H9">
        <f t="shared" si="0"/>
        <v>2.5632000000000006</v>
      </c>
      <c r="I9">
        <f>(1-alpha_c/2)*(F9/G9)</f>
        <v>2.3068800000000005</v>
      </c>
      <c r="J9" s="4">
        <f t="shared" si="3"/>
        <v>-0.56320000000000059</v>
      </c>
      <c r="K9">
        <f t="shared" si="4"/>
        <v>0.56320000000000059</v>
      </c>
    </row>
    <row r="10" spans="1:18" x14ac:dyDescent="0.2">
      <c r="A10" t="str">
        <v>d_9</v>
      </c>
      <c r="B10" s="2">
        <v>40580</v>
      </c>
      <c r="C10" s="4">
        <v>0</v>
      </c>
      <c r="D10">
        <f t="shared" si="1"/>
        <v>2</v>
      </c>
      <c r="E10">
        <f t="shared" si="2"/>
        <v>2</v>
      </c>
      <c r="F10">
        <f>IF(C10&gt;0,alpha_c*D10+(1-alpha_c)*F9,F9)</f>
        <v>2.5632000000000006</v>
      </c>
      <c r="G10">
        <f>IF(C10&gt;0, alpha_c*E10+(1-alpha_c)*G9,G9)</f>
        <v>1</v>
      </c>
      <c r="H10">
        <f t="shared" si="0"/>
        <v>2.5632000000000006</v>
      </c>
      <c r="I10">
        <f>(1-alpha_c/2)*(F10/G10)</f>
        <v>2.3068800000000005</v>
      </c>
      <c r="J10" s="4">
        <f t="shared" si="3"/>
        <v>-2.5632000000000006</v>
      </c>
      <c r="K10">
        <f t="shared" si="4"/>
        <v>2.5632000000000006</v>
      </c>
    </row>
    <row r="11" spans="1:18" x14ac:dyDescent="0.2">
      <c r="A11" t="str">
        <v>d_10</v>
      </c>
      <c r="B11" s="2">
        <v>40581</v>
      </c>
      <c r="C11" s="4">
        <v>0</v>
      </c>
      <c r="D11">
        <f t="shared" si="1"/>
        <v>2</v>
      </c>
      <c r="E11">
        <f t="shared" si="2"/>
        <v>3</v>
      </c>
      <c r="F11">
        <f>IF(C11&gt;0,alpha_c*D11+(1-alpha_c)*F10,F10)</f>
        <v>2.5632000000000006</v>
      </c>
      <c r="G11">
        <f>IF(C11&gt;0, alpha_c*E11+(1-alpha_c)*G10,G10)</f>
        <v>1</v>
      </c>
      <c r="H11">
        <f t="shared" si="0"/>
        <v>2.5632000000000006</v>
      </c>
      <c r="I11">
        <f>(1-alpha_c/2)*(F11/G11)</f>
        <v>2.3068800000000005</v>
      </c>
      <c r="J11" s="4">
        <f t="shared" si="3"/>
        <v>-2.5632000000000006</v>
      </c>
      <c r="K11">
        <f t="shared" si="4"/>
        <v>2.5632000000000006</v>
      </c>
    </row>
    <row r="12" spans="1:18" x14ac:dyDescent="0.2">
      <c r="A12" t="str">
        <v>d_11</v>
      </c>
      <c r="B12" s="2">
        <v>40582</v>
      </c>
      <c r="C12" s="4">
        <v>0</v>
      </c>
      <c r="D12">
        <f t="shared" si="1"/>
        <v>2</v>
      </c>
      <c r="E12">
        <f t="shared" si="2"/>
        <v>4</v>
      </c>
      <c r="F12">
        <f>IF(C12&gt;0,alpha_c*D12+(1-alpha_c)*F11,F11)</f>
        <v>2.5632000000000006</v>
      </c>
      <c r="G12">
        <f>IF(C12&gt;0, alpha_c*E12+(1-alpha_c)*G11,G11)</f>
        <v>1</v>
      </c>
      <c r="H12">
        <f t="shared" si="0"/>
        <v>2.5632000000000006</v>
      </c>
      <c r="I12">
        <f>(1-alpha_c/2)*(F12/G12)</f>
        <v>2.3068800000000005</v>
      </c>
      <c r="J12" s="4">
        <f t="shared" si="3"/>
        <v>-2.5632000000000006</v>
      </c>
      <c r="K12">
        <f t="shared" si="4"/>
        <v>2.5632000000000006</v>
      </c>
    </row>
    <row r="13" spans="1:18" x14ac:dyDescent="0.2">
      <c r="A13" t="str">
        <v>d_12</v>
      </c>
      <c r="B13" s="2">
        <v>40583</v>
      </c>
      <c r="C13" s="4">
        <v>0</v>
      </c>
      <c r="D13">
        <f t="shared" si="1"/>
        <v>2</v>
      </c>
      <c r="E13">
        <f t="shared" si="2"/>
        <v>5</v>
      </c>
      <c r="F13">
        <f>IF(C13&gt;0,alpha_c*D13+(1-alpha_c)*F12,F12)</f>
        <v>2.5632000000000006</v>
      </c>
      <c r="G13">
        <f>IF(C13&gt;0, alpha_c*E13+(1-alpha_c)*G12,G12)</f>
        <v>1</v>
      </c>
      <c r="H13">
        <f t="shared" si="0"/>
        <v>2.5632000000000006</v>
      </c>
      <c r="I13">
        <f>(1-alpha_c/2)*(F13/G13)</f>
        <v>2.3068800000000005</v>
      </c>
      <c r="J13" s="4">
        <f t="shared" si="3"/>
        <v>-2.5632000000000006</v>
      </c>
      <c r="K13">
        <f t="shared" si="4"/>
        <v>2.5632000000000006</v>
      </c>
    </row>
    <row r="14" spans="1:18" x14ac:dyDescent="0.2">
      <c r="A14" t="str">
        <v>d_13</v>
      </c>
      <c r="B14" s="2">
        <v>40584</v>
      </c>
      <c r="C14" s="4">
        <v>3</v>
      </c>
      <c r="D14">
        <f t="shared" si="1"/>
        <v>3</v>
      </c>
      <c r="E14">
        <f t="shared" si="2"/>
        <v>1</v>
      </c>
      <c r="F14">
        <f>IF(C14&gt;0,alpha_c*D14+(1-alpha_c)*F13,F13)</f>
        <v>2.6505600000000005</v>
      </c>
      <c r="G14">
        <f>IF(C14&gt;0, alpha_c*E14+(1-alpha_c)*G13,G13)</f>
        <v>1</v>
      </c>
      <c r="H14">
        <f t="shared" si="0"/>
        <v>2.6505600000000005</v>
      </c>
      <c r="I14">
        <f>(1-alpha_c/2)*(F14/G14)</f>
        <v>2.3855040000000005</v>
      </c>
      <c r="J14" s="4">
        <f t="shared" si="3"/>
        <v>0.34943999999999953</v>
      </c>
      <c r="K14">
        <f t="shared" si="4"/>
        <v>0.34943999999999953</v>
      </c>
    </row>
    <row r="15" spans="1:18" x14ac:dyDescent="0.2">
      <c r="A15" t="str">
        <v>d_14</v>
      </c>
      <c r="B15" s="2">
        <v>40585</v>
      </c>
      <c r="C15" s="4">
        <v>1</v>
      </c>
      <c r="D15">
        <f t="shared" si="1"/>
        <v>1</v>
      </c>
      <c r="E15">
        <f t="shared" si="2"/>
        <v>1</v>
      </c>
      <c r="F15">
        <f>IF(C15&gt;0,alpha_c*D15+(1-alpha_c)*F14,F14)</f>
        <v>2.3204480000000007</v>
      </c>
      <c r="G15">
        <f>IF(C15&gt;0, alpha_c*E15+(1-alpha_c)*G14,G14)</f>
        <v>1</v>
      </c>
      <c r="H15">
        <f t="shared" si="0"/>
        <v>2.3204480000000007</v>
      </c>
      <c r="I15">
        <f>(1-alpha_c/2)*(F15/G15)</f>
        <v>2.0884032000000006</v>
      </c>
      <c r="J15" s="4">
        <f t="shared" si="3"/>
        <v>-1.3204480000000007</v>
      </c>
      <c r="K15">
        <f t="shared" si="4"/>
        <v>1.3204480000000007</v>
      </c>
    </row>
    <row r="16" spans="1:18" x14ac:dyDescent="0.2">
      <c r="A16" t="str">
        <v>d_15</v>
      </c>
      <c r="B16" s="2">
        <v>40586</v>
      </c>
      <c r="C16" s="4">
        <v>3</v>
      </c>
      <c r="D16">
        <f t="shared" si="1"/>
        <v>3</v>
      </c>
      <c r="E16">
        <f t="shared" si="2"/>
        <v>1</v>
      </c>
      <c r="F16">
        <f>IF(C16&gt;0,alpha_c*D16+(1-alpha_c)*F15,F15)</f>
        <v>2.4563584000000009</v>
      </c>
      <c r="G16">
        <f>IF(C16&gt;0, alpha_c*E16+(1-alpha_c)*G15,G15)</f>
        <v>1</v>
      </c>
      <c r="H16">
        <f t="shared" si="0"/>
        <v>2.4563584000000009</v>
      </c>
      <c r="I16">
        <f>(1-alpha_c/2)*(F16/G16)</f>
        <v>2.2107225600000011</v>
      </c>
      <c r="J16" s="4">
        <f t="shared" si="3"/>
        <v>0.54364159999999906</v>
      </c>
      <c r="K16">
        <f t="shared" si="4"/>
        <v>0.54364159999999906</v>
      </c>
    </row>
    <row r="17" spans="1:11" x14ac:dyDescent="0.2">
      <c r="A17" t="str">
        <v>d_16</v>
      </c>
      <c r="B17" s="2">
        <v>40587</v>
      </c>
      <c r="C17" s="4">
        <v>0</v>
      </c>
      <c r="D17">
        <f t="shared" si="1"/>
        <v>3</v>
      </c>
      <c r="E17">
        <f t="shared" si="2"/>
        <v>2</v>
      </c>
      <c r="F17">
        <f>IF(C17&gt;0,alpha_c*D17+(1-alpha_c)*F16,F16)</f>
        <v>2.4563584000000009</v>
      </c>
      <c r="G17">
        <f>IF(C17&gt;0, alpha_c*E17+(1-alpha_c)*G16,G16)</f>
        <v>1</v>
      </c>
      <c r="H17">
        <f t="shared" si="0"/>
        <v>2.4563584000000009</v>
      </c>
      <c r="I17">
        <f>(1-alpha_c/2)*(F17/G17)</f>
        <v>2.2107225600000011</v>
      </c>
      <c r="J17" s="4">
        <f t="shared" si="3"/>
        <v>-2.4563584000000009</v>
      </c>
      <c r="K17">
        <f t="shared" si="4"/>
        <v>2.4563584000000009</v>
      </c>
    </row>
    <row r="18" spans="1:11" x14ac:dyDescent="0.2">
      <c r="A18" t="str">
        <v>d_17</v>
      </c>
      <c r="B18" s="2">
        <v>40588</v>
      </c>
      <c r="C18" s="4">
        <v>2</v>
      </c>
      <c r="D18">
        <f t="shared" si="1"/>
        <v>2</v>
      </c>
      <c r="E18">
        <f t="shared" si="2"/>
        <v>1</v>
      </c>
      <c r="F18">
        <f>IF(C18&gt;0,alpha_c*D18+(1-alpha_c)*F17,F17)</f>
        <v>2.3650867200000008</v>
      </c>
      <c r="G18">
        <f>IF(C18&gt;0, alpha_c*E18+(1-alpha_c)*G17,G17)</f>
        <v>1</v>
      </c>
      <c r="H18">
        <f t="shared" si="0"/>
        <v>2.3650867200000008</v>
      </c>
      <c r="I18">
        <f>(1-alpha_c/2)*(F18/G18)</f>
        <v>2.1285780480000009</v>
      </c>
      <c r="J18" s="4">
        <f t="shared" si="3"/>
        <v>-0.36508672000000075</v>
      </c>
      <c r="K18">
        <f t="shared" si="4"/>
        <v>0.36508672000000075</v>
      </c>
    </row>
    <row r="19" spans="1:11" x14ac:dyDescent="0.2">
      <c r="A19" t="str">
        <v>d_18</v>
      </c>
      <c r="B19" s="2">
        <v>40589</v>
      </c>
      <c r="C19" s="4">
        <v>1</v>
      </c>
      <c r="D19">
        <f t="shared" si="1"/>
        <v>1</v>
      </c>
      <c r="E19">
        <f t="shared" si="2"/>
        <v>1</v>
      </c>
      <c r="F19">
        <f>IF(C19&gt;0,alpha_c*D19+(1-alpha_c)*F18,F18)</f>
        <v>2.0920693760000009</v>
      </c>
      <c r="G19">
        <f>IF(C19&gt;0, alpha_c*E19+(1-alpha_c)*G18,G18)</f>
        <v>1</v>
      </c>
      <c r="H19">
        <f t="shared" si="0"/>
        <v>2.0920693760000009</v>
      </c>
      <c r="I19">
        <f>(1-alpha_c/2)*(F19/G19)</f>
        <v>1.8828624384000008</v>
      </c>
      <c r="J19" s="4">
        <f t="shared" si="3"/>
        <v>-1.0920693760000009</v>
      </c>
      <c r="K19">
        <f t="shared" si="4"/>
        <v>1.0920693760000009</v>
      </c>
    </row>
    <row r="20" spans="1:11" x14ac:dyDescent="0.2">
      <c r="A20" t="str">
        <v>d_19</v>
      </c>
      <c r="B20" s="2">
        <v>40590</v>
      </c>
      <c r="C20" s="4">
        <v>2</v>
      </c>
      <c r="D20">
        <f t="shared" si="1"/>
        <v>2</v>
      </c>
      <c r="E20">
        <f t="shared" si="2"/>
        <v>1</v>
      </c>
      <c r="F20">
        <f>IF(C20&gt;0,alpha_c*D20+(1-alpha_c)*F19,F19)</f>
        <v>2.0736555008000006</v>
      </c>
      <c r="G20">
        <f>IF(C20&gt;0, alpha_c*E20+(1-alpha_c)*G19,G19)</f>
        <v>1</v>
      </c>
      <c r="H20">
        <f t="shared" si="0"/>
        <v>2.0736555008000006</v>
      </c>
      <c r="I20">
        <f>(1-alpha_c/2)*(F20/G20)</f>
        <v>1.8662899507200006</v>
      </c>
      <c r="J20" s="4">
        <f t="shared" si="3"/>
        <v>-7.3655500800000606E-2</v>
      </c>
      <c r="K20">
        <f t="shared" si="4"/>
        <v>7.3655500800000606E-2</v>
      </c>
    </row>
    <row r="21" spans="1:11" x14ac:dyDescent="0.2">
      <c r="A21" t="str">
        <v>d_20</v>
      </c>
      <c r="B21" s="2">
        <v>40591</v>
      </c>
      <c r="C21" s="4">
        <v>0</v>
      </c>
      <c r="D21">
        <f t="shared" si="1"/>
        <v>2</v>
      </c>
      <c r="E21">
        <f t="shared" si="2"/>
        <v>2</v>
      </c>
      <c r="F21">
        <f>IF(C21&gt;0,alpha_c*D21+(1-alpha_c)*F20,F20)</f>
        <v>2.0736555008000006</v>
      </c>
      <c r="G21">
        <f>IF(C21&gt;0, alpha_c*E21+(1-alpha_c)*G20,G20)</f>
        <v>1</v>
      </c>
      <c r="H21">
        <f t="shared" si="0"/>
        <v>2.0736555008000006</v>
      </c>
      <c r="I21">
        <f>(1-alpha_c/2)*(F21/G21)</f>
        <v>1.8662899507200006</v>
      </c>
      <c r="J21" s="4">
        <f t="shared" si="3"/>
        <v>-2.0736555008000006</v>
      </c>
      <c r="K21">
        <f t="shared" si="4"/>
        <v>2.0736555008000006</v>
      </c>
    </row>
    <row r="22" spans="1:11" x14ac:dyDescent="0.2">
      <c r="A22" t="str">
        <v>d_21</v>
      </c>
      <c r="B22" s="2">
        <v>40592</v>
      </c>
      <c r="C22" s="4">
        <v>2</v>
      </c>
      <c r="D22">
        <f t="shared" si="1"/>
        <v>2</v>
      </c>
      <c r="E22">
        <f t="shared" si="2"/>
        <v>1</v>
      </c>
      <c r="F22">
        <f>IF(C22&gt;0,alpha_c*D22+(1-alpha_c)*F21,F21)</f>
        <v>2.0589244006400005</v>
      </c>
      <c r="G22">
        <f>IF(C22&gt;0, alpha_c*E22+(1-alpha_c)*G21,G21)</f>
        <v>1</v>
      </c>
      <c r="H22">
        <f t="shared" si="0"/>
        <v>2.0589244006400005</v>
      </c>
      <c r="I22">
        <f>(1-alpha_c/2)*(F22/G22)</f>
        <v>1.8530319605760004</v>
      </c>
      <c r="J22" s="4">
        <f t="shared" si="3"/>
        <v>-5.8924400640000485E-2</v>
      </c>
      <c r="K22">
        <f t="shared" si="4"/>
        <v>5.8924400640000485E-2</v>
      </c>
    </row>
    <row r="23" spans="1:11" x14ac:dyDescent="0.2">
      <c r="A23" t="str">
        <v>d_22</v>
      </c>
      <c r="B23" s="2">
        <v>40593</v>
      </c>
      <c r="C23" s="4">
        <v>1</v>
      </c>
      <c r="D23">
        <f t="shared" si="1"/>
        <v>1</v>
      </c>
      <c r="E23">
        <f t="shared" si="2"/>
        <v>1</v>
      </c>
      <c r="F23">
        <f>IF(C23&gt;0,alpha_c*D23+(1-alpha_c)*F22,F22)</f>
        <v>1.8471395205120005</v>
      </c>
      <c r="G23">
        <f>IF(C23&gt;0, alpha_c*E23+(1-alpha_c)*G22,G22)</f>
        <v>1</v>
      </c>
      <c r="H23">
        <f t="shared" si="0"/>
        <v>1.8471395205120005</v>
      </c>
      <c r="I23">
        <f>(1-alpha_c/2)*(F23/G23)</f>
        <v>1.6624255684608005</v>
      </c>
      <c r="J23" s="4">
        <f t="shared" si="3"/>
        <v>-0.84713952051200048</v>
      </c>
      <c r="K23">
        <f t="shared" si="4"/>
        <v>0.84713952051200048</v>
      </c>
    </row>
    <row r="24" spans="1:11" x14ac:dyDescent="0.2">
      <c r="A24" t="str">
        <v>d_23</v>
      </c>
      <c r="B24" s="2">
        <v>40594</v>
      </c>
      <c r="C24" s="4">
        <v>2</v>
      </c>
      <c r="D24">
        <f t="shared" si="1"/>
        <v>2</v>
      </c>
      <c r="E24">
        <f t="shared" si="2"/>
        <v>1</v>
      </c>
      <c r="F24">
        <f>IF(C24&gt;0,alpha_c*D24+(1-alpha_c)*F23,F23)</f>
        <v>1.8777116164096004</v>
      </c>
      <c r="G24">
        <f>IF(C24&gt;0, alpha_c*E24+(1-alpha_c)*G23,G23)</f>
        <v>1</v>
      </c>
      <c r="H24">
        <f t="shared" si="0"/>
        <v>1.8777116164096004</v>
      </c>
      <c r="I24">
        <f>(1-alpha_c/2)*(F24/G24)</f>
        <v>1.6899404547686403</v>
      </c>
      <c r="J24" s="4">
        <f t="shared" si="3"/>
        <v>0.12228838359039962</v>
      </c>
      <c r="K24">
        <f t="shared" si="4"/>
        <v>0.12228838359039962</v>
      </c>
    </row>
    <row r="25" spans="1:11" x14ac:dyDescent="0.2">
      <c r="A25" t="str">
        <v>d_24</v>
      </c>
      <c r="B25" s="2">
        <v>40595</v>
      </c>
      <c r="C25" s="4">
        <v>0</v>
      </c>
      <c r="D25">
        <f t="shared" si="1"/>
        <v>2</v>
      </c>
      <c r="E25">
        <f t="shared" si="2"/>
        <v>2</v>
      </c>
      <c r="F25">
        <f>IF(C25&gt;0,alpha_c*D25+(1-alpha_c)*F24,F24)</f>
        <v>1.8777116164096004</v>
      </c>
      <c r="G25">
        <f>IF(C25&gt;0, alpha_c*E25+(1-alpha_c)*G24,G24)</f>
        <v>1</v>
      </c>
      <c r="H25">
        <f t="shared" si="0"/>
        <v>1.8777116164096004</v>
      </c>
      <c r="I25">
        <f>(1-alpha_c/2)*(F25/G25)</f>
        <v>1.6899404547686403</v>
      </c>
      <c r="J25" s="4">
        <f t="shared" si="3"/>
        <v>-1.8777116164096004</v>
      </c>
      <c r="K25">
        <f t="shared" si="4"/>
        <v>1.8777116164096004</v>
      </c>
    </row>
    <row r="26" spans="1:11" x14ac:dyDescent="0.2">
      <c r="A26" t="str">
        <v>d_25</v>
      </c>
      <c r="B26" s="2">
        <v>40596</v>
      </c>
      <c r="C26" s="4">
        <v>2</v>
      </c>
      <c r="D26">
        <f t="shared" si="1"/>
        <v>2</v>
      </c>
      <c r="E26">
        <f t="shared" si="2"/>
        <v>1</v>
      </c>
      <c r="F26">
        <f>IF(C26&gt;0,alpha_c*D26+(1-alpha_c)*F25,F25)</f>
        <v>1.9021692931276806</v>
      </c>
      <c r="G26">
        <f>IF(C26&gt;0, alpha_c*E26+(1-alpha_c)*G25,G25)</f>
        <v>1</v>
      </c>
      <c r="H26">
        <f t="shared" si="0"/>
        <v>1.9021692931276806</v>
      </c>
      <c r="I26">
        <f>(1-alpha_c/2)*(F26/G26)</f>
        <v>1.7119523638149126</v>
      </c>
      <c r="J26" s="4">
        <f t="shared" si="3"/>
        <v>9.7830706872319428E-2</v>
      </c>
      <c r="K26">
        <f t="shared" si="4"/>
        <v>9.7830706872319428E-2</v>
      </c>
    </row>
    <row r="27" spans="1:11" x14ac:dyDescent="0.2">
      <c r="A27" t="str">
        <v>d_26</v>
      </c>
      <c r="B27" s="2">
        <v>40597</v>
      </c>
      <c r="C27" s="4">
        <v>2</v>
      </c>
      <c r="D27">
        <f t="shared" si="1"/>
        <v>2</v>
      </c>
      <c r="E27">
        <f t="shared" si="2"/>
        <v>1</v>
      </c>
      <c r="F27">
        <f>IF(C27&gt;0,alpha_c*D27+(1-alpha_c)*F26,F26)</f>
        <v>1.9217354345021445</v>
      </c>
      <c r="G27">
        <f>IF(C27&gt;0, alpha_c*E27+(1-alpha_c)*G26,G26)</f>
        <v>1</v>
      </c>
      <c r="H27">
        <f t="shared" si="0"/>
        <v>1.9217354345021445</v>
      </c>
      <c r="I27">
        <f>(1-alpha_c/2)*(F27/G27)</f>
        <v>1.7295618910519301</v>
      </c>
      <c r="J27" s="4">
        <f t="shared" si="3"/>
        <v>7.8264565497855543E-2</v>
      </c>
      <c r="K27">
        <f t="shared" si="4"/>
        <v>7.8264565497855543E-2</v>
      </c>
    </row>
    <row r="28" spans="1:11" x14ac:dyDescent="0.2">
      <c r="A28" t="str">
        <v>d_27</v>
      </c>
      <c r="B28" s="2">
        <v>40598</v>
      </c>
      <c r="C28" s="4">
        <v>2</v>
      </c>
      <c r="D28">
        <f t="shared" si="1"/>
        <v>2</v>
      </c>
      <c r="E28">
        <f t="shared" si="2"/>
        <v>1</v>
      </c>
      <c r="F28">
        <f>IF(C28&gt;0,alpha_c*D28+(1-alpha_c)*F27,F27)</f>
        <v>1.9373883476017157</v>
      </c>
      <c r="G28">
        <f>IF(C28&gt;0, alpha_c*E28+(1-alpha_c)*G27,G27)</f>
        <v>1</v>
      </c>
      <c r="H28">
        <f t="shared" si="0"/>
        <v>1.9373883476017157</v>
      </c>
      <c r="I28">
        <f>(1-alpha_c/2)*(F28/G28)</f>
        <v>1.7436495128415441</v>
      </c>
      <c r="J28" s="4">
        <f t="shared" si="3"/>
        <v>6.2611652398284257E-2</v>
      </c>
      <c r="K28">
        <f t="shared" si="4"/>
        <v>6.2611652398284257E-2</v>
      </c>
    </row>
    <row r="29" spans="1:11" x14ac:dyDescent="0.2">
      <c r="A29" t="str">
        <v>d_28</v>
      </c>
      <c r="B29" s="2">
        <v>40599</v>
      </c>
      <c r="C29" s="4">
        <v>4</v>
      </c>
      <c r="D29">
        <f t="shared" si="1"/>
        <v>4</v>
      </c>
      <c r="E29">
        <f t="shared" si="2"/>
        <v>1</v>
      </c>
      <c r="F29">
        <f>IF(C29&gt;0,alpha_c*D29+(1-alpha_c)*F28,F28)</f>
        <v>2.3499106780813728</v>
      </c>
      <c r="G29">
        <f>IF(C29&gt;0, alpha_c*E29+(1-alpha_c)*G28,G28)</f>
        <v>1</v>
      </c>
      <c r="H29">
        <f t="shared" si="0"/>
        <v>2.3499106780813728</v>
      </c>
      <c r="I29">
        <f>(1-alpha_c/2)*(F29/G29)</f>
        <v>2.1149196102732355</v>
      </c>
      <c r="J29" s="4">
        <f t="shared" si="3"/>
        <v>1.6500893219186272</v>
      </c>
      <c r="K29">
        <f t="shared" si="4"/>
        <v>1.6500893219186272</v>
      </c>
    </row>
    <row r="30" spans="1:11" x14ac:dyDescent="0.2">
      <c r="A30" t="str">
        <v>d_29</v>
      </c>
      <c r="B30" s="2">
        <v>40600</v>
      </c>
      <c r="C30" s="4">
        <v>2</v>
      </c>
      <c r="D30">
        <f t="shared" si="1"/>
        <v>2</v>
      </c>
      <c r="E30">
        <f t="shared" si="2"/>
        <v>1</v>
      </c>
      <c r="F30">
        <f>IF(C30&gt;0,alpha_c*D30+(1-alpha_c)*F29,F29)</f>
        <v>2.2799285424650981</v>
      </c>
      <c r="G30">
        <f>IF(C30&gt;0, alpha_c*E30+(1-alpha_c)*G29,G29)</f>
        <v>1</v>
      </c>
      <c r="H30">
        <f t="shared" si="0"/>
        <v>2.2799285424650981</v>
      </c>
      <c r="I30">
        <f>(1-alpha_c/2)*(F30/G30)</f>
        <v>2.0519356882185882</v>
      </c>
      <c r="J30" s="4">
        <f t="shared" si="3"/>
        <v>-0.27992854246509813</v>
      </c>
      <c r="K30">
        <f t="shared" si="4"/>
        <v>0.27992854246509813</v>
      </c>
    </row>
    <row r="31" spans="1:11" x14ac:dyDescent="0.2">
      <c r="A31" t="str">
        <v>d_30</v>
      </c>
      <c r="B31" s="2">
        <v>40601</v>
      </c>
      <c r="C31" s="4">
        <v>2</v>
      </c>
      <c r="D31">
        <f t="shared" si="1"/>
        <v>2</v>
      </c>
      <c r="E31">
        <f t="shared" si="2"/>
        <v>1</v>
      </c>
      <c r="F31">
        <f>IF(C31&gt;0,alpha_c*D31+(1-alpha_c)*F30,F30)</f>
        <v>2.2239428339720786</v>
      </c>
      <c r="G31">
        <f>IF(C31&gt;0, alpha_c*E31+(1-alpha_c)*G30,G30)</f>
        <v>1</v>
      </c>
      <c r="H31">
        <f t="shared" si="0"/>
        <v>2.2239428339720786</v>
      </c>
      <c r="I31">
        <f>(1-alpha_c/2)*(F31/G31)</f>
        <v>2.0015485505748707</v>
      </c>
      <c r="J31" s="4">
        <f t="shared" si="3"/>
        <v>-0.22394283397207859</v>
      </c>
      <c r="K31">
        <f t="shared" si="4"/>
        <v>0.22394283397207859</v>
      </c>
    </row>
    <row r="32" spans="1:11" x14ac:dyDescent="0.2">
      <c r="A32" t="str">
        <v>d_31</v>
      </c>
      <c r="B32" s="2">
        <v>40602</v>
      </c>
      <c r="C32" s="4">
        <v>0</v>
      </c>
      <c r="D32">
        <f t="shared" si="1"/>
        <v>2</v>
      </c>
      <c r="E32">
        <f t="shared" si="2"/>
        <v>2</v>
      </c>
      <c r="F32">
        <f>IF(C32&gt;0,alpha_c*D32+(1-alpha_c)*F31,F31)</f>
        <v>2.2239428339720786</v>
      </c>
      <c r="G32">
        <f>IF(C32&gt;0, alpha_c*E32+(1-alpha_c)*G31,G31)</f>
        <v>1</v>
      </c>
      <c r="H32">
        <f t="shared" si="0"/>
        <v>2.2239428339720786</v>
      </c>
      <c r="I32">
        <f>(1-alpha_c/2)*(F32/G32)</f>
        <v>2.0015485505748707</v>
      </c>
      <c r="J32" s="4">
        <f t="shared" si="3"/>
        <v>-2.2239428339720786</v>
      </c>
      <c r="K32">
        <f t="shared" si="4"/>
        <v>2.2239428339720786</v>
      </c>
    </row>
    <row r="33" spans="1:11" x14ac:dyDescent="0.2">
      <c r="A33" t="str">
        <v>d_32</v>
      </c>
      <c r="B33" s="2">
        <v>40603</v>
      </c>
      <c r="C33" s="4">
        <v>2</v>
      </c>
      <c r="D33">
        <f t="shared" si="1"/>
        <v>2</v>
      </c>
      <c r="E33">
        <f t="shared" si="2"/>
        <v>1</v>
      </c>
      <c r="F33">
        <f>IF(C33&gt;0,alpha_c*D33+(1-alpha_c)*F32,F32)</f>
        <v>2.1791542671776631</v>
      </c>
      <c r="G33">
        <f>IF(C33&gt;0, alpha_c*E33+(1-alpha_c)*G32,G32)</f>
        <v>1</v>
      </c>
      <c r="H33">
        <f t="shared" si="0"/>
        <v>2.1791542671776631</v>
      </c>
      <c r="I33">
        <f>(1-alpha_c/2)*(F33/G33)</f>
        <v>1.9612388404598968</v>
      </c>
      <c r="J33" s="4">
        <f t="shared" si="3"/>
        <v>-0.17915426717766314</v>
      </c>
      <c r="K33">
        <f t="shared" si="4"/>
        <v>0.17915426717766314</v>
      </c>
    </row>
    <row r="34" spans="1:11" x14ac:dyDescent="0.2">
      <c r="A34" t="str">
        <v>d_33</v>
      </c>
      <c r="B34" s="2">
        <v>40604</v>
      </c>
      <c r="C34" s="4">
        <v>1</v>
      </c>
      <c r="D34">
        <f t="shared" si="1"/>
        <v>1</v>
      </c>
      <c r="E34">
        <f t="shared" si="2"/>
        <v>1</v>
      </c>
      <c r="F34">
        <f>IF(C34&gt;0,alpha_c*D34+(1-alpha_c)*F33,F33)</f>
        <v>1.9433234137421305</v>
      </c>
      <c r="G34">
        <f>IF(C34&gt;0, alpha_c*E34+(1-alpha_c)*G33,G33)</f>
        <v>1</v>
      </c>
      <c r="H34">
        <f t="shared" si="0"/>
        <v>1.9433234137421305</v>
      </c>
      <c r="I34">
        <f>(1-alpha_c/2)*(F34/G34)</f>
        <v>1.7489910723679174</v>
      </c>
      <c r="J34" s="4">
        <f t="shared" si="3"/>
        <v>-0.94332341374213047</v>
      </c>
      <c r="K34">
        <f t="shared" si="4"/>
        <v>0.94332341374213047</v>
      </c>
    </row>
    <row r="35" spans="1:11" x14ac:dyDescent="0.2">
      <c r="A35" t="str">
        <v>d_34</v>
      </c>
      <c r="B35" s="2">
        <v>40605</v>
      </c>
      <c r="C35" s="4">
        <v>7</v>
      </c>
      <c r="D35">
        <f t="shared" si="1"/>
        <v>7</v>
      </c>
      <c r="E35">
        <f t="shared" si="2"/>
        <v>1</v>
      </c>
      <c r="F35">
        <f>IF(C35&gt;0,alpha_c*D35+(1-alpha_c)*F34,F34)</f>
        <v>2.9546587309937049</v>
      </c>
      <c r="G35">
        <f>IF(C35&gt;0, alpha_c*E35+(1-alpha_c)*G34,G34)</f>
        <v>1</v>
      </c>
      <c r="H35">
        <f t="shared" si="0"/>
        <v>2.9546587309937049</v>
      </c>
      <c r="I35">
        <f>(1-alpha_c/2)*(F35/G35)</f>
        <v>2.6591928578943347</v>
      </c>
      <c r="J35" s="4">
        <f t="shared" si="3"/>
        <v>4.0453412690062951</v>
      </c>
      <c r="K35">
        <f t="shared" si="4"/>
        <v>4.0453412690062951</v>
      </c>
    </row>
    <row r="36" spans="1:11" x14ac:dyDescent="0.2">
      <c r="A36" t="str">
        <v>d_35</v>
      </c>
      <c r="B36" s="2">
        <v>40606</v>
      </c>
      <c r="C36" s="4">
        <v>1</v>
      </c>
      <c r="D36">
        <f t="shared" si="1"/>
        <v>1</v>
      </c>
      <c r="E36">
        <f t="shared" si="2"/>
        <v>1</v>
      </c>
      <c r="F36">
        <f>IF(C36&gt;0,alpha_c*D36+(1-alpha_c)*F35,F35)</f>
        <v>2.5637269847949642</v>
      </c>
      <c r="G36">
        <f>IF(C36&gt;0, alpha_c*E36+(1-alpha_c)*G35,G35)</f>
        <v>1</v>
      </c>
      <c r="H36">
        <f t="shared" si="0"/>
        <v>2.5637269847949642</v>
      </c>
      <c r="I36">
        <f>(1-alpha_c/2)*(F36/G36)</f>
        <v>2.3073542863154679</v>
      </c>
      <c r="J36" s="4">
        <f t="shared" si="3"/>
        <v>-1.5637269847949642</v>
      </c>
      <c r="K36">
        <f t="shared" si="4"/>
        <v>1.5637269847949642</v>
      </c>
    </row>
    <row r="37" spans="1:11" x14ac:dyDescent="0.2">
      <c r="A37" t="str">
        <v>d_36</v>
      </c>
      <c r="B37" s="2">
        <v>40607</v>
      </c>
      <c r="C37" s="4">
        <v>2</v>
      </c>
      <c r="D37">
        <f t="shared" si="1"/>
        <v>2</v>
      </c>
      <c r="E37">
        <f t="shared" si="2"/>
        <v>1</v>
      </c>
      <c r="F37">
        <f>IF(C37&gt;0,alpha_c*D37+(1-alpha_c)*F36,F36)</f>
        <v>2.4509815878359715</v>
      </c>
      <c r="G37">
        <f>IF(C37&gt;0, alpha_c*E37+(1-alpha_c)*G36,G36)</f>
        <v>1</v>
      </c>
      <c r="H37">
        <f t="shared" si="0"/>
        <v>2.4509815878359715</v>
      </c>
      <c r="I37">
        <f>(1-alpha_c/2)*(F37/G37)</f>
        <v>2.2058834290523746</v>
      </c>
      <c r="J37" s="4">
        <f t="shared" si="3"/>
        <v>-0.45098158783597153</v>
      </c>
      <c r="K37">
        <f t="shared" si="4"/>
        <v>0.45098158783597153</v>
      </c>
    </row>
    <row r="38" spans="1:11" x14ac:dyDescent="0.2">
      <c r="A38" t="str">
        <v>d_37</v>
      </c>
      <c r="B38" s="2">
        <v>40608</v>
      </c>
      <c r="C38" s="4">
        <v>3</v>
      </c>
      <c r="D38">
        <f t="shared" si="1"/>
        <v>3</v>
      </c>
      <c r="E38">
        <f t="shared" si="2"/>
        <v>1</v>
      </c>
      <c r="F38">
        <f>IF(C38&gt;0,alpha_c*D38+(1-alpha_c)*F37,F37)</f>
        <v>2.5607852702687772</v>
      </c>
      <c r="G38">
        <f>IF(C38&gt;0, alpha_c*E38+(1-alpha_c)*G37,G37)</f>
        <v>1</v>
      </c>
      <c r="H38">
        <f t="shared" si="0"/>
        <v>2.5607852702687772</v>
      </c>
      <c r="I38">
        <f>(1-alpha_c/2)*(F38/G38)</f>
        <v>2.3047067432418995</v>
      </c>
      <c r="J38" s="4">
        <f t="shared" si="3"/>
        <v>0.43921472973122277</v>
      </c>
      <c r="K38">
        <f t="shared" si="4"/>
        <v>0.43921472973122277</v>
      </c>
    </row>
    <row r="39" spans="1:11" x14ac:dyDescent="0.2">
      <c r="A39" t="str">
        <v>d_38</v>
      </c>
      <c r="B39" s="2">
        <v>40609</v>
      </c>
      <c r="C39" s="4">
        <v>0</v>
      </c>
      <c r="D39">
        <f t="shared" si="1"/>
        <v>3</v>
      </c>
      <c r="E39">
        <f t="shared" si="2"/>
        <v>2</v>
      </c>
      <c r="F39">
        <f>IF(C39&gt;0,alpha_c*D39+(1-alpha_c)*F38,F38)</f>
        <v>2.5607852702687772</v>
      </c>
      <c r="G39">
        <f>IF(C39&gt;0, alpha_c*E39+(1-alpha_c)*G38,G38)</f>
        <v>1</v>
      </c>
      <c r="H39">
        <f t="shared" si="0"/>
        <v>2.5607852702687772</v>
      </c>
      <c r="I39">
        <f>(1-alpha_c/2)*(F39/G39)</f>
        <v>2.3047067432418995</v>
      </c>
      <c r="J39" s="4">
        <f t="shared" si="3"/>
        <v>-2.5607852702687772</v>
      </c>
      <c r="K39">
        <f t="shared" si="4"/>
        <v>2.5607852702687772</v>
      </c>
    </row>
    <row r="40" spans="1:11" x14ac:dyDescent="0.2">
      <c r="A40" t="str">
        <v>d_39</v>
      </c>
      <c r="B40" s="2">
        <v>40610</v>
      </c>
      <c r="C40" s="4">
        <v>1</v>
      </c>
      <c r="D40">
        <f t="shared" si="1"/>
        <v>1</v>
      </c>
      <c r="E40">
        <f t="shared" si="2"/>
        <v>1</v>
      </c>
      <c r="F40">
        <f>IF(C40&gt;0,alpha_c*D40+(1-alpha_c)*F39,F39)</f>
        <v>2.248628216215022</v>
      </c>
      <c r="G40">
        <f>IF(C40&gt;0, alpha_c*E40+(1-alpha_c)*G39,G39)</f>
        <v>1</v>
      </c>
      <c r="H40">
        <f t="shared" si="0"/>
        <v>2.248628216215022</v>
      </c>
      <c r="I40">
        <f>(1-alpha_c/2)*(F40/G40)</f>
        <v>2.0237653945935197</v>
      </c>
      <c r="J40" s="4">
        <f t="shared" si="3"/>
        <v>-1.248628216215022</v>
      </c>
      <c r="K40">
        <f t="shared" si="4"/>
        <v>1.248628216215022</v>
      </c>
    </row>
    <row r="41" spans="1:11" x14ac:dyDescent="0.2">
      <c r="A41" t="str">
        <v>d_40</v>
      </c>
      <c r="B41" s="2">
        <v>40611</v>
      </c>
      <c r="C41" s="4">
        <v>2</v>
      </c>
      <c r="D41">
        <f t="shared" si="1"/>
        <v>2</v>
      </c>
      <c r="E41">
        <f t="shared" si="2"/>
        <v>1</v>
      </c>
      <c r="F41">
        <f>IF(C41&gt;0,alpha_c*D41+(1-alpha_c)*F40,F40)</f>
        <v>2.1989025729720177</v>
      </c>
      <c r="G41">
        <f>IF(C41&gt;0, alpha_c*E41+(1-alpha_c)*G40,G40)</f>
        <v>1</v>
      </c>
      <c r="H41">
        <f t="shared" si="0"/>
        <v>2.1989025729720177</v>
      </c>
      <c r="I41">
        <f>(1-alpha_c/2)*(F41/G41)</f>
        <v>1.9790123156748161</v>
      </c>
      <c r="J41" s="4">
        <f t="shared" si="3"/>
        <v>-0.19890257297201774</v>
      </c>
      <c r="K41">
        <f t="shared" si="4"/>
        <v>0.19890257297201774</v>
      </c>
    </row>
    <row r="42" spans="1:11" x14ac:dyDescent="0.2">
      <c r="A42" t="str">
        <v>d_41</v>
      </c>
      <c r="B42" s="2">
        <v>40612</v>
      </c>
      <c r="C42" s="4">
        <v>3</v>
      </c>
      <c r="D42">
        <f t="shared" si="1"/>
        <v>3</v>
      </c>
      <c r="E42">
        <f t="shared" si="2"/>
        <v>1</v>
      </c>
      <c r="F42">
        <f>IF(C42&gt;0,alpha_c*D42+(1-alpha_c)*F41,F41)</f>
        <v>2.3591220583776145</v>
      </c>
      <c r="G42">
        <f>IF(C42&gt;0, alpha_c*E42+(1-alpha_c)*G41,G41)</f>
        <v>1</v>
      </c>
      <c r="H42">
        <f t="shared" si="0"/>
        <v>2.3591220583776145</v>
      </c>
      <c r="I42">
        <f>(1-alpha_c/2)*(F42/G42)</f>
        <v>2.1232098525398531</v>
      </c>
      <c r="J42" s="4">
        <f t="shared" si="3"/>
        <v>0.64087794162238554</v>
      </c>
      <c r="K42">
        <f t="shared" si="4"/>
        <v>0.64087794162238554</v>
      </c>
    </row>
    <row r="43" spans="1:11" x14ac:dyDescent="0.2">
      <c r="A43" t="str">
        <v>d_42</v>
      </c>
      <c r="B43" s="2">
        <v>40613</v>
      </c>
      <c r="C43" s="4">
        <v>0</v>
      </c>
      <c r="D43">
        <f t="shared" si="1"/>
        <v>3</v>
      </c>
      <c r="E43">
        <f t="shared" si="2"/>
        <v>2</v>
      </c>
      <c r="F43">
        <f>IF(C43&gt;0,alpha_c*D43+(1-alpha_c)*F42,F42)</f>
        <v>2.3591220583776145</v>
      </c>
      <c r="G43">
        <f>IF(C43&gt;0, alpha_c*E43+(1-alpha_c)*G42,G42)</f>
        <v>1</v>
      </c>
      <c r="H43">
        <f t="shared" si="0"/>
        <v>2.3591220583776145</v>
      </c>
      <c r="I43">
        <f>(1-alpha_c/2)*(F43/G43)</f>
        <v>2.1232098525398531</v>
      </c>
      <c r="J43" s="4">
        <f t="shared" si="3"/>
        <v>-2.3591220583776145</v>
      </c>
      <c r="K43">
        <f t="shared" si="4"/>
        <v>2.3591220583776145</v>
      </c>
    </row>
    <row r="44" spans="1:11" x14ac:dyDescent="0.2">
      <c r="A44" t="str">
        <v>d_43</v>
      </c>
      <c r="B44" s="2">
        <v>40614</v>
      </c>
      <c r="C44" s="4">
        <v>1</v>
      </c>
      <c r="D44">
        <f t="shared" si="1"/>
        <v>1</v>
      </c>
      <c r="E44">
        <f t="shared" si="2"/>
        <v>1</v>
      </c>
      <c r="F44">
        <f>IF(C44&gt;0,alpha_c*D44+(1-alpha_c)*F43,F43)</f>
        <v>2.0872976467020918</v>
      </c>
      <c r="G44">
        <f>IF(C44&gt;0, alpha_c*E44+(1-alpha_c)*G43,G43)</f>
        <v>1</v>
      </c>
      <c r="H44">
        <f t="shared" si="0"/>
        <v>2.0872976467020918</v>
      </c>
      <c r="I44">
        <f>(1-alpha_c/2)*(F44/G44)</f>
        <v>1.8785678820318827</v>
      </c>
      <c r="J44" s="4">
        <f t="shared" si="3"/>
        <v>-1.0872976467020918</v>
      </c>
      <c r="K44">
        <f t="shared" si="4"/>
        <v>1.0872976467020918</v>
      </c>
    </row>
    <row r="45" spans="1:11" x14ac:dyDescent="0.2">
      <c r="A45" t="str">
        <v>d_44</v>
      </c>
      <c r="B45" s="2">
        <v>40615</v>
      </c>
      <c r="C45" s="4">
        <v>5</v>
      </c>
      <c r="D45">
        <f t="shared" si="1"/>
        <v>5</v>
      </c>
      <c r="E45">
        <f t="shared" si="2"/>
        <v>1</v>
      </c>
      <c r="F45">
        <f>IF(C45&gt;0,alpha_c*D45+(1-alpha_c)*F44,F44)</f>
        <v>2.6698381173616736</v>
      </c>
      <c r="G45">
        <f>IF(C45&gt;0, alpha_c*E45+(1-alpha_c)*G44,G44)</f>
        <v>1</v>
      </c>
      <c r="H45">
        <f t="shared" si="0"/>
        <v>2.6698381173616736</v>
      </c>
      <c r="I45">
        <f>(1-alpha_c/2)*(F45/G45)</f>
        <v>2.4028543056255063</v>
      </c>
      <c r="J45" s="4">
        <f t="shared" si="3"/>
        <v>2.3301618826383264</v>
      </c>
      <c r="K45">
        <f t="shared" si="4"/>
        <v>2.3301618826383264</v>
      </c>
    </row>
    <row r="46" spans="1:11" x14ac:dyDescent="0.2">
      <c r="A46" t="str">
        <v>d_45</v>
      </c>
      <c r="B46" s="2">
        <v>40616</v>
      </c>
      <c r="C46" s="4">
        <v>0</v>
      </c>
      <c r="D46">
        <f t="shared" si="1"/>
        <v>5</v>
      </c>
      <c r="E46">
        <f t="shared" si="2"/>
        <v>2</v>
      </c>
      <c r="F46">
        <f>IF(C46&gt;0,alpha_c*D46+(1-alpha_c)*F45,F45)</f>
        <v>2.6698381173616736</v>
      </c>
      <c r="G46">
        <f>IF(C46&gt;0, alpha_c*E46+(1-alpha_c)*G45,G45)</f>
        <v>1</v>
      </c>
      <c r="H46">
        <f t="shared" si="0"/>
        <v>2.6698381173616736</v>
      </c>
      <c r="I46">
        <f>(1-alpha_c/2)*(F46/G46)</f>
        <v>2.4028543056255063</v>
      </c>
      <c r="J46" s="4">
        <f t="shared" si="3"/>
        <v>-2.6698381173616736</v>
      </c>
      <c r="K46">
        <f t="shared" si="4"/>
        <v>2.6698381173616736</v>
      </c>
    </row>
    <row r="47" spans="1:11" x14ac:dyDescent="0.2">
      <c r="A47" t="str">
        <v>d_46</v>
      </c>
      <c r="B47" s="2">
        <v>40617</v>
      </c>
      <c r="C47" s="4">
        <v>0</v>
      </c>
      <c r="D47">
        <f t="shared" si="1"/>
        <v>5</v>
      </c>
      <c r="E47">
        <f t="shared" si="2"/>
        <v>3</v>
      </c>
      <c r="F47">
        <f>IF(C47&gt;0,alpha_c*D47+(1-alpha_c)*F46,F46)</f>
        <v>2.6698381173616736</v>
      </c>
      <c r="G47">
        <f>IF(C47&gt;0, alpha_c*E47+(1-alpha_c)*G46,G46)</f>
        <v>1</v>
      </c>
      <c r="H47">
        <f t="shared" si="0"/>
        <v>2.6698381173616736</v>
      </c>
      <c r="I47">
        <f>(1-alpha_c/2)*(F47/G47)</f>
        <v>2.4028543056255063</v>
      </c>
      <c r="J47" s="4">
        <f t="shared" si="3"/>
        <v>-2.6698381173616736</v>
      </c>
      <c r="K47">
        <f t="shared" si="4"/>
        <v>2.6698381173616736</v>
      </c>
    </row>
    <row r="48" spans="1:11" x14ac:dyDescent="0.2">
      <c r="A48" t="str">
        <v>d_47</v>
      </c>
      <c r="B48" s="2">
        <v>40618</v>
      </c>
      <c r="C48" s="4">
        <v>1</v>
      </c>
      <c r="D48">
        <f t="shared" si="1"/>
        <v>1</v>
      </c>
      <c r="E48">
        <f t="shared" si="2"/>
        <v>1</v>
      </c>
      <c r="F48">
        <f>IF(C48&gt;0,alpha_c*D48+(1-alpha_c)*F47,F47)</f>
        <v>2.3358704938893391</v>
      </c>
      <c r="G48">
        <f>IF(C48&gt;0, alpha_c*E48+(1-alpha_c)*G47,G47)</f>
        <v>1</v>
      </c>
      <c r="H48">
        <f t="shared" si="0"/>
        <v>2.3358704938893391</v>
      </c>
      <c r="I48">
        <f>(1-alpha_c/2)*(F48/G48)</f>
        <v>2.1022834445004053</v>
      </c>
      <c r="J48" s="4">
        <f t="shared" si="3"/>
        <v>-1.3358704938893391</v>
      </c>
      <c r="K48">
        <f t="shared" si="4"/>
        <v>1.3358704938893391</v>
      </c>
    </row>
    <row r="49" spans="1:11" x14ac:dyDescent="0.2">
      <c r="A49" t="str">
        <v>d_48</v>
      </c>
      <c r="B49" s="2">
        <v>40619</v>
      </c>
      <c r="C49" s="4">
        <v>0</v>
      </c>
      <c r="D49">
        <f t="shared" si="1"/>
        <v>1</v>
      </c>
      <c r="E49">
        <f t="shared" si="2"/>
        <v>2</v>
      </c>
      <c r="F49">
        <f>IF(C49&gt;0,alpha_c*D49+(1-alpha_c)*F48,F48)</f>
        <v>2.3358704938893391</v>
      </c>
      <c r="G49">
        <f>IF(C49&gt;0, alpha_c*E49+(1-alpha_c)*G48,G48)</f>
        <v>1</v>
      </c>
      <c r="H49">
        <f t="shared" si="0"/>
        <v>2.3358704938893391</v>
      </c>
      <c r="I49">
        <f>(1-alpha_c/2)*(F49/G49)</f>
        <v>2.1022834445004053</v>
      </c>
      <c r="J49" s="4">
        <f t="shared" si="3"/>
        <v>-2.3358704938893391</v>
      </c>
      <c r="K49">
        <f t="shared" si="4"/>
        <v>2.3358704938893391</v>
      </c>
    </row>
    <row r="50" spans="1:11" x14ac:dyDescent="0.2">
      <c r="A50" t="str">
        <v>d_49</v>
      </c>
      <c r="B50" s="2">
        <v>40620</v>
      </c>
      <c r="C50" s="4">
        <v>0</v>
      </c>
      <c r="D50">
        <f t="shared" si="1"/>
        <v>1</v>
      </c>
      <c r="E50">
        <f t="shared" si="2"/>
        <v>3</v>
      </c>
      <c r="F50">
        <f>IF(C50&gt;0,alpha_c*D50+(1-alpha_c)*F49,F49)</f>
        <v>2.3358704938893391</v>
      </c>
      <c r="G50">
        <f>IF(C50&gt;0, alpha_c*E50+(1-alpha_c)*G49,G49)</f>
        <v>1</v>
      </c>
      <c r="H50">
        <f t="shared" si="0"/>
        <v>2.3358704938893391</v>
      </c>
      <c r="I50">
        <f>(1-alpha_c/2)*(F50/G50)</f>
        <v>2.1022834445004053</v>
      </c>
      <c r="J50" s="4">
        <f t="shared" si="3"/>
        <v>-2.3358704938893391</v>
      </c>
      <c r="K50">
        <f t="shared" si="4"/>
        <v>2.3358704938893391</v>
      </c>
    </row>
    <row r="51" spans="1:11" x14ac:dyDescent="0.2">
      <c r="A51" t="str">
        <v>d_50</v>
      </c>
      <c r="B51" s="2">
        <v>40621</v>
      </c>
      <c r="C51" s="4">
        <v>1</v>
      </c>
      <c r="D51">
        <f t="shared" si="1"/>
        <v>1</v>
      </c>
      <c r="E51">
        <f t="shared" si="2"/>
        <v>1</v>
      </c>
      <c r="F51">
        <f>IF(C51&gt;0,alpha_c*D51+(1-alpha_c)*F50,F50)</f>
        <v>2.0686963951114716</v>
      </c>
      <c r="G51">
        <f>IF(C51&gt;0, alpha_c*E51+(1-alpha_c)*G50,G50)</f>
        <v>1</v>
      </c>
      <c r="H51">
        <f t="shared" si="0"/>
        <v>2.0686963951114716</v>
      </c>
      <c r="I51">
        <f>(1-alpha_c/2)*(F51/G51)</f>
        <v>1.8618267556003245</v>
      </c>
      <c r="J51" s="4">
        <f t="shared" si="3"/>
        <v>-1.0686963951114716</v>
      </c>
      <c r="K51">
        <f t="shared" si="4"/>
        <v>1.0686963951114716</v>
      </c>
    </row>
    <row r="52" spans="1:11" x14ac:dyDescent="0.2">
      <c r="A52" t="str">
        <v>d_51</v>
      </c>
      <c r="B52" s="2">
        <v>40622</v>
      </c>
      <c r="C52" s="4">
        <v>1</v>
      </c>
      <c r="D52">
        <f t="shared" si="1"/>
        <v>1</v>
      </c>
      <c r="E52">
        <f t="shared" si="2"/>
        <v>1</v>
      </c>
      <c r="F52">
        <f>IF(C52&gt;0,alpha_c*D52+(1-alpha_c)*F51,F51)</f>
        <v>1.8549571160891773</v>
      </c>
      <c r="G52">
        <f>IF(C52&gt;0, alpha_c*E52+(1-alpha_c)*G51,G51)</f>
        <v>1</v>
      </c>
      <c r="H52">
        <f t="shared" si="0"/>
        <v>1.8549571160891773</v>
      </c>
      <c r="I52">
        <f>(1-alpha_c/2)*(F52/G52)</f>
        <v>1.6694614044802596</v>
      </c>
      <c r="J52" s="4">
        <f t="shared" si="3"/>
        <v>-0.85495711608917735</v>
      </c>
      <c r="K52">
        <f t="shared" si="4"/>
        <v>0.85495711608917735</v>
      </c>
    </row>
    <row r="53" spans="1:11" x14ac:dyDescent="0.2">
      <c r="A53" t="str">
        <v>d_52</v>
      </c>
      <c r="B53" s="2">
        <v>40623</v>
      </c>
      <c r="C53" s="4">
        <v>1</v>
      </c>
      <c r="D53">
        <f t="shared" si="1"/>
        <v>1</v>
      </c>
      <c r="E53">
        <f t="shared" si="2"/>
        <v>1</v>
      </c>
      <c r="F53">
        <f>IF(C53&gt;0,alpha_c*D53+(1-alpha_c)*F52,F52)</f>
        <v>1.683965692871342</v>
      </c>
      <c r="G53">
        <f>IF(C53&gt;0, alpha_c*E53+(1-alpha_c)*G52,G52)</f>
        <v>1</v>
      </c>
      <c r="H53">
        <f t="shared" si="0"/>
        <v>1.683965692871342</v>
      </c>
      <c r="I53">
        <f>(1-alpha_c/2)*(F53/G53)</f>
        <v>1.5155691235842079</v>
      </c>
      <c r="J53" s="4">
        <f t="shared" si="3"/>
        <v>-0.68396569287134201</v>
      </c>
      <c r="K53">
        <f t="shared" si="4"/>
        <v>0.68396569287134201</v>
      </c>
    </row>
    <row r="54" spans="1:11" x14ac:dyDescent="0.2">
      <c r="A54" t="str">
        <v>d_53</v>
      </c>
      <c r="B54" s="2">
        <v>40624</v>
      </c>
      <c r="C54" s="4">
        <v>1</v>
      </c>
      <c r="D54">
        <f t="shared" si="1"/>
        <v>1</v>
      </c>
      <c r="E54">
        <f t="shared" si="2"/>
        <v>1</v>
      </c>
      <c r="F54">
        <f>IF(C54&gt;0,alpha_c*D54+(1-alpha_c)*F53,F53)</f>
        <v>1.5471725542970736</v>
      </c>
      <c r="G54">
        <f>IF(C54&gt;0, alpha_c*E54+(1-alpha_c)*G53,G53)</f>
        <v>1</v>
      </c>
      <c r="H54">
        <f t="shared" si="0"/>
        <v>1.5471725542970736</v>
      </c>
      <c r="I54">
        <f>(1-alpha_c/2)*(F54/G54)</f>
        <v>1.3924552988673662</v>
      </c>
      <c r="J54" s="4">
        <f t="shared" si="3"/>
        <v>-0.54717255429707357</v>
      </c>
      <c r="K54">
        <f t="shared" si="4"/>
        <v>0.54717255429707357</v>
      </c>
    </row>
    <row r="55" spans="1:11" x14ac:dyDescent="0.2">
      <c r="A55" t="str">
        <v>d_54</v>
      </c>
      <c r="B55" s="2">
        <v>40625</v>
      </c>
      <c r="C55" s="4">
        <v>1</v>
      </c>
      <c r="D55">
        <f t="shared" si="1"/>
        <v>1</v>
      </c>
      <c r="E55">
        <f t="shared" si="2"/>
        <v>1</v>
      </c>
      <c r="F55">
        <f>IF(C55&gt;0,alpha_c*D55+(1-alpha_c)*F54,F54)</f>
        <v>1.437738043437659</v>
      </c>
      <c r="G55">
        <f>IF(C55&gt;0, alpha_c*E55+(1-alpha_c)*G54,G54)</f>
        <v>1</v>
      </c>
      <c r="H55">
        <f t="shared" si="0"/>
        <v>1.437738043437659</v>
      </c>
      <c r="I55">
        <f>(1-alpha_c/2)*(F55/G55)</f>
        <v>1.293964239093893</v>
      </c>
      <c r="J55" s="4">
        <f t="shared" si="3"/>
        <v>-0.43773804343765899</v>
      </c>
      <c r="K55">
        <f t="shared" si="4"/>
        <v>0.43773804343765899</v>
      </c>
    </row>
    <row r="56" spans="1:11" x14ac:dyDescent="0.2">
      <c r="A56" t="str">
        <v>d_55</v>
      </c>
      <c r="B56" s="2">
        <v>40626</v>
      </c>
      <c r="C56" s="4">
        <v>0</v>
      </c>
      <c r="D56">
        <f t="shared" si="1"/>
        <v>1</v>
      </c>
      <c r="E56">
        <f t="shared" si="2"/>
        <v>2</v>
      </c>
      <c r="F56">
        <f>IF(C56&gt;0,alpha_c*D56+(1-alpha_c)*F55,F55)</f>
        <v>1.437738043437659</v>
      </c>
      <c r="G56">
        <f>IF(C56&gt;0, alpha_c*E56+(1-alpha_c)*G55,G55)</f>
        <v>1</v>
      </c>
      <c r="H56">
        <f t="shared" si="0"/>
        <v>1.437738043437659</v>
      </c>
      <c r="I56">
        <f>(1-alpha_c/2)*(F56/G56)</f>
        <v>1.293964239093893</v>
      </c>
      <c r="J56" s="4">
        <f t="shared" si="3"/>
        <v>-1.437738043437659</v>
      </c>
      <c r="K56">
        <f t="shared" si="4"/>
        <v>1.437738043437659</v>
      </c>
    </row>
    <row r="57" spans="1:11" x14ac:dyDescent="0.2">
      <c r="A57" t="str">
        <v>d_56</v>
      </c>
      <c r="B57" s="2">
        <v>40627</v>
      </c>
      <c r="C57" s="4">
        <v>1</v>
      </c>
      <c r="D57">
        <f t="shared" si="1"/>
        <v>1</v>
      </c>
      <c r="E57">
        <f t="shared" si="2"/>
        <v>1</v>
      </c>
      <c r="F57">
        <f>IF(C57&gt;0,alpha_c*D57+(1-alpha_c)*F56,F56)</f>
        <v>1.3501904347501272</v>
      </c>
      <c r="G57">
        <f>IF(C57&gt;0, alpha_c*E57+(1-alpha_c)*G56,G56)</f>
        <v>1</v>
      </c>
      <c r="H57">
        <f t="shared" si="0"/>
        <v>1.3501904347501272</v>
      </c>
      <c r="I57">
        <f>(1-alpha_c/2)*(F57/G57)</f>
        <v>1.2151713912751145</v>
      </c>
      <c r="J57" s="4">
        <f t="shared" si="3"/>
        <v>-0.35019043475012723</v>
      </c>
      <c r="K57">
        <f t="shared" si="4"/>
        <v>0.35019043475012723</v>
      </c>
    </row>
    <row r="58" spans="1:11" x14ac:dyDescent="0.2">
      <c r="A58" t="str">
        <v>d_57</v>
      </c>
      <c r="B58" s="2">
        <v>40628</v>
      </c>
      <c r="C58" s="4">
        <v>2</v>
      </c>
      <c r="D58">
        <f t="shared" si="1"/>
        <v>2</v>
      </c>
      <c r="E58">
        <f t="shared" si="2"/>
        <v>1</v>
      </c>
      <c r="F58">
        <f>IF(C58&gt;0,alpha_c*D58+(1-alpha_c)*F57,F57)</f>
        <v>1.480152347800102</v>
      </c>
      <c r="G58">
        <f>IF(C58&gt;0, alpha_c*E58+(1-alpha_c)*G57,G57)</f>
        <v>1</v>
      </c>
      <c r="H58">
        <f t="shared" si="0"/>
        <v>1.480152347800102</v>
      </c>
      <c r="I58">
        <f>(1-alpha_c/2)*(F58/G58)</f>
        <v>1.3321371130200919</v>
      </c>
      <c r="J58" s="4">
        <f t="shared" si="3"/>
        <v>0.51984765219989804</v>
      </c>
      <c r="K58">
        <f t="shared" si="4"/>
        <v>0.51984765219989804</v>
      </c>
    </row>
    <row r="59" spans="1:11" x14ac:dyDescent="0.2">
      <c r="A59" t="str">
        <v>d_58</v>
      </c>
      <c r="B59" s="2">
        <v>40629</v>
      </c>
      <c r="C59" s="4">
        <v>2</v>
      </c>
      <c r="D59">
        <f t="shared" si="1"/>
        <v>2</v>
      </c>
      <c r="E59">
        <f t="shared" si="2"/>
        <v>1</v>
      </c>
      <c r="F59">
        <f>IF(C59&gt;0,alpha_c*D59+(1-alpha_c)*F58,F58)</f>
        <v>1.5841218782400817</v>
      </c>
      <c r="G59">
        <f>IF(C59&gt;0, alpha_c*E59+(1-alpha_c)*G58,G58)</f>
        <v>1</v>
      </c>
      <c r="H59">
        <f t="shared" si="0"/>
        <v>1.5841218782400817</v>
      </c>
      <c r="I59">
        <f>(1-alpha_c/2)*(F59/G59)</f>
        <v>1.4257096904160735</v>
      </c>
      <c r="J59" s="4">
        <f t="shared" si="3"/>
        <v>0.41587812175991834</v>
      </c>
      <c r="K59">
        <f t="shared" si="4"/>
        <v>0.41587812175991834</v>
      </c>
    </row>
    <row r="60" spans="1:11" x14ac:dyDescent="0.2">
      <c r="A60" t="str">
        <v>d_59</v>
      </c>
      <c r="B60" s="2">
        <v>40630</v>
      </c>
      <c r="C60" s="4">
        <v>0</v>
      </c>
      <c r="D60">
        <f t="shared" si="1"/>
        <v>2</v>
      </c>
      <c r="E60">
        <f t="shared" si="2"/>
        <v>2</v>
      </c>
      <c r="F60">
        <f>IF(C60&gt;0,alpha_c*D60+(1-alpha_c)*F59,F59)</f>
        <v>1.5841218782400817</v>
      </c>
      <c r="G60">
        <f>IF(C60&gt;0, alpha_c*E60+(1-alpha_c)*G59,G59)</f>
        <v>1</v>
      </c>
      <c r="H60">
        <f t="shared" si="0"/>
        <v>1.5841218782400817</v>
      </c>
      <c r="I60">
        <f>(1-alpha_c/2)*(F60/G60)</f>
        <v>1.4257096904160735</v>
      </c>
      <c r="J60" s="4">
        <f t="shared" si="3"/>
        <v>-1.5841218782400817</v>
      </c>
      <c r="K60">
        <f t="shared" si="4"/>
        <v>1.5841218782400817</v>
      </c>
    </row>
    <row r="61" spans="1:11" x14ac:dyDescent="0.2">
      <c r="A61" t="str">
        <v>d_60</v>
      </c>
      <c r="B61" s="2">
        <v>40631</v>
      </c>
      <c r="C61" s="4">
        <v>1</v>
      </c>
      <c r="D61">
        <f t="shared" si="1"/>
        <v>1</v>
      </c>
      <c r="E61">
        <f t="shared" si="2"/>
        <v>1</v>
      </c>
      <c r="F61">
        <f>IF(C61&gt;0,alpha_c*D61+(1-alpha_c)*F60,F60)</f>
        <v>1.4672975025920654</v>
      </c>
      <c r="G61">
        <f>IF(C61&gt;0, alpha_c*E61+(1-alpha_c)*G60,G60)</f>
        <v>1</v>
      </c>
      <c r="H61">
        <f t="shared" si="0"/>
        <v>1.4672975025920654</v>
      </c>
      <c r="I61">
        <f>(1-alpha_c/2)*(F61/G61)</f>
        <v>1.3205677523328589</v>
      </c>
      <c r="J61" s="4">
        <f t="shared" si="3"/>
        <v>-0.46729750259206537</v>
      </c>
      <c r="K61">
        <f t="shared" si="4"/>
        <v>0.46729750259206537</v>
      </c>
    </row>
    <row r="62" spans="1:11" x14ac:dyDescent="0.2">
      <c r="A62" t="str">
        <v>d_61</v>
      </c>
      <c r="B62" s="2">
        <v>40632</v>
      </c>
      <c r="C62" s="4">
        <v>0</v>
      </c>
      <c r="D62">
        <f t="shared" si="1"/>
        <v>1</v>
      </c>
      <c r="E62">
        <f t="shared" si="2"/>
        <v>2</v>
      </c>
      <c r="F62">
        <f>IF(C62&gt;0,alpha_c*D62+(1-alpha_c)*F61,F61)</f>
        <v>1.4672975025920654</v>
      </c>
      <c r="G62">
        <f>IF(C62&gt;0, alpha_c*E62+(1-alpha_c)*G61,G61)</f>
        <v>1</v>
      </c>
      <c r="H62">
        <f t="shared" si="0"/>
        <v>1.4672975025920654</v>
      </c>
      <c r="I62">
        <f>(1-alpha_c/2)*(F62/G62)</f>
        <v>1.3205677523328589</v>
      </c>
      <c r="J62" s="4">
        <f t="shared" si="3"/>
        <v>-1.4672975025920654</v>
      </c>
      <c r="K62">
        <f t="shared" si="4"/>
        <v>1.4672975025920654</v>
      </c>
    </row>
    <row r="63" spans="1:11" x14ac:dyDescent="0.2">
      <c r="A63" t="str">
        <v>d_62</v>
      </c>
      <c r="B63" s="2">
        <v>40633</v>
      </c>
      <c r="C63" s="4">
        <v>0</v>
      </c>
      <c r="D63">
        <f t="shared" si="1"/>
        <v>1</v>
      </c>
      <c r="E63">
        <f t="shared" si="2"/>
        <v>3</v>
      </c>
      <c r="F63">
        <f>IF(C63&gt;0,alpha_c*D63+(1-alpha_c)*F62,F62)</f>
        <v>1.4672975025920654</v>
      </c>
      <c r="G63">
        <f>IF(C63&gt;0, alpha_c*E63+(1-alpha_c)*G62,G62)</f>
        <v>1</v>
      </c>
      <c r="H63">
        <f t="shared" si="0"/>
        <v>1.4672975025920654</v>
      </c>
      <c r="I63">
        <f>(1-alpha_c/2)*(F63/G63)</f>
        <v>1.3205677523328589</v>
      </c>
      <c r="J63" s="4">
        <f t="shared" si="3"/>
        <v>-1.4672975025920654</v>
      </c>
      <c r="K63">
        <f t="shared" si="4"/>
        <v>1.4672975025920654</v>
      </c>
    </row>
    <row r="64" spans="1:11" x14ac:dyDescent="0.2">
      <c r="A64" t="str">
        <v>d_63</v>
      </c>
      <c r="B64" s="2">
        <v>40634</v>
      </c>
      <c r="C64" s="4">
        <v>0</v>
      </c>
      <c r="D64">
        <f t="shared" si="1"/>
        <v>1</v>
      </c>
      <c r="E64">
        <f t="shared" si="2"/>
        <v>4</v>
      </c>
      <c r="F64">
        <f>IF(C64&gt;0,alpha_c*D64+(1-alpha_c)*F63,F63)</f>
        <v>1.4672975025920654</v>
      </c>
      <c r="G64">
        <f>IF(C64&gt;0, alpha_c*E64+(1-alpha_c)*G63,G63)</f>
        <v>1</v>
      </c>
      <c r="H64">
        <f t="shared" si="0"/>
        <v>1.4672975025920654</v>
      </c>
      <c r="I64">
        <f>(1-alpha_c/2)*(F64/G64)</f>
        <v>1.3205677523328589</v>
      </c>
      <c r="J64" s="4">
        <f t="shared" si="3"/>
        <v>-1.4672975025920654</v>
      </c>
      <c r="K64">
        <f t="shared" si="4"/>
        <v>1.4672975025920654</v>
      </c>
    </row>
    <row r="65" spans="1:11" x14ac:dyDescent="0.2">
      <c r="A65" t="str">
        <v>d_64</v>
      </c>
      <c r="B65" s="2">
        <v>40635</v>
      </c>
      <c r="C65" s="4">
        <v>0</v>
      </c>
      <c r="D65">
        <f t="shared" si="1"/>
        <v>1</v>
      </c>
      <c r="E65">
        <f t="shared" si="2"/>
        <v>5</v>
      </c>
      <c r="F65">
        <f>IF(C65&gt;0,alpha_c*D65+(1-alpha_c)*F64,F64)</f>
        <v>1.4672975025920654</v>
      </c>
      <c r="G65">
        <f>IF(C65&gt;0, alpha_c*E65+(1-alpha_c)*G64,G64)</f>
        <v>1</v>
      </c>
      <c r="H65">
        <f t="shared" si="0"/>
        <v>1.4672975025920654</v>
      </c>
      <c r="I65">
        <f>(1-alpha_c/2)*(F65/G65)</f>
        <v>1.3205677523328589</v>
      </c>
      <c r="J65" s="4">
        <f t="shared" si="3"/>
        <v>-1.4672975025920654</v>
      </c>
      <c r="K65">
        <f t="shared" si="4"/>
        <v>1.4672975025920654</v>
      </c>
    </row>
    <row r="66" spans="1:11" x14ac:dyDescent="0.2">
      <c r="A66" t="str">
        <v>d_65</v>
      </c>
      <c r="B66" s="2">
        <v>40636</v>
      </c>
      <c r="C66" s="4">
        <v>0</v>
      </c>
      <c r="D66">
        <f t="shared" si="1"/>
        <v>1</v>
      </c>
      <c r="E66">
        <f t="shared" si="2"/>
        <v>6</v>
      </c>
      <c r="F66">
        <f>IF(C66&gt;0,alpha_c*D66+(1-alpha_c)*F65,F65)</f>
        <v>1.4672975025920654</v>
      </c>
      <c r="G66">
        <f>IF(C66&gt;0, alpha_c*E66+(1-alpha_c)*G65,G65)</f>
        <v>1</v>
      </c>
      <c r="H66">
        <f t="shared" si="0"/>
        <v>1.4672975025920654</v>
      </c>
      <c r="I66">
        <f>(1-alpha_c/2)*(F66/G66)</f>
        <v>1.3205677523328589</v>
      </c>
      <c r="J66" s="4">
        <f t="shared" si="3"/>
        <v>-1.4672975025920654</v>
      </c>
      <c r="K66">
        <f t="shared" si="4"/>
        <v>1.4672975025920654</v>
      </c>
    </row>
    <row r="67" spans="1:11" x14ac:dyDescent="0.2">
      <c r="A67" t="str">
        <v>d_66</v>
      </c>
      <c r="B67" s="2">
        <v>40637</v>
      </c>
      <c r="C67" s="4">
        <v>4</v>
      </c>
      <c r="D67">
        <f t="shared" si="1"/>
        <v>4</v>
      </c>
      <c r="E67">
        <f t="shared" si="2"/>
        <v>1</v>
      </c>
      <c r="F67">
        <f>IF(C67&gt;0,alpha_c*D67+(1-alpha_c)*F66,F66)</f>
        <v>1.9738380020736523</v>
      </c>
      <c r="G67">
        <f>IF(C67&gt;0, alpha_c*E67+(1-alpha_c)*G66,G66)</f>
        <v>1</v>
      </c>
      <c r="H67">
        <f t="shared" ref="H67:H130" si="5">F67/G67</f>
        <v>1.9738380020736523</v>
      </c>
      <c r="I67">
        <f>(1-alpha_c/2)*(F67/G67)</f>
        <v>1.7764542018662872</v>
      </c>
      <c r="J67" s="4">
        <f t="shared" si="3"/>
        <v>2.0261619979263479</v>
      </c>
      <c r="K67">
        <f t="shared" si="4"/>
        <v>2.0261619979263479</v>
      </c>
    </row>
    <row r="68" spans="1:11" x14ac:dyDescent="0.2">
      <c r="A68" t="str">
        <v>d_67</v>
      </c>
      <c r="B68" s="2">
        <v>40638</v>
      </c>
      <c r="C68" s="4">
        <v>0</v>
      </c>
      <c r="D68">
        <f t="shared" ref="D68:D131" si="6">IF(C68&gt;0,C68,D67)</f>
        <v>4</v>
      </c>
      <c r="E68">
        <f t="shared" ref="E68:E131" si="7">IF(C68&gt;0,1,E67+1)</f>
        <v>2</v>
      </c>
      <c r="F68">
        <f>IF(C68&gt;0,alpha_c*D68+(1-alpha_c)*F67,F67)</f>
        <v>1.9738380020736523</v>
      </c>
      <c r="G68">
        <f>IF(C68&gt;0, alpha_c*E68+(1-alpha_c)*G67,G67)</f>
        <v>1</v>
      </c>
      <c r="H68">
        <f t="shared" si="5"/>
        <v>1.9738380020736523</v>
      </c>
      <c r="I68">
        <f>(1-alpha_c/2)*(F68/G68)</f>
        <v>1.7764542018662872</v>
      </c>
      <c r="J68" s="4">
        <f t="shared" ref="J68:J131" si="8">C68-H68</f>
        <v>-1.9738380020736523</v>
      </c>
      <c r="K68">
        <f t="shared" ref="K68:K131" si="9">ABS(J68)</f>
        <v>1.9738380020736523</v>
      </c>
    </row>
    <row r="69" spans="1:11" x14ac:dyDescent="0.2">
      <c r="A69" t="str">
        <v>d_68</v>
      </c>
      <c r="B69" s="2">
        <v>40639</v>
      </c>
      <c r="C69" s="4">
        <v>1</v>
      </c>
      <c r="D69">
        <f t="shared" si="6"/>
        <v>1</v>
      </c>
      <c r="E69">
        <f t="shared" si="7"/>
        <v>1</v>
      </c>
      <c r="F69">
        <f>IF(C69&gt;0,alpha_c*D69+(1-alpha_c)*F68,F68)</f>
        <v>1.7790704016589218</v>
      </c>
      <c r="G69">
        <f>IF(C69&gt;0, alpha_c*E69+(1-alpha_c)*G68,G68)</f>
        <v>1</v>
      </c>
      <c r="H69">
        <f t="shared" si="5"/>
        <v>1.7790704016589218</v>
      </c>
      <c r="I69">
        <f>(1-alpha_c/2)*(F69/G69)</f>
        <v>1.6011633614930296</v>
      </c>
      <c r="J69" s="4">
        <f t="shared" si="8"/>
        <v>-0.77907040165892183</v>
      </c>
      <c r="K69">
        <f t="shared" si="9"/>
        <v>0.77907040165892183</v>
      </c>
    </row>
    <row r="70" spans="1:11" x14ac:dyDescent="0.2">
      <c r="A70" t="str">
        <v>d_69</v>
      </c>
      <c r="B70" s="2">
        <v>40640</v>
      </c>
      <c r="C70" s="4">
        <v>0</v>
      </c>
      <c r="D70">
        <f t="shared" si="6"/>
        <v>1</v>
      </c>
      <c r="E70">
        <f t="shared" si="7"/>
        <v>2</v>
      </c>
      <c r="F70">
        <f>IF(C70&gt;0,alpha_c*D70+(1-alpha_c)*F69,F69)</f>
        <v>1.7790704016589218</v>
      </c>
      <c r="G70">
        <f>IF(C70&gt;0, alpha_c*E70+(1-alpha_c)*G69,G69)</f>
        <v>1</v>
      </c>
      <c r="H70">
        <f t="shared" si="5"/>
        <v>1.7790704016589218</v>
      </c>
      <c r="I70">
        <f>(1-alpha_c/2)*(F70/G70)</f>
        <v>1.6011633614930296</v>
      </c>
      <c r="J70" s="4">
        <f t="shared" si="8"/>
        <v>-1.7790704016589218</v>
      </c>
      <c r="K70">
        <f t="shared" si="9"/>
        <v>1.7790704016589218</v>
      </c>
    </row>
    <row r="71" spans="1:11" x14ac:dyDescent="0.2">
      <c r="A71" t="str">
        <v>d_70</v>
      </c>
      <c r="B71" s="2">
        <v>40641</v>
      </c>
      <c r="C71" s="4">
        <v>1</v>
      </c>
      <c r="D71">
        <f t="shared" si="6"/>
        <v>1</v>
      </c>
      <c r="E71">
        <f t="shared" si="7"/>
        <v>1</v>
      </c>
      <c r="F71">
        <f>IF(C71&gt;0,alpha_c*D71+(1-alpha_c)*F70,F70)</f>
        <v>1.6232563213271376</v>
      </c>
      <c r="G71">
        <f>IF(C71&gt;0, alpha_c*E71+(1-alpha_c)*G70,G70)</f>
        <v>1</v>
      </c>
      <c r="H71">
        <f t="shared" si="5"/>
        <v>1.6232563213271376</v>
      </c>
      <c r="I71">
        <f>(1-alpha_c/2)*(F71/G71)</f>
        <v>1.4609306891944238</v>
      </c>
      <c r="J71" s="4">
        <f t="shared" si="8"/>
        <v>-0.6232563213271376</v>
      </c>
      <c r="K71">
        <f t="shared" si="9"/>
        <v>0.6232563213271376</v>
      </c>
    </row>
    <row r="72" spans="1:11" x14ac:dyDescent="0.2">
      <c r="A72" t="str">
        <v>d_71</v>
      </c>
      <c r="B72" s="2">
        <v>40642</v>
      </c>
      <c r="C72" s="4">
        <v>0</v>
      </c>
      <c r="D72">
        <f t="shared" si="6"/>
        <v>1</v>
      </c>
      <c r="E72">
        <f t="shared" si="7"/>
        <v>2</v>
      </c>
      <c r="F72">
        <f>IF(C72&gt;0,alpha_c*D72+(1-alpha_c)*F71,F71)</f>
        <v>1.6232563213271376</v>
      </c>
      <c r="G72">
        <f>IF(C72&gt;0, alpha_c*E72+(1-alpha_c)*G71,G71)</f>
        <v>1</v>
      </c>
      <c r="H72">
        <f t="shared" si="5"/>
        <v>1.6232563213271376</v>
      </c>
      <c r="I72">
        <f>(1-alpha_c/2)*(F72/G72)</f>
        <v>1.4609306891944238</v>
      </c>
      <c r="J72" s="4">
        <f t="shared" si="8"/>
        <v>-1.6232563213271376</v>
      </c>
      <c r="K72">
        <f t="shared" si="9"/>
        <v>1.6232563213271376</v>
      </c>
    </row>
    <row r="73" spans="1:11" x14ac:dyDescent="0.2">
      <c r="A73" t="str">
        <v>d_72</v>
      </c>
      <c r="B73" s="2">
        <v>40643</v>
      </c>
      <c r="C73" s="4">
        <v>2</v>
      </c>
      <c r="D73">
        <f t="shared" si="6"/>
        <v>2</v>
      </c>
      <c r="E73">
        <f t="shared" si="7"/>
        <v>1</v>
      </c>
      <c r="F73">
        <f>IF(C73&gt;0,alpha_c*D73+(1-alpha_c)*F72,F72)</f>
        <v>1.6986050570617102</v>
      </c>
      <c r="G73">
        <f>IF(C73&gt;0, alpha_c*E73+(1-alpha_c)*G72,G72)</f>
        <v>1</v>
      </c>
      <c r="H73">
        <f t="shared" si="5"/>
        <v>1.6986050570617102</v>
      </c>
      <c r="I73">
        <f>(1-alpha_c/2)*(F73/G73)</f>
        <v>1.5287445513555391</v>
      </c>
      <c r="J73" s="4">
        <f t="shared" si="8"/>
        <v>0.30139494293828983</v>
      </c>
      <c r="K73">
        <f t="shared" si="9"/>
        <v>0.30139494293828983</v>
      </c>
    </row>
    <row r="74" spans="1:11" x14ac:dyDescent="0.2">
      <c r="A74" t="str">
        <v>d_73</v>
      </c>
      <c r="B74" s="2">
        <v>40644</v>
      </c>
      <c r="C74" s="4">
        <v>2</v>
      </c>
      <c r="D74">
        <f t="shared" si="6"/>
        <v>2</v>
      </c>
      <c r="E74">
        <f t="shared" si="7"/>
        <v>1</v>
      </c>
      <c r="F74">
        <f>IF(C74&gt;0,alpha_c*D74+(1-alpha_c)*F73,F73)</f>
        <v>1.7588840456493684</v>
      </c>
      <c r="G74">
        <f>IF(C74&gt;0, alpha_c*E74+(1-alpha_c)*G73,G73)</f>
        <v>1</v>
      </c>
      <c r="H74">
        <f t="shared" si="5"/>
        <v>1.7588840456493684</v>
      </c>
      <c r="I74">
        <f>(1-alpha_c/2)*(F74/G74)</f>
        <v>1.5829956410844317</v>
      </c>
      <c r="J74" s="4">
        <f t="shared" si="8"/>
        <v>0.2411159543506316</v>
      </c>
      <c r="K74">
        <f t="shared" si="9"/>
        <v>0.2411159543506316</v>
      </c>
    </row>
    <row r="75" spans="1:11" x14ac:dyDescent="0.2">
      <c r="A75" t="str">
        <v>d_74</v>
      </c>
      <c r="B75" s="2">
        <v>40645</v>
      </c>
      <c r="C75" s="4">
        <v>1</v>
      </c>
      <c r="D75">
        <f t="shared" si="6"/>
        <v>1</v>
      </c>
      <c r="E75">
        <f t="shared" si="7"/>
        <v>1</v>
      </c>
      <c r="F75">
        <f>IF(C75&gt;0,alpha_c*D75+(1-alpha_c)*F74,F74)</f>
        <v>1.6071072365194947</v>
      </c>
      <c r="G75">
        <f>IF(C75&gt;0, alpha_c*E75+(1-alpha_c)*G74,G74)</f>
        <v>1</v>
      </c>
      <c r="H75">
        <f t="shared" si="5"/>
        <v>1.6071072365194947</v>
      </c>
      <c r="I75">
        <f>(1-alpha_c/2)*(F75/G75)</f>
        <v>1.4463965128675453</v>
      </c>
      <c r="J75" s="4">
        <f t="shared" si="8"/>
        <v>-0.60710723651949472</v>
      </c>
      <c r="K75">
        <f t="shared" si="9"/>
        <v>0.60710723651949472</v>
      </c>
    </row>
    <row r="76" spans="1:11" x14ac:dyDescent="0.2">
      <c r="A76" t="str">
        <v>d_75</v>
      </c>
      <c r="B76" s="2">
        <v>40646</v>
      </c>
      <c r="C76" s="4">
        <v>1</v>
      </c>
      <c r="D76">
        <f t="shared" si="6"/>
        <v>1</v>
      </c>
      <c r="E76">
        <f t="shared" si="7"/>
        <v>1</v>
      </c>
      <c r="F76">
        <f>IF(C76&gt;0,alpha_c*D76+(1-alpha_c)*F75,F75)</f>
        <v>1.4856857892155959</v>
      </c>
      <c r="G76">
        <f>IF(C76&gt;0, alpha_c*E76+(1-alpha_c)*G75,G75)</f>
        <v>1</v>
      </c>
      <c r="H76">
        <f t="shared" si="5"/>
        <v>1.4856857892155959</v>
      </c>
      <c r="I76">
        <f>(1-alpha_c/2)*(F76/G76)</f>
        <v>1.3371172102940363</v>
      </c>
      <c r="J76" s="4">
        <f t="shared" si="8"/>
        <v>-0.48568578921559591</v>
      </c>
      <c r="K76">
        <f t="shared" si="9"/>
        <v>0.48568578921559591</v>
      </c>
    </row>
    <row r="77" spans="1:11" x14ac:dyDescent="0.2">
      <c r="A77" t="str">
        <v>d_76</v>
      </c>
      <c r="B77" s="2">
        <v>40647</v>
      </c>
      <c r="C77" s="4">
        <v>0</v>
      </c>
      <c r="D77">
        <f t="shared" si="6"/>
        <v>1</v>
      </c>
      <c r="E77">
        <f t="shared" si="7"/>
        <v>2</v>
      </c>
      <c r="F77">
        <f>IF(C77&gt;0,alpha_c*D77+(1-alpha_c)*F76,F76)</f>
        <v>1.4856857892155959</v>
      </c>
      <c r="G77">
        <f>IF(C77&gt;0, alpha_c*E77+(1-alpha_c)*G76,G76)</f>
        <v>1</v>
      </c>
      <c r="H77">
        <f t="shared" si="5"/>
        <v>1.4856857892155959</v>
      </c>
      <c r="I77">
        <f>(1-alpha_c/2)*(F77/G77)</f>
        <v>1.3371172102940363</v>
      </c>
      <c r="J77" s="4">
        <f t="shared" si="8"/>
        <v>-1.4856857892155959</v>
      </c>
      <c r="K77">
        <f t="shared" si="9"/>
        <v>1.4856857892155959</v>
      </c>
    </row>
    <row r="78" spans="1:11" x14ac:dyDescent="0.2">
      <c r="A78" t="str">
        <v>d_77</v>
      </c>
      <c r="B78" s="2">
        <v>40648</v>
      </c>
      <c r="C78" s="4">
        <v>2</v>
      </c>
      <c r="D78">
        <f t="shared" si="6"/>
        <v>2</v>
      </c>
      <c r="E78">
        <f t="shared" si="7"/>
        <v>1</v>
      </c>
      <c r="F78">
        <f>IF(C78&gt;0,alpha_c*D78+(1-alpha_c)*F77,F77)</f>
        <v>1.5885486313724768</v>
      </c>
      <c r="G78">
        <f>IF(C78&gt;0, alpha_c*E78+(1-alpha_c)*G77,G77)</f>
        <v>1</v>
      </c>
      <c r="H78">
        <f t="shared" si="5"/>
        <v>1.5885486313724768</v>
      </c>
      <c r="I78">
        <f>(1-alpha_c/2)*(F78/G78)</f>
        <v>1.4296937682352291</v>
      </c>
      <c r="J78" s="4">
        <f t="shared" si="8"/>
        <v>0.41145136862752318</v>
      </c>
      <c r="K78">
        <f t="shared" si="9"/>
        <v>0.41145136862752318</v>
      </c>
    </row>
    <row r="79" spans="1:11" x14ac:dyDescent="0.2">
      <c r="A79" t="str">
        <v>d_78</v>
      </c>
      <c r="B79" s="2">
        <v>40649</v>
      </c>
      <c r="C79" s="4">
        <v>1</v>
      </c>
      <c r="D79">
        <f t="shared" si="6"/>
        <v>1</v>
      </c>
      <c r="E79">
        <f t="shared" si="7"/>
        <v>1</v>
      </c>
      <c r="F79">
        <f>IF(C79&gt;0,alpha_c*D79+(1-alpha_c)*F78,F78)</f>
        <v>1.4708389050979815</v>
      </c>
      <c r="G79">
        <f>IF(C79&gt;0, alpha_c*E79+(1-alpha_c)*G78,G78)</f>
        <v>1</v>
      </c>
      <c r="H79">
        <f t="shared" si="5"/>
        <v>1.4708389050979815</v>
      </c>
      <c r="I79">
        <f>(1-alpha_c/2)*(F79/G79)</f>
        <v>1.3237550145881833</v>
      </c>
      <c r="J79" s="4">
        <f t="shared" si="8"/>
        <v>-0.47083890509798154</v>
      </c>
      <c r="K79">
        <f t="shared" si="9"/>
        <v>0.47083890509798154</v>
      </c>
    </row>
    <row r="80" spans="1:11" x14ac:dyDescent="0.2">
      <c r="A80" t="str">
        <v>d_79</v>
      </c>
      <c r="B80" s="2">
        <v>40650</v>
      </c>
      <c r="C80" s="4">
        <v>2</v>
      </c>
      <c r="D80">
        <f t="shared" si="6"/>
        <v>2</v>
      </c>
      <c r="E80">
        <f t="shared" si="7"/>
        <v>1</v>
      </c>
      <c r="F80">
        <f>IF(C80&gt;0,alpha_c*D80+(1-alpha_c)*F79,F79)</f>
        <v>1.5766711240783855</v>
      </c>
      <c r="G80">
        <f>IF(C80&gt;0, alpha_c*E80+(1-alpha_c)*G79,G79)</f>
        <v>1</v>
      </c>
      <c r="H80">
        <f t="shared" si="5"/>
        <v>1.5766711240783855</v>
      </c>
      <c r="I80">
        <f>(1-alpha_c/2)*(F80/G80)</f>
        <v>1.4190040116705469</v>
      </c>
      <c r="J80" s="4">
        <f t="shared" si="8"/>
        <v>0.4233288759216145</v>
      </c>
      <c r="K80">
        <f t="shared" si="9"/>
        <v>0.4233288759216145</v>
      </c>
    </row>
    <row r="81" spans="1:11" x14ac:dyDescent="0.2">
      <c r="A81" t="str">
        <v>d_80</v>
      </c>
      <c r="B81" s="2">
        <v>40651</v>
      </c>
      <c r="C81" s="4">
        <v>0</v>
      </c>
      <c r="D81">
        <f t="shared" si="6"/>
        <v>2</v>
      </c>
      <c r="E81">
        <f t="shared" si="7"/>
        <v>2</v>
      </c>
      <c r="F81">
        <f>IF(C81&gt;0,alpha_c*D81+(1-alpha_c)*F80,F80)</f>
        <v>1.5766711240783855</v>
      </c>
      <c r="G81">
        <f>IF(C81&gt;0, alpha_c*E81+(1-alpha_c)*G80,G80)</f>
        <v>1</v>
      </c>
      <c r="H81">
        <f t="shared" si="5"/>
        <v>1.5766711240783855</v>
      </c>
      <c r="I81">
        <f>(1-alpha_c/2)*(F81/G81)</f>
        <v>1.4190040116705469</v>
      </c>
      <c r="J81" s="4">
        <f t="shared" si="8"/>
        <v>-1.5766711240783855</v>
      </c>
      <c r="K81">
        <f t="shared" si="9"/>
        <v>1.5766711240783855</v>
      </c>
    </row>
    <row r="82" spans="1:11" x14ac:dyDescent="0.2">
      <c r="A82" t="str">
        <v>d_81</v>
      </c>
      <c r="B82" s="2">
        <v>40652</v>
      </c>
      <c r="C82" s="4">
        <v>2</v>
      </c>
      <c r="D82">
        <f t="shared" si="6"/>
        <v>2</v>
      </c>
      <c r="E82">
        <f t="shared" si="7"/>
        <v>1</v>
      </c>
      <c r="F82">
        <f>IF(C82&gt;0,alpha_c*D82+(1-alpha_c)*F81,F81)</f>
        <v>1.6613368992627087</v>
      </c>
      <c r="G82">
        <f>IF(C82&gt;0, alpha_c*E82+(1-alpha_c)*G81,G81)</f>
        <v>1</v>
      </c>
      <c r="H82">
        <f t="shared" si="5"/>
        <v>1.6613368992627087</v>
      </c>
      <c r="I82">
        <f>(1-alpha_c/2)*(F82/G82)</f>
        <v>1.4952032093364378</v>
      </c>
      <c r="J82" s="4">
        <f t="shared" si="8"/>
        <v>0.33866310073729133</v>
      </c>
      <c r="K82">
        <f t="shared" si="9"/>
        <v>0.33866310073729133</v>
      </c>
    </row>
    <row r="83" spans="1:11" x14ac:dyDescent="0.2">
      <c r="A83" t="str">
        <v>d_82</v>
      </c>
      <c r="B83" s="2">
        <v>40653</v>
      </c>
      <c r="C83" s="4">
        <v>0</v>
      </c>
      <c r="D83">
        <f t="shared" si="6"/>
        <v>2</v>
      </c>
      <c r="E83">
        <f t="shared" si="7"/>
        <v>2</v>
      </c>
      <c r="F83">
        <f>IF(C83&gt;0,alpha_c*D83+(1-alpha_c)*F82,F82)</f>
        <v>1.6613368992627087</v>
      </c>
      <c r="G83">
        <f>IF(C83&gt;0, alpha_c*E83+(1-alpha_c)*G82,G82)</f>
        <v>1</v>
      </c>
      <c r="H83">
        <f t="shared" si="5"/>
        <v>1.6613368992627087</v>
      </c>
      <c r="I83">
        <f>(1-alpha_c/2)*(F83/G83)</f>
        <v>1.4952032093364378</v>
      </c>
      <c r="J83" s="4">
        <f t="shared" si="8"/>
        <v>-1.6613368992627087</v>
      </c>
      <c r="K83">
        <f t="shared" si="9"/>
        <v>1.6613368992627087</v>
      </c>
    </row>
    <row r="84" spans="1:11" x14ac:dyDescent="0.2">
      <c r="A84" t="str">
        <v>d_83</v>
      </c>
      <c r="B84" s="2">
        <v>40654</v>
      </c>
      <c r="C84" s="4">
        <v>0</v>
      </c>
      <c r="D84">
        <f t="shared" si="6"/>
        <v>2</v>
      </c>
      <c r="E84">
        <f t="shared" si="7"/>
        <v>3</v>
      </c>
      <c r="F84">
        <f>IF(C84&gt;0,alpha_c*D84+(1-alpha_c)*F83,F83)</f>
        <v>1.6613368992627087</v>
      </c>
      <c r="G84">
        <f>IF(C84&gt;0, alpha_c*E84+(1-alpha_c)*G83,G83)</f>
        <v>1</v>
      </c>
      <c r="H84">
        <f t="shared" si="5"/>
        <v>1.6613368992627087</v>
      </c>
      <c r="I84">
        <f>(1-alpha_c/2)*(F84/G84)</f>
        <v>1.4952032093364378</v>
      </c>
      <c r="J84" s="4">
        <f t="shared" si="8"/>
        <v>-1.6613368992627087</v>
      </c>
      <c r="K84">
        <f t="shared" si="9"/>
        <v>1.6613368992627087</v>
      </c>
    </row>
    <row r="85" spans="1:11" x14ac:dyDescent="0.2">
      <c r="A85" t="str">
        <v>d_84</v>
      </c>
      <c r="B85" s="2">
        <v>40655</v>
      </c>
      <c r="C85" s="4">
        <v>0</v>
      </c>
      <c r="D85">
        <f t="shared" si="6"/>
        <v>2</v>
      </c>
      <c r="E85">
        <f t="shared" si="7"/>
        <v>4</v>
      </c>
      <c r="F85">
        <f>IF(C85&gt;0,alpha_c*D85+(1-alpha_c)*F84,F84)</f>
        <v>1.6613368992627087</v>
      </c>
      <c r="G85">
        <f>IF(C85&gt;0, alpha_c*E85+(1-alpha_c)*G84,G84)</f>
        <v>1</v>
      </c>
      <c r="H85">
        <f t="shared" si="5"/>
        <v>1.6613368992627087</v>
      </c>
      <c r="I85">
        <f>(1-alpha_c/2)*(F85/G85)</f>
        <v>1.4952032093364378</v>
      </c>
      <c r="J85" s="4">
        <f t="shared" si="8"/>
        <v>-1.6613368992627087</v>
      </c>
      <c r="K85">
        <f t="shared" si="9"/>
        <v>1.6613368992627087</v>
      </c>
    </row>
    <row r="86" spans="1:11" x14ac:dyDescent="0.2">
      <c r="A86" t="str">
        <v>d_85</v>
      </c>
      <c r="B86" s="2">
        <v>40656</v>
      </c>
      <c r="C86" s="4">
        <v>1</v>
      </c>
      <c r="D86">
        <f t="shared" si="6"/>
        <v>1</v>
      </c>
      <c r="E86">
        <f t="shared" si="7"/>
        <v>1</v>
      </c>
      <c r="F86">
        <f>IF(C86&gt;0,alpha_c*D86+(1-alpha_c)*F85,F85)</f>
        <v>1.5290695194101669</v>
      </c>
      <c r="G86">
        <f>IF(C86&gt;0, alpha_c*E86+(1-alpha_c)*G85,G85)</f>
        <v>1</v>
      </c>
      <c r="H86">
        <f t="shared" si="5"/>
        <v>1.5290695194101669</v>
      </c>
      <c r="I86">
        <f>(1-alpha_c/2)*(F86/G86)</f>
        <v>1.3761625674691502</v>
      </c>
      <c r="J86" s="4">
        <f t="shared" si="8"/>
        <v>-0.52906951941016689</v>
      </c>
      <c r="K86">
        <f t="shared" si="9"/>
        <v>0.52906951941016689</v>
      </c>
    </row>
    <row r="87" spans="1:11" x14ac:dyDescent="0.2">
      <c r="A87" t="str">
        <v>d_86</v>
      </c>
      <c r="B87" s="2">
        <v>40657</v>
      </c>
      <c r="C87" s="4">
        <v>0</v>
      </c>
      <c r="D87">
        <f t="shared" si="6"/>
        <v>1</v>
      </c>
      <c r="E87">
        <f t="shared" si="7"/>
        <v>2</v>
      </c>
      <c r="F87">
        <f>IF(C87&gt;0,alpha_c*D87+(1-alpha_c)*F86,F86)</f>
        <v>1.5290695194101669</v>
      </c>
      <c r="G87">
        <f>IF(C87&gt;0, alpha_c*E87+(1-alpha_c)*G86,G86)</f>
        <v>1</v>
      </c>
      <c r="H87">
        <f t="shared" si="5"/>
        <v>1.5290695194101669</v>
      </c>
      <c r="I87">
        <f>(1-alpha_c/2)*(F87/G87)</f>
        <v>1.3761625674691502</v>
      </c>
      <c r="J87" s="4">
        <f t="shared" si="8"/>
        <v>-1.5290695194101669</v>
      </c>
      <c r="K87">
        <f t="shared" si="9"/>
        <v>1.5290695194101669</v>
      </c>
    </row>
    <row r="88" spans="1:11" x14ac:dyDescent="0.2">
      <c r="A88" t="str">
        <v>d_87</v>
      </c>
      <c r="B88" s="2">
        <v>40658</v>
      </c>
      <c r="C88" s="4">
        <v>0</v>
      </c>
      <c r="D88">
        <f t="shared" si="6"/>
        <v>1</v>
      </c>
      <c r="E88">
        <f t="shared" si="7"/>
        <v>3</v>
      </c>
      <c r="F88">
        <f>IF(C88&gt;0,alpha_c*D88+(1-alpha_c)*F87,F87)</f>
        <v>1.5290695194101669</v>
      </c>
      <c r="G88">
        <f>IF(C88&gt;0, alpha_c*E88+(1-alpha_c)*G87,G87)</f>
        <v>1</v>
      </c>
      <c r="H88">
        <f t="shared" si="5"/>
        <v>1.5290695194101669</v>
      </c>
      <c r="I88">
        <f>(1-alpha_c/2)*(F88/G88)</f>
        <v>1.3761625674691502</v>
      </c>
      <c r="J88" s="4">
        <f t="shared" si="8"/>
        <v>-1.5290695194101669</v>
      </c>
      <c r="K88">
        <f t="shared" si="9"/>
        <v>1.5290695194101669</v>
      </c>
    </row>
    <row r="89" spans="1:11" x14ac:dyDescent="0.2">
      <c r="A89" t="str">
        <v>d_88</v>
      </c>
      <c r="B89" s="2">
        <v>40659</v>
      </c>
      <c r="C89" s="4">
        <v>0</v>
      </c>
      <c r="D89">
        <f t="shared" si="6"/>
        <v>1</v>
      </c>
      <c r="E89">
        <f t="shared" si="7"/>
        <v>4</v>
      </c>
      <c r="F89">
        <f>IF(C89&gt;0,alpha_c*D89+(1-alpha_c)*F88,F88)</f>
        <v>1.5290695194101669</v>
      </c>
      <c r="G89">
        <f>IF(C89&gt;0, alpha_c*E89+(1-alpha_c)*G88,G88)</f>
        <v>1</v>
      </c>
      <c r="H89">
        <f t="shared" si="5"/>
        <v>1.5290695194101669</v>
      </c>
      <c r="I89">
        <f>(1-alpha_c/2)*(F89/G89)</f>
        <v>1.3761625674691502</v>
      </c>
      <c r="J89" s="4">
        <f t="shared" si="8"/>
        <v>-1.5290695194101669</v>
      </c>
      <c r="K89">
        <f t="shared" si="9"/>
        <v>1.5290695194101669</v>
      </c>
    </row>
    <row r="90" spans="1:11" x14ac:dyDescent="0.2">
      <c r="A90" t="str">
        <v>d_89</v>
      </c>
      <c r="B90" s="2">
        <v>40660</v>
      </c>
      <c r="C90" s="4">
        <v>0</v>
      </c>
      <c r="D90">
        <f t="shared" si="6"/>
        <v>1</v>
      </c>
      <c r="E90">
        <f t="shared" si="7"/>
        <v>5</v>
      </c>
      <c r="F90">
        <f>IF(C90&gt;0,alpha_c*D90+(1-alpha_c)*F89,F89)</f>
        <v>1.5290695194101669</v>
      </c>
      <c r="G90">
        <f>IF(C90&gt;0, alpha_c*E90+(1-alpha_c)*G89,G89)</f>
        <v>1</v>
      </c>
      <c r="H90">
        <f t="shared" si="5"/>
        <v>1.5290695194101669</v>
      </c>
      <c r="I90">
        <f>(1-alpha_c/2)*(F90/G90)</f>
        <v>1.3761625674691502</v>
      </c>
      <c r="J90" s="4">
        <f t="shared" si="8"/>
        <v>-1.5290695194101669</v>
      </c>
      <c r="K90">
        <f t="shared" si="9"/>
        <v>1.5290695194101669</v>
      </c>
    </row>
    <row r="91" spans="1:11" x14ac:dyDescent="0.2">
      <c r="A91" t="str">
        <v>d_90</v>
      </c>
      <c r="B91" s="2">
        <v>40661</v>
      </c>
      <c r="C91" s="4">
        <v>0</v>
      </c>
      <c r="D91">
        <f t="shared" si="6"/>
        <v>1</v>
      </c>
      <c r="E91">
        <f t="shared" si="7"/>
        <v>6</v>
      </c>
      <c r="F91">
        <f>IF(C91&gt;0,alpha_c*D91+(1-alpha_c)*F90,F90)</f>
        <v>1.5290695194101669</v>
      </c>
      <c r="G91">
        <f>IF(C91&gt;0, alpha_c*E91+(1-alpha_c)*G90,G90)</f>
        <v>1</v>
      </c>
      <c r="H91">
        <f t="shared" si="5"/>
        <v>1.5290695194101669</v>
      </c>
      <c r="I91">
        <f>(1-alpha_c/2)*(F91/G91)</f>
        <v>1.3761625674691502</v>
      </c>
      <c r="J91" s="4">
        <f t="shared" si="8"/>
        <v>-1.5290695194101669</v>
      </c>
      <c r="K91">
        <f t="shared" si="9"/>
        <v>1.5290695194101669</v>
      </c>
    </row>
    <row r="92" spans="1:11" x14ac:dyDescent="0.2">
      <c r="A92" t="str">
        <v>d_91</v>
      </c>
      <c r="B92" s="2">
        <v>40662</v>
      </c>
      <c r="C92" s="4">
        <v>0</v>
      </c>
      <c r="D92">
        <f t="shared" si="6"/>
        <v>1</v>
      </c>
      <c r="E92">
        <f t="shared" si="7"/>
        <v>7</v>
      </c>
      <c r="F92">
        <f>IF(C92&gt;0,alpha_c*D92+(1-alpha_c)*F91,F91)</f>
        <v>1.5290695194101669</v>
      </c>
      <c r="G92">
        <f>IF(C92&gt;0, alpha_c*E92+(1-alpha_c)*G91,G91)</f>
        <v>1</v>
      </c>
      <c r="H92">
        <f t="shared" si="5"/>
        <v>1.5290695194101669</v>
      </c>
      <c r="I92">
        <f>(1-alpha_c/2)*(F92/G92)</f>
        <v>1.3761625674691502</v>
      </c>
      <c r="J92" s="4">
        <f t="shared" si="8"/>
        <v>-1.5290695194101669</v>
      </c>
      <c r="K92">
        <f t="shared" si="9"/>
        <v>1.5290695194101669</v>
      </c>
    </row>
    <row r="93" spans="1:11" x14ac:dyDescent="0.2">
      <c r="A93" t="str">
        <v>d_92</v>
      </c>
      <c r="B93" s="2">
        <v>40663</v>
      </c>
      <c r="C93" s="4">
        <v>3</v>
      </c>
      <c r="D93">
        <f t="shared" si="6"/>
        <v>3</v>
      </c>
      <c r="E93">
        <f t="shared" si="7"/>
        <v>1</v>
      </c>
      <c r="F93">
        <f>IF(C93&gt;0,alpha_c*D93+(1-alpha_c)*F92,F92)</f>
        <v>1.8232556155281336</v>
      </c>
      <c r="G93">
        <f>IF(C93&gt;0, alpha_c*E93+(1-alpha_c)*G92,G92)</f>
        <v>1</v>
      </c>
      <c r="H93">
        <f t="shared" si="5"/>
        <v>1.8232556155281336</v>
      </c>
      <c r="I93">
        <f>(1-alpha_c/2)*(F93/G93)</f>
        <v>1.6409300539753202</v>
      </c>
      <c r="J93" s="4">
        <f t="shared" si="8"/>
        <v>1.1767443844718664</v>
      </c>
      <c r="K93">
        <f t="shared" si="9"/>
        <v>1.1767443844718664</v>
      </c>
    </row>
    <row r="94" spans="1:11" x14ac:dyDescent="0.2">
      <c r="A94" t="str">
        <v>d_93</v>
      </c>
      <c r="B94" s="2">
        <v>40664</v>
      </c>
      <c r="C94" s="4">
        <v>2</v>
      </c>
      <c r="D94">
        <f t="shared" si="6"/>
        <v>2</v>
      </c>
      <c r="E94">
        <f t="shared" si="7"/>
        <v>1</v>
      </c>
      <c r="F94">
        <f>IF(C94&gt;0,alpha_c*D94+(1-alpha_c)*F93,F93)</f>
        <v>1.8586044924225069</v>
      </c>
      <c r="G94">
        <f>IF(C94&gt;0, alpha_c*E94+(1-alpha_c)*G93,G93)</f>
        <v>1</v>
      </c>
      <c r="H94">
        <f t="shared" si="5"/>
        <v>1.8586044924225069</v>
      </c>
      <c r="I94">
        <f>(1-alpha_c/2)*(F94/G94)</f>
        <v>1.6727440431802563</v>
      </c>
      <c r="J94" s="4">
        <f t="shared" si="8"/>
        <v>0.14139550757749308</v>
      </c>
      <c r="K94">
        <f t="shared" si="9"/>
        <v>0.14139550757749308</v>
      </c>
    </row>
    <row r="95" spans="1:11" x14ac:dyDescent="0.2">
      <c r="A95" t="str">
        <v>d_94</v>
      </c>
      <c r="B95" s="2">
        <v>40665</v>
      </c>
      <c r="C95" s="4">
        <v>7</v>
      </c>
      <c r="D95">
        <f t="shared" si="6"/>
        <v>7</v>
      </c>
      <c r="E95">
        <f t="shared" si="7"/>
        <v>1</v>
      </c>
      <c r="F95">
        <f>IF(C95&gt;0,alpha_c*D95+(1-alpha_c)*F94,F94)</f>
        <v>2.8868835939380055</v>
      </c>
      <c r="G95">
        <f>IF(C95&gt;0, alpha_c*E95+(1-alpha_c)*G94,G94)</f>
        <v>1</v>
      </c>
      <c r="H95">
        <f t="shared" si="5"/>
        <v>2.8868835939380055</v>
      </c>
      <c r="I95">
        <f>(1-alpha_c/2)*(F95/G95)</f>
        <v>2.598195234544205</v>
      </c>
      <c r="J95" s="4">
        <f t="shared" si="8"/>
        <v>4.1131164060619945</v>
      </c>
      <c r="K95">
        <f t="shared" si="9"/>
        <v>4.1131164060619945</v>
      </c>
    </row>
    <row r="96" spans="1:11" x14ac:dyDescent="0.2">
      <c r="A96" t="str">
        <v>d_95</v>
      </c>
      <c r="B96" s="2">
        <v>40666</v>
      </c>
      <c r="C96" s="4">
        <v>1</v>
      </c>
      <c r="D96">
        <f t="shared" si="6"/>
        <v>1</v>
      </c>
      <c r="E96">
        <f t="shared" si="7"/>
        <v>1</v>
      </c>
      <c r="F96">
        <f>IF(C96&gt;0,alpha_c*D96+(1-alpha_c)*F95,F95)</f>
        <v>2.5095068751504046</v>
      </c>
      <c r="G96">
        <f>IF(C96&gt;0, alpha_c*E96+(1-alpha_c)*G95,G95)</f>
        <v>1</v>
      </c>
      <c r="H96">
        <f t="shared" si="5"/>
        <v>2.5095068751504046</v>
      </c>
      <c r="I96">
        <f>(1-alpha_c/2)*(F96/G96)</f>
        <v>2.2585561876353641</v>
      </c>
      <c r="J96" s="4">
        <f t="shared" si="8"/>
        <v>-1.5095068751504046</v>
      </c>
      <c r="K96">
        <f t="shared" si="9"/>
        <v>1.5095068751504046</v>
      </c>
    </row>
    <row r="97" spans="1:11" x14ac:dyDescent="0.2">
      <c r="A97" t="str">
        <v>d_96</v>
      </c>
      <c r="B97" s="2">
        <v>40667</v>
      </c>
      <c r="C97" s="4">
        <v>0</v>
      </c>
      <c r="D97">
        <f t="shared" si="6"/>
        <v>1</v>
      </c>
      <c r="E97">
        <f t="shared" si="7"/>
        <v>2</v>
      </c>
      <c r="F97">
        <f>IF(C97&gt;0,alpha_c*D97+(1-alpha_c)*F96,F96)</f>
        <v>2.5095068751504046</v>
      </c>
      <c r="G97">
        <f>IF(C97&gt;0, alpha_c*E97+(1-alpha_c)*G96,G96)</f>
        <v>1</v>
      </c>
      <c r="H97">
        <f t="shared" si="5"/>
        <v>2.5095068751504046</v>
      </c>
      <c r="I97">
        <f>(1-alpha_c/2)*(F97/G97)</f>
        <v>2.2585561876353641</v>
      </c>
      <c r="J97" s="4">
        <f t="shared" si="8"/>
        <v>-2.5095068751504046</v>
      </c>
      <c r="K97">
        <f t="shared" si="9"/>
        <v>2.5095068751504046</v>
      </c>
    </row>
    <row r="98" spans="1:11" x14ac:dyDescent="0.2">
      <c r="A98" t="str">
        <v>d_97</v>
      </c>
      <c r="B98" s="2">
        <v>40668</v>
      </c>
      <c r="C98" s="4">
        <v>0</v>
      </c>
      <c r="D98">
        <f t="shared" si="6"/>
        <v>1</v>
      </c>
      <c r="E98">
        <f t="shared" si="7"/>
        <v>3</v>
      </c>
      <c r="F98">
        <f>IF(C98&gt;0,alpha_c*D98+(1-alpha_c)*F97,F97)</f>
        <v>2.5095068751504046</v>
      </c>
      <c r="G98">
        <f>IF(C98&gt;0, alpha_c*E98+(1-alpha_c)*G97,G97)</f>
        <v>1</v>
      </c>
      <c r="H98">
        <f t="shared" si="5"/>
        <v>2.5095068751504046</v>
      </c>
      <c r="I98">
        <f>(1-alpha_c/2)*(F98/G98)</f>
        <v>2.2585561876353641</v>
      </c>
      <c r="J98" s="4">
        <f t="shared" si="8"/>
        <v>-2.5095068751504046</v>
      </c>
      <c r="K98">
        <f t="shared" si="9"/>
        <v>2.5095068751504046</v>
      </c>
    </row>
    <row r="99" spans="1:11" x14ac:dyDescent="0.2">
      <c r="A99" t="str">
        <v>d_98</v>
      </c>
      <c r="B99" s="2">
        <v>40669</v>
      </c>
      <c r="C99" s="4">
        <v>9</v>
      </c>
      <c r="D99">
        <f t="shared" si="6"/>
        <v>9</v>
      </c>
      <c r="E99">
        <f t="shared" si="7"/>
        <v>1</v>
      </c>
      <c r="F99">
        <f>IF(C99&gt;0,alpha_c*D99+(1-alpha_c)*F98,F98)</f>
        <v>3.8076055001203235</v>
      </c>
      <c r="G99">
        <f>IF(C99&gt;0, alpha_c*E99+(1-alpha_c)*G98,G98)</f>
        <v>1</v>
      </c>
      <c r="H99">
        <f t="shared" si="5"/>
        <v>3.8076055001203235</v>
      </c>
      <c r="I99">
        <f>(1-alpha_c/2)*(F99/G99)</f>
        <v>3.4268449501082912</v>
      </c>
      <c r="J99" s="4">
        <f t="shared" si="8"/>
        <v>5.1923944998796765</v>
      </c>
      <c r="K99">
        <f t="shared" si="9"/>
        <v>5.1923944998796765</v>
      </c>
    </row>
    <row r="100" spans="1:11" x14ac:dyDescent="0.2">
      <c r="A100" t="str">
        <v>d_99</v>
      </c>
      <c r="B100" s="2">
        <v>40670</v>
      </c>
      <c r="C100" s="4">
        <v>0</v>
      </c>
      <c r="D100">
        <f t="shared" si="6"/>
        <v>9</v>
      </c>
      <c r="E100">
        <f t="shared" si="7"/>
        <v>2</v>
      </c>
      <c r="F100">
        <f>IF(C100&gt;0,alpha_c*D100+(1-alpha_c)*F99,F99)</f>
        <v>3.8076055001203235</v>
      </c>
      <c r="G100">
        <f>IF(C100&gt;0, alpha_c*E100+(1-alpha_c)*G99,G99)</f>
        <v>1</v>
      </c>
      <c r="H100">
        <f t="shared" si="5"/>
        <v>3.8076055001203235</v>
      </c>
      <c r="I100">
        <f>(1-alpha_c/2)*(F100/G100)</f>
        <v>3.4268449501082912</v>
      </c>
      <c r="J100" s="4">
        <f t="shared" si="8"/>
        <v>-3.8076055001203235</v>
      </c>
      <c r="K100">
        <f t="shared" si="9"/>
        <v>3.8076055001203235</v>
      </c>
    </row>
    <row r="101" spans="1:11" x14ac:dyDescent="0.2">
      <c r="A101" t="str">
        <v>d_100</v>
      </c>
      <c r="B101" s="2">
        <v>40671</v>
      </c>
      <c r="C101" s="4">
        <v>0</v>
      </c>
      <c r="D101">
        <f t="shared" si="6"/>
        <v>9</v>
      </c>
      <c r="E101">
        <f t="shared" si="7"/>
        <v>3</v>
      </c>
      <c r="F101">
        <f>IF(C101&gt;0,alpha_c*D101+(1-alpha_c)*F100,F100)</f>
        <v>3.8076055001203235</v>
      </c>
      <c r="G101">
        <f>IF(C101&gt;0, alpha_c*E101+(1-alpha_c)*G100,G100)</f>
        <v>1</v>
      </c>
      <c r="H101">
        <f t="shared" si="5"/>
        <v>3.8076055001203235</v>
      </c>
      <c r="I101">
        <f>(1-alpha_c/2)*(F101/G101)</f>
        <v>3.4268449501082912</v>
      </c>
      <c r="J101" s="4">
        <f t="shared" si="8"/>
        <v>-3.8076055001203235</v>
      </c>
      <c r="K101">
        <f t="shared" si="9"/>
        <v>3.8076055001203235</v>
      </c>
    </row>
    <row r="102" spans="1:11" x14ac:dyDescent="0.2">
      <c r="A102" t="str">
        <v>d_101</v>
      </c>
      <c r="B102" s="2">
        <v>40672</v>
      </c>
      <c r="C102" s="4">
        <v>0</v>
      </c>
      <c r="D102">
        <f t="shared" si="6"/>
        <v>9</v>
      </c>
      <c r="E102">
        <f t="shared" si="7"/>
        <v>4</v>
      </c>
      <c r="F102">
        <f>IF(C102&gt;0,alpha_c*D102+(1-alpha_c)*F101,F101)</f>
        <v>3.8076055001203235</v>
      </c>
      <c r="G102">
        <f>IF(C102&gt;0, alpha_c*E102+(1-alpha_c)*G101,G101)</f>
        <v>1</v>
      </c>
      <c r="H102">
        <f t="shared" si="5"/>
        <v>3.8076055001203235</v>
      </c>
      <c r="I102">
        <f>(1-alpha_c/2)*(F102/G102)</f>
        <v>3.4268449501082912</v>
      </c>
      <c r="J102" s="4">
        <f t="shared" si="8"/>
        <v>-3.8076055001203235</v>
      </c>
      <c r="K102">
        <f t="shared" si="9"/>
        <v>3.8076055001203235</v>
      </c>
    </row>
    <row r="103" spans="1:11" x14ac:dyDescent="0.2">
      <c r="A103" t="str">
        <v>d_102</v>
      </c>
      <c r="B103" s="2">
        <v>40673</v>
      </c>
      <c r="C103" s="4">
        <v>1</v>
      </c>
      <c r="D103">
        <f t="shared" si="6"/>
        <v>1</v>
      </c>
      <c r="E103">
        <f t="shared" si="7"/>
        <v>1</v>
      </c>
      <c r="F103">
        <f>IF(C103&gt;0,alpha_c*D103+(1-alpha_c)*F102,F102)</f>
        <v>3.246084400096259</v>
      </c>
      <c r="G103">
        <f>IF(C103&gt;0, alpha_c*E103+(1-alpha_c)*G102,G102)</f>
        <v>1</v>
      </c>
      <c r="H103">
        <f t="shared" si="5"/>
        <v>3.246084400096259</v>
      </c>
      <c r="I103">
        <f>(1-alpha_c/2)*(F103/G103)</f>
        <v>2.9214759600866333</v>
      </c>
      <c r="J103" s="4">
        <f t="shared" si="8"/>
        <v>-2.246084400096259</v>
      </c>
      <c r="K103">
        <f t="shared" si="9"/>
        <v>2.246084400096259</v>
      </c>
    </row>
    <row r="104" spans="1:11" x14ac:dyDescent="0.2">
      <c r="A104" t="str">
        <v>d_103</v>
      </c>
      <c r="B104" s="2">
        <v>40674</v>
      </c>
      <c r="C104" s="4">
        <v>2</v>
      </c>
      <c r="D104">
        <f t="shared" si="6"/>
        <v>2</v>
      </c>
      <c r="E104">
        <f t="shared" si="7"/>
        <v>1</v>
      </c>
      <c r="F104">
        <f>IF(C104&gt;0,alpha_c*D104+(1-alpha_c)*F103,F103)</f>
        <v>2.9968675200770072</v>
      </c>
      <c r="G104">
        <f>IF(C104&gt;0, alpha_c*E104+(1-alpha_c)*G103,G103)</f>
        <v>1</v>
      </c>
      <c r="H104">
        <f t="shared" si="5"/>
        <v>2.9968675200770072</v>
      </c>
      <c r="I104">
        <f>(1-alpha_c/2)*(F104/G104)</f>
        <v>2.6971807680693067</v>
      </c>
      <c r="J104" s="4">
        <f t="shared" si="8"/>
        <v>-0.99686752007700719</v>
      </c>
      <c r="K104">
        <f t="shared" si="9"/>
        <v>0.99686752007700719</v>
      </c>
    </row>
    <row r="105" spans="1:11" x14ac:dyDescent="0.2">
      <c r="A105" t="str">
        <v>d_104</v>
      </c>
      <c r="B105" s="2">
        <v>40675</v>
      </c>
      <c r="C105" s="4">
        <v>0</v>
      </c>
      <c r="D105">
        <f t="shared" si="6"/>
        <v>2</v>
      </c>
      <c r="E105">
        <f t="shared" si="7"/>
        <v>2</v>
      </c>
      <c r="F105">
        <f>IF(C105&gt;0,alpha_c*D105+(1-alpha_c)*F104,F104)</f>
        <v>2.9968675200770072</v>
      </c>
      <c r="G105">
        <f>IF(C105&gt;0, alpha_c*E105+(1-alpha_c)*G104,G104)</f>
        <v>1</v>
      </c>
      <c r="H105">
        <f t="shared" si="5"/>
        <v>2.9968675200770072</v>
      </c>
      <c r="I105">
        <f>(1-alpha_c/2)*(F105/G105)</f>
        <v>2.6971807680693067</v>
      </c>
      <c r="J105" s="4">
        <f t="shared" si="8"/>
        <v>-2.9968675200770072</v>
      </c>
      <c r="K105">
        <f t="shared" si="9"/>
        <v>2.9968675200770072</v>
      </c>
    </row>
    <row r="106" spans="1:11" x14ac:dyDescent="0.2">
      <c r="A106" t="str">
        <v>d_105</v>
      </c>
      <c r="B106" s="2">
        <v>40676</v>
      </c>
      <c r="C106" s="4">
        <v>1</v>
      </c>
      <c r="D106">
        <f t="shared" si="6"/>
        <v>1</v>
      </c>
      <c r="E106">
        <f t="shared" si="7"/>
        <v>1</v>
      </c>
      <c r="F106">
        <f>IF(C106&gt;0,alpha_c*D106+(1-alpha_c)*F105,F105)</f>
        <v>2.597494016061606</v>
      </c>
      <c r="G106">
        <f>IF(C106&gt;0, alpha_c*E106+(1-alpha_c)*G105,G105)</f>
        <v>1</v>
      </c>
      <c r="H106">
        <f t="shared" si="5"/>
        <v>2.597494016061606</v>
      </c>
      <c r="I106">
        <f>(1-alpha_c/2)*(F106/G106)</f>
        <v>2.3377446144554455</v>
      </c>
      <c r="J106" s="4">
        <f t="shared" si="8"/>
        <v>-1.597494016061606</v>
      </c>
      <c r="K106">
        <f t="shared" si="9"/>
        <v>1.597494016061606</v>
      </c>
    </row>
    <row r="107" spans="1:11" x14ac:dyDescent="0.2">
      <c r="A107" t="str">
        <v>d_106</v>
      </c>
      <c r="B107" s="2">
        <v>40677</v>
      </c>
      <c r="C107" s="4">
        <v>3</v>
      </c>
      <c r="D107">
        <f t="shared" si="6"/>
        <v>3</v>
      </c>
      <c r="E107">
        <f t="shared" si="7"/>
        <v>1</v>
      </c>
      <c r="F107">
        <f>IF(C107&gt;0,alpha_c*D107+(1-alpha_c)*F106,F106)</f>
        <v>2.677995212849285</v>
      </c>
      <c r="G107">
        <f>IF(C107&gt;0, alpha_c*E107+(1-alpha_c)*G106,G106)</f>
        <v>1</v>
      </c>
      <c r="H107">
        <f t="shared" si="5"/>
        <v>2.677995212849285</v>
      </c>
      <c r="I107">
        <f>(1-alpha_c/2)*(F107/G107)</f>
        <v>2.4101956915643568</v>
      </c>
      <c r="J107" s="4">
        <f t="shared" si="8"/>
        <v>0.32200478715071501</v>
      </c>
      <c r="K107">
        <f t="shared" si="9"/>
        <v>0.32200478715071501</v>
      </c>
    </row>
    <row r="108" spans="1:11" x14ac:dyDescent="0.2">
      <c r="A108" t="str">
        <v>d_107</v>
      </c>
      <c r="B108" s="2">
        <v>40678</v>
      </c>
      <c r="C108" s="4">
        <v>1</v>
      </c>
      <c r="D108">
        <f t="shared" si="6"/>
        <v>1</v>
      </c>
      <c r="E108">
        <f t="shared" si="7"/>
        <v>1</v>
      </c>
      <c r="F108">
        <f>IF(C108&gt;0,alpha_c*D108+(1-alpha_c)*F107,F107)</f>
        <v>2.3423961702794283</v>
      </c>
      <c r="G108">
        <f>IF(C108&gt;0, alpha_c*E108+(1-alpha_c)*G107,G107)</f>
        <v>1</v>
      </c>
      <c r="H108">
        <f t="shared" si="5"/>
        <v>2.3423961702794283</v>
      </c>
      <c r="I108">
        <f>(1-alpha_c/2)*(F108/G108)</f>
        <v>2.1081565532514857</v>
      </c>
      <c r="J108" s="4">
        <f t="shared" si="8"/>
        <v>-1.3423961702794283</v>
      </c>
      <c r="K108">
        <f t="shared" si="9"/>
        <v>1.3423961702794283</v>
      </c>
    </row>
    <row r="109" spans="1:11" x14ac:dyDescent="0.2">
      <c r="A109" t="str">
        <v>d_108</v>
      </c>
      <c r="B109" s="2">
        <v>40679</v>
      </c>
      <c r="C109" s="4">
        <v>3</v>
      </c>
      <c r="D109">
        <f t="shared" si="6"/>
        <v>3</v>
      </c>
      <c r="E109">
        <f t="shared" si="7"/>
        <v>1</v>
      </c>
      <c r="F109">
        <f>IF(C109&gt;0,alpha_c*D109+(1-alpha_c)*F108,F108)</f>
        <v>2.4739169362235427</v>
      </c>
      <c r="G109">
        <f>IF(C109&gt;0, alpha_c*E109+(1-alpha_c)*G108,G108)</f>
        <v>1</v>
      </c>
      <c r="H109">
        <f t="shared" si="5"/>
        <v>2.4739169362235427</v>
      </c>
      <c r="I109">
        <f>(1-alpha_c/2)*(F109/G109)</f>
        <v>2.2265252426011886</v>
      </c>
      <c r="J109" s="4">
        <f t="shared" si="8"/>
        <v>0.5260830637764573</v>
      </c>
      <c r="K109">
        <f t="shared" si="9"/>
        <v>0.5260830637764573</v>
      </c>
    </row>
    <row r="110" spans="1:11" x14ac:dyDescent="0.2">
      <c r="A110" t="str">
        <v>d_109</v>
      </c>
      <c r="B110" s="2">
        <v>40680</v>
      </c>
      <c r="C110" s="4">
        <v>0</v>
      </c>
      <c r="D110">
        <f t="shared" si="6"/>
        <v>3</v>
      </c>
      <c r="E110">
        <f t="shared" si="7"/>
        <v>2</v>
      </c>
      <c r="F110">
        <f>IF(C110&gt;0,alpha_c*D110+(1-alpha_c)*F109,F109)</f>
        <v>2.4739169362235427</v>
      </c>
      <c r="G110">
        <f>IF(C110&gt;0, alpha_c*E110+(1-alpha_c)*G109,G109)</f>
        <v>1</v>
      </c>
      <c r="H110">
        <f t="shared" si="5"/>
        <v>2.4739169362235427</v>
      </c>
      <c r="I110">
        <f>(1-alpha_c/2)*(F110/G110)</f>
        <v>2.2265252426011886</v>
      </c>
      <c r="J110" s="4">
        <f t="shared" si="8"/>
        <v>-2.4739169362235427</v>
      </c>
      <c r="K110">
        <f t="shared" si="9"/>
        <v>2.4739169362235427</v>
      </c>
    </row>
    <row r="111" spans="1:11" x14ac:dyDescent="0.2">
      <c r="A111" t="str">
        <v>d_110</v>
      </c>
      <c r="B111" s="2">
        <v>40681</v>
      </c>
      <c r="C111" s="4">
        <v>0</v>
      </c>
      <c r="D111">
        <f t="shared" si="6"/>
        <v>3</v>
      </c>
      <c r="E111">
        <f t="shared" si="7"/>
        <v>3</v>
      </c>
      <c r="F111">
        <f>IF(C111&gt;0,alpha_c*D111+(1-alpha_c)*F110,F110)</f>
        <v>2.4739169362235427</v>
      </c>
      <c r="G111">
        <f>IF(C111&gt;0, alpha_c*E111+(1-alpha_c)*G110,G110)</f>
        <v>1</v>
      </c>
      <c r="H111">
        <f t="shared" si="5"/>
        <v>2.4739169362235427</v>
      </c>
      <c r="I111">
        <f>(1-alpha_c/2)*(F111/G111)</f>
        <v>2.2265252426011886</v>
      </c>
      <c r="J111" s="4">
        <f t="shared" si="8"/>
        <v>-2.4739169362235427</v>
      </c>
      <c r="K111">
        <f t="shared" si="9"/>
        <v>2.4739169362235427</v>
      </c>
    </row>
    <row r="112" spans="1:11" x14ac:dyDescent="0.2">
      <c r="A112" t="str">
        <v>d_111</v>
      </c>
      <c r="B112" s="2">
        <v>40682</v>
      </c>
      <c r="C112" s="4">
        <v>1</v>
      </c>
      <c r="D112">
        <f t="shared" si="6"/>
        <v>1</v>
      </c>
      <c r="E112">
        <f t="shared" si="7"/>
        <v>1</v>
      </c>
      <c r="F112">
        <f>IF(C112&gt;0,alpha_c*D112+(1-alpha_c)*F111,F111)</f>
        <v>2.1791335489788342</v>
      </c>
      <c r="G112">
        <f>IF(C112&gt;0, alpha_c*E112+(1-alpha_c)*G111,G111)</f>
        <v>1</v>
      </c>
      <c r="H112">
        <f t="shared" si="5"/>
        <v>2.1791335489788342</v>
      </c>
      <c r="I112">
        <f>(1-alpha_c/2)*(F112/G112)</f>
        <v>1.9612201940809508</v>
      </c>
      <c r="J112" s="4">
        <f t="shared" si="8"/>
        <v>-1.1791335489788342</v>
      </c>
      <c r="K112">
        <f t="shared" si="9"/>
        <v>1.1791335489788342</v>
      </c>
    </row>
    <row r="113" spans="1:11" x14ac:dyDescent="0.2">
      <c r="A113" t="str">
        <v>d_112</v>
      </c>
      <c r="B113" s="2">
        <v>40683</v>
      </c>
      <c r="C113" s="4">
        <v>1</v>
      </c>
      <c r="D113">
        <f t="shared" si="6"/>
        <v>1</v>
      </c>
      <c r="E113">
        <f t="shared" si="7"/>
        <v>1</v>
      </c>
      <c r="F113">
        <f>IF(C113&gt;0,alpha_c*D113+(1-alpha_c)*F112,F112)</f>
        <v>1.9433068391830675</v>
      </c>
      <c r="G113">
        <f>IF(C113&gt;0, alpha_c*E113+(1-alpha_c)*G112,G112)</f>
        <v>1</v>
      </c>
      <c r="H113">
        <f t="shared" si="5"/>
        <v>1.9433068391830675</v>
      </c>
      <c r="I113">
        <f>(1-alpha_c/2)*(F113/G113)</f>
        <v>1.7489761552647607</v>
      </c>
      <c r="J113" s="4">
        <f t="shared" si="8"/>
        <v>-0.94330683918306746</v>
      </c>
      <c r="K113">
        <f t="shared" si="9"/>
        <v>0.94330683918306746</v>
      </c>
    </row>
    <row r="114" spans="1:11" x14ac:dyDescent="0.2">
      <c r="A114" t="str">
        <v>d_113</v>
      </c>
      <c r="B114" s="2">
        <v>40684</v>
      </c>
      <c r="C114" s="4">
        <v>1</v>
      </c>
      <c r="D114">
        <f t="shared" si="6"/>
        <v>1</v>
      </c>
      <c r="E114">
        <f t="shared" si="7"/>
        <v>1</v>
      </c>
      <c r="F114">
        <f>IF(C114&gt;0,alpha_c*D114+(1-alpha_c)*F113,F113)</f>
        <v>1.7546454713464541</v>
      </c>
      <c r="G114">
        <f>IF(C114&gt;0, alpha_c*E114+(1-alpha_c)*G113,G113)</f>
        <v>1</v>
      </c>
      <c r="H114">
        <f t="shared" si="5"/>
        <v>1.7546454713464541</v>
      </c>
      <c r="I114">
        <f>(1-alpha_c/2)*(F114/G114)</f>
        <v>1.5791809242118087</v>
      </c>
      <c r="J114" s="4">
        <f t="shared" si="8"/>
        <v>-0.7546454713464541</v>
      </c>
      <c r="K114">
        <f t="shared" si="9"/>
        <v>0.7546454713464541</v>
      </c>
    </row>
    <row r="115" spans="1:11" x14ac:dyDescent="0.2">
      <c r="A115" t="str">
        <v>d_114</v>
      </c>
      <c r="B115" s="2">
        <v>40685</v>
      </c>
      <c r="C115" s="4">
        <v>3</v>
      </c>
      <c r="D115">
        <f t="shared" si="6"/>
        <v>3</v>
      </c>
      <c r="E115">
        <f t="shared" si="7"/>
        <v>1</v>
      </c>
      <c r="F115">
        <f>IF(C115&gt;0,alpha_c*D115+(1-alpha_c)*F114,F114)</f>
        <v>2.0037163770771635</v>
      </c>
      <c r="G115">
        <f>IF(C115&gt;0, alpha_c*E115+(1-alpha_c)*G114,G114)</f>
        <v>1</v>
      </c>
      <c r="H115">
        <f t="shared" si="5"/>
        <v>2.0037163770771635</v>
      </c>
      <c r="I115">
        <f>(1-alpha_c/2)*(F115/G115)</f>
        <v>1.8033447393694473</v>
      </c>
      <c r="J115" s="4">
        <f t="shared" si="8"/>
        <v>0.99628362292283645</v>
      </c>
      <c r="K115">
        <f t="shared" si="9"/>
        <v>0.99628362292283645</v>
      </c>
    </row>
    <row r="116" spans="1:11" x14ac:dyDescent="0.2">
      <c r="A116" t="str">
        <v>d_115</v>
      </c>
      <c r="B116" s="2">
        <v>40686</v>
      </c>
      <c r="C116" s="4">
        <v>0</v>
      </c>
      <c r="D116">
        <f t="shared" si="6"/>
        <v>3</v>
      </c>
      <c r="E116">
        <f t="shared" si="7"/>
        <v>2</v>
      </c>
      <c r="F116">
        <f>IF(C116&gt;0,alpha_c*D116+(1-alpha_c)*F115,F115)</f>
        <v>2.0037163770771635</v>
      </c>
      <c r="G116">
        <f>IF(C116&gt;0, alpha_c*E116+(1-alpha_c)*G115,G115)</f>
        <v>1</v>
      </c>
      <c r="H116">
        <f t="shared" si="5"/>
        <v>2.0037163770771635</v>
      </c>
      <c r="I116">
        <f>(1-alpha_c/2)*(F116/G116)</f>
        <v>1.8033447393694473</v>
      </c>
      <c r="J116" s="4">
        <f t="shared" si="8"/>
        <v>-2.0037163770771635</v>
      </c>
      <c r="K116">
        <f t="shared" si="9"/>
        <v>2.0037163770771635</v>
      </c>
    </row>
    <row r="117" spans="1:11" x14ac:dyDescent="0.2">
      <c r="A117" t="str">
        <v>d_116</v>
      </c>
      <c r="B117" s="2">
        <v>40687</v>
      </c>
      <c r="C117" s="4">
        <v>1</v>
      </c>
      <c r="D117">
        <f t="shared" si="6"/>
        <v>1</v>
      </c>
      <c r="E117">
        <f t="shared" si="7"/>
        <v>1</v>
      </c>
      <c r="F117">
        <f>IF(C117&gt;0,alpha_c*D117+(1-alpha_c)*F116,F116)</f>
        <v>1.802973101661731</v>
      </c>
      <c r="G117">
        <f>IF(C117&gt;0, alpha_c*E117+(1-alpha_c)*G116,G116)</f>
        <v>1</v>
      </c>
      <c r="H117">
        <f t="shared" si="5"/>
        <v>1.802973101661731</v>
      </c>
      <c r="I117">
        <f>(1-alpha_c/2)*(F117/G117)</f>
        <v>1.6226757914955579</v>
      </c>
      <c r="J117" s="4">
        <f t="shared" si="8"/>
        <v>-0.80297310166173097</v>
      </c>
      <c r="K117">
        <f t="shared" si="9"/>
        <v>0.80297310166173097</v>
      </c>
    </row>
    <row r="118" spans="1:11" x14ac:dyDescent="0.2">
      <c r="A118" t="str">
        <v>d_117</v>
      </c>
      <c r="B118" s="2">
        <v>40688</v>
      </c>
      <c r="C118" s="4">
        <v>2</v>
      </c>
      <c r="D118">
        <f t="shared" si="6"/>
        <v>2</v>
      </c>
      <c r="E118">
        <f t="shared" si="7"/>
        <v>1</v>
      </c>
      <c r="F118">
        <f>IF(C118&gt;0,alpha_c*D118+(1-alpha_c)*F117,F117)</f>
        <v>1.8423784813293849</v>
      </c>
      <c r="G118">
        <f>IF(C118&gt;0, alpha_c*E118+(1-alpha_c)*G117,G117)</f>
        <v>1</v>
      </c>
      <c r="H118">
        <f t="shared" si="5"/>
        <v>1.8423784813293849</v>
      </c>
      <c r="I118">
        <f>(1-alpha_c/2)*(F118/G118)</f>
        <v>1.6581406331964463</v>
      </c>
      <c r="J118" s="4">
        <f t="shared" si="8"/>
        <v>0.15762151867061513</v>
      </c>
      <c r="K118">
        <f t="shared" si="9"/>
        <v>0.15762151867061513</v>
      </c>
    </row>
    <row r="119" spans="1:11" x14ac:dyDescent="0.2">
      <c r="A119" t="str">
        <v>d_118</v>
      </c>
      <c r="B119" s="2">
        <v>40689</v>
      </c>
      <c r="C119" s="4">
        <v>0</v>
      </c>
      <c r="D119">
        <f t="shared" si="6"/>
        <v>2</v>
      </c>
      <c r="E119">
        <f t="shared" si="7"/>
        <v>2</v>
      </c>
      <c r="F119">
        <f>IF(C119&gt;0,alpha_c*D119+(1-alpha_c)*F118,F118)</f>
        <v>1.8423784813293849</v>
      </c>
      <c r="G119">
        <f>IF(C119&gt;0, alpha_c*E119+(1-alpha_c)*G118,G118)</f>
        <v>1</v>
      </c>
      <c r="H119">
        <f t="shared" si="5"/>
        <v>1.8423784813293849</v>
      </c>
      <c r="I119">
        <f>(1-alpha_c/2)*(F119/G119)</f>
        <v>1.6581406331964463</v>
      </c>
      <c r="J119" s="4">
        <f t="shared" si="8"/>
        <v>-1.8423784813293849</v>
      </c>
      <c r="K119">
        <f t="shared" si="9"/>
        <v>1.8423784813293849</v>
      </c>
    </row>
    <row r="120" spans="1:11" x14ac:dyDescent="0.2">
      <c r="A120" t="str">
        <v>d_119</v>
      </c>
      <c r="B120" s="2">
        <v>40690</v>
      </c>
      <c r="C120" s="4">
        <v>6</v>
      </c>
      <c r="D120">
        <f t="shared" si="6"/>
        <v>6</v>
      </c>
      <c r="E120">
        <f t="shared" si="7"/>
        <v>1</v>
      </c>
      <c r="F120">
        <f>IF(C120&gt;0,alpha_c*D120+(1-alpha_c)*F119,F119)</f>
        <v>2.6739027850635084</v>
      </c>
      <c r="G120">
        <f>IF(C120&gt;0, alpha_c*E120+(1-alpha_c)*G119,G119)</f>
        <v>1</v>
      </c>
      <c r="H120">
        <f t="shared" si="5"/>
        <v>2.6739027850635084</v>
      </c>
      <c r="I120">
        <f>(1-alpha_c/2)*(F120/G120)</f>
        <v>2.4065125065571578</v>
      </c>
      <c r="J120" s="4">
        <f t="shared" si="8"/>
        <v>3.3260972149364916</v>
      </c>
      <c r="K120">
        <f t="shared" si="9"/>
        <v>3.3260972149364916</v>
      </c>
    </row>
    <row r="121" spans="1:11" x14ac:dyDescent="0.2">
      <c r="A121" t="str">
        <v>d_120</v>
      </c>
      <c r="B121" s="2">
        <v>40691</v>
      </c>
      <c r="C121" s="4">
        <v>3</v>
      </c>
      <c r="D121">
        <f t="shared" si="6"/>
        <v>3</v>
      </c>
      <c r="E121">
        <f t="shared" si="7"/>
        <v>1</v>
      </c>
      <c r="F121">
        <f>IF(C121&gt;0,alpha_c*D121+(1-alpha_c)*F120,F120)</f>
        <v>2.7391222280508067</v>
      </c>
      <c r="G121">
        <f>IF(C121&gt;0, alpha_c*E121+(1-alpha_c)*G120,G120)</f>
        <v>1</v>
      </c>
      <c r="H121">
        <f t="shared" si="5"/>
        <v>2.7391222280508067</v>
      </c>
      <c r="I121">
        <f>(1-alpha_c/2)*(F121/G121)</f>
        <v>2.465210005245726</v>
      </c>
      <c r="J121" s="4">
        <f t="shared" si="8"/>
        <v>0.26087777194919326</v>
      </c>
      <c r="K121">
        <f t="shared" si="9"/>
        <v>0.26087777194919326</v>
      </c>
    </row>
    <row r="122" spans="1:11" x14ac:dyDescent="0.2">
      <c r="A122" t="str">
        <v>d_121</v>
      </c>
      <c r="B122" s="2">
        <v>40692</v>
      </c>
      <c r="C122" s="4">
        <v>1</v>
      </c>
      <c r="D122">
        <f t="shared" si="6"/>
        <v>1</v>
      </c>
      <c r="E122">
        <f t="shared" si="7"/>
        <v>1</v>
      </c>
      <c r="F122">
        <f>IF(C122&gt;0,alpha_c*D122+(1-alpha_c)*F121,F121)</f>
        <v>2.3912977824406458</v>
      </c>
      <c r="G122">
        <f>IF(C122&gt;0, alpha_c*E122+(1-alpha_c)*G121,G121)</f>
        <v>1</v>
      </c>
      <c r="H122">
        <f t="shared" si="5"/>
        <v>2.3912977824406458</v>
      </c>
      <c r="I122">
        <f>(1-alpha_c/2)*(F122/G122)</f>
        <v>2.1521680041965814</v>
      </c>
      <c r="J122" s="4">
        <f t="shared" si="8"/>
        <v>-1.3912977824406458</v>
      </c>
      <c r="K122">
        <f t="shared" si="9"/>
        <v>1.3912977824406458</v>
      </c>
    </row>
    <row r="123" spans="1:11" x14ac:dyDescent="0.2">
      <c r="A123" t="str">
        <v>d_122</v>
      </c>
      <c r="B123" s="2">
        <v>40693</v>
      </c>
      <c r="C123" s="4">
        <v>0</v>
      </c>
      <c r="D123">
        <f t="shared" si="6"/>
        <v>1</v>
      </c>
      <c r="E123">
        <f t="shared" si="7"/>
        <v>2</v>
      </c>
      <c r="F123">
        <f>IF(C123&gt;0,alpha_c*D123+(1-alpha_c)*F122,F122)</f>
        <v>2.3912977824406458</v>
      </c>
      <c r="G123">
        <f>IF(C123&gt;0, alpha_c*E123+(1-alpha_c)*G122,G122)</f>
        <v>1</v>
      </c>
      <c r="H123">
        <f t="shared" si="5"/>
        <v>2.3912977824406458</v>
      </c>
      <c r="I123">
        <f>(1-alpha_c/2)*(F123/G123)</f>
        <v>2.1521680041965814</v>
      </c>
      <c r="J123" s="4">
        <f t="shared" si="8"/>
        <v>-2.3912977824406458</v>
      </c>
      <c r="K123">
        <f t="shared" si="9"/>
        <v>2.3912977824406458</v>
      </c>
    </row>
    <row r="124" spans="1:11" x14ac:dyDescent="0.2">
      <c r="A124" t="str">
        <v>d_123</v>
      </c>
      <c r="B124" s="2">
        <v>40694</v>
      </c>
      <c r="C124" s="4">
        <v>1</v>
      </c>
      <c r="D124">
        <f t="shared" si="6"/>
        <v>1</v>
      </c>
      <c r="E124">
        <f t="shared" si="7"/>
        <v>1</v>
      </c>
      <c r="F124">
        <f>IF(C124&gt;0,alpha_c*D124+(1-alpha_c)*F123,F123)</f>
        <v>2.1130382259525167</v>
      </c>
      <c r="G124">
        <f>IF(C124&gt;0, alpha_c*E124+(1-alpha_c)*G123,G123)</f>
        <v>1</v>
      </c>
      <c r="H124">
        <f t="shared" si="5"/>
        <v>2.1130382259525167</v>
      </c>
      <c r="I124">
        <f>(1-alpha_c/2)*(F124/G124)</f>
        <v>1.901734403357265</v>
      </c>
      <c r="J124" s="4">
        <f t="shared" si="8"/>
        <v>-1.1130382259525167</v>
      </c>
      <c r="K124">
        <f t="shared" si="9"/>
        <v>1.1130382259525167</v>
      </c>
    </row>
    <row r="125" spans="1:11" x14ac:dyDescent="0.2">
      <c r="A125" t="str">
        <v>d_124</v>
      </c>
      <c r="B125" s="2">
        <v>40695</v>
      </c>
      <c r="C125" s="4">
        <v>0</v>
      </c>
      <c r="D125">
        <f t="shared" si="6"/>
        <v>1</v>
      </c>
      <c r="E125">
        <f t="shared" si="7"/>
        <v>2</v>
      </c>
      <c r="F125">
        <f>IF(C125&gt;0,alpha_c*D125+(1-alpha_c)*F124,F124)</f>
        <v>2.1130382259525167</v>
      </c>
      <c r="G125">
        <f>IF(C125&gt;0, alpha_c*E125+(1-alpha_c)*G124,G124)</f>
        <v>1</v>
      </c>
      <c r="H125">
        <f t="shared" si="5"/>
        <v>2.1130382259525167</v>
      </c>
      <c r="I125">
        <f>(1-alpha_c/2)*(F125/G125)</f>
        <v>1.901734403357265</v>
      </c>
      <c r="J125" s="4">
        <f t="shared" si="8"/>
        <v>-2.1130382259525167</v>
      </c>
      <c r="K125">
        <f t="shared" si="9"/>
        <v>2.1130382259525167</v>
      </c>
    </row>
    <row r="126" spans="1:11" x14ac:dyDescent="0.2">
      <c r="A126" t="str">
        <v>d_125</v>
      </c>
      <c r="B126" s="2">
        <v>40696</v>
      </c>
      <c r="C126" s="4">
        <v>2</v>
      </c>
      <c r="D126">
        <f t="shared" si="6"/>
        <v>2</v>
      </c>
      <c r="E126">
        <f t="shared" si="7"/>
        <v>1</v>
      </c>
      <c r="F126">
        <f>IF(C126&gt;0,alpha_c*D126+(1-alpha_c)*F125,F125)</f>
        <v>2.0904305807620136</v>
      </c>
      <c r="G126">
        <f>IF(C126&gt;0, alpha_c*E126+(1-alpha_c)*G125,G125)</f>
        <v>1</v>
      </c>
      <c r="H126">
        <f t="shared" si="5"/>
        <v>2.0904305807620136</v>
      </c>
      <c r="I126">
        <f>(1-alpha_c/2)*(F126/G126)</f>
        <v>1.8813875226858123</v>
      </c>
      <c r="J126" s="4">
        <f t="shared" si="8"/>
        <v>-9.0430580762013602E-2</v>
      </c>
      <c r="K126">
        <f t="shared" si="9"/>
        <v>9.0430580762013602E-2</v>
      </c>
    </row>
    <row r="127" spans="1:11" x14ac:dyDescent="0.2">
      <c r="A127" t="str">
        <v>d_126</v>
      </c>
      <c r="B127" s="2">
        <v>40697</v>
      </c>
      <c r="C127" s="4">
        <v>0</v>
      </c>
      <c r="D127">
        <f t="shared" si="6"/>
        <v>2</v>
      </c>
      <c r="E127">
        <f t="shared" si="7"/>
        <v>2</v>
      </c>
      <c r="F127">
        <f>IF(C127&gt;0,alpha_c*D127+(1-alpha_c)*F126,F126)</f>
        <v>2.0904305807620136</v>
      </c>
      <c r="G127">
        <f>IF(C127&gt;0, alpha_c*E127+(1-alpha_c)*G126,G126)</f>
        <v>1</v>
      </c>
      <c r="H127">
        <f t="shared" si="5"/>
        <v>2.0904305807620136</v>
      </c>
      <c r="I127">
        <f>(1-alpha_c/2)*(F127/G127)</f>
        <v>1.8813875226858123</v>
      </c>
      <c r="J127" s="4">
        <f t="shared" si="8"/>
        <v>-2.0904305807620136</v>
      </c>
      <c r="K127">
        <f t="shared" si="9"/>
        <v>2.0904305807620136</v>
      </c>
    </row>
    <row r="128" spans="1:11" x14ac:dyDescent="0.2">
      <c r="A128" t="str">
        <v>d_127</v>
      </c>
      <c r="B128" s="2">
        <v>40698</v>
      </c>
      <c r="C128" s="4">
        <v>0</v>
      </c>
      <c r="D128">
        <f t="shared" si="6"/>
        <v>2</v>
      </c>
      <c r="E128">
        <f t="shared" si="7"/>
        <v>3</v>
      </c>
      <c r="F128">
        <f>IF(C128&gt;0,alpha_c*D128+(1-alpha_c)*F127,F127)</f>
        <v>2.0904305807620136</v>
      </c>
      <c r="G128">
        <f>IF(C128&gt;0, alpha_c*E128+(1-alpha_c)*G127,G127)</f>
        <v>1</v>
      </c>
      <c r="H128">
        <f t="shared" si="5"/>
        <v>2.0904305807620136</v>
      </c>
      <c r="I128">
        <f>(1-alpha_c/2)*(F128/G128)</f>
        <v>1.8813875226858123</v>
      </c>
      <c r="J128" s="4">
        <f t="shared" si="8"/>
        <v>-2.0904305807620136</v>
      </c>
      <c r="K128">
        <f t="shared" si="9"/>
        <v>2.0904305807620136</v>
      </c>
    </row>
    <row r="129" spans="1:11" x14ac:dyDescent="0.2">
      <c r="A129" t="str">
        <v>d_128</v>
      </c>
      <c r="B129" s="2">
        <v>40699</v>
      </c>
      <c r="C129" s="4">
        <v>0</v>
      </c>
      <c r="D129">
        <f t="shared" si="6"/>
        <v>2</v>
      </c>
      <c r="E129">
        <f t="shared" si="7"/>
        <v>4</v>
      </c>
      <c r="F129">
        <f>IF(C129&gt;0,alpha_c*D129+(1-alpha_c)*F128,F128)</f>
        <v>2.0904305807620136</v>
      </c>
      <c r="G129">
        <f>IF(C129&gt;0, alpha_c*E129+(1-alpha_c)*G128,G128)</f>
        <v>1</v>
      </c>
      <c r="H129">
        <f t="shared" si="5"/>
        <v>2.0904305807620136</v>
      </c>
      <c r="I129">
        <f>(1-alpha_c/2)*(F129/G129)</f>
        <v>1.8813875226858123</v>
      </c>
      <c r="J129" s="4">
        <f t="shared" si="8"/>
        <v>-2.0904305807620136</v>
      </c>
      <c r="K129">
        <f t="shared" si="9"/>
        <v>2.0904305807620136</v>
      </c>
    </row>
    <row r="130" spans="1:11" x14ac:dyDescent="0.2">
      <c r="A130" t="str">
        <v>d_129</v>
      </c>
      <c r="B130" s="2">
        <v>40700</v>
      </c>
      <c r="C130" s="4">
        <v>0</v>
      </c>
      <c r="D130">
        <f t="shared" si="6"/>
        <v>2</v>
      </c>
      <c r="E130">
        <f t="shared" si="7"/>
        <v>5</v>
      </c>
      <c r="F130">
        <f>IF(C130&gt;0,alpha_c*D130+(1-alpha_c)*F129,F129)</f>
        <v>2.0904305807620136</v>
      </c>
      <c r="G130">
        <f>IF(C130&gt;0, alpha_c*E130+(1-alpha_c)*G129,G129)</f>
        <v>1</v>
      </c>
      <c r="H130">
        <f t="shared" si="5"/>
        <v>2.0904305807620136</v>
      </c>
      <c r="I130">
        <f>(1-alpha_c/2)*(F130/G130)</f>
        <v>1.8813875226858123</v>
      </c>
      <c r="J130" s="4">
        <f t="shared" si="8"/>
        <v>-2.0904305807620136</v>
      </c>
      <c r="K130">
        <f t="shared" si="9"/>
        <v>2.0904305807620136</v>
      </c>
    </row>
    <row r="131" spans="1:11" x14ac:dyDescent="0.2">
      <c r="A131" t="str">
        <v>d_130</v>
      </c>
      <c r="B131" s="2">
        <v>40701</v>
      </c>
      <c r="C131" s="4">
        <v>0</v>
      </c>
      <c r="D131">
        <f t="shared" si="6"/>
        <v>2</v>
      </c>
      <c r="E131">
        <f t="shared" si="7"/>
        <v>6</v>
      </c>
      <c r="F131">
        <f>IF(C131&gt;0,alpha_c*D131+(1-alpha_c)*F130,F130)</f>
        <v>2.0904305807620136</v>
      </c>
      <c r="G131">
        <f>IF(C131&gt;0, alpha_c*E131+(1-alpha_c)*G130,G130)</f>
        <v>1</v>
      </c>
      <c r="H131">
        <f t="shared" ref="H131:H194" si="10">F131/G131</f>
        <v>2.0904305807620136</v>
      </c>
      <c r="I131">
        <f>(1-alpha_c/2)*(F131/G131)</f>
        <v>1.8813875226858123</v>
      </c>
      <c r="J131" s="4">
        <f t="shared" si="8"/>
        <v>-2.0904305807620136</v>
      </c>
      <c r="K131">
        <f t="shared" si="9"/>
        <v>2.0904305807620136</v>
      </c>
    </row>
    <row r="132" spans="1:11" x14ac:dyDescent="0.2">
      <c r="A132" t="str">
        <v>d_131</v>
      </c>
      <c r="B132" s="2">
        <v>40702</v>
      </c>
      <c r="C132" s="4">
        <v>1</v>
      </c>
      <c r="D132">
        <f t="shared" ref="D132:D195" si="11">IF(C132&gt;0,C132,D131)</f>
        <v>1</v>
      </c>
      <c r="E132">
        <f t="shared" ref="E132:E195" si="12">IF(C132&gt;0,1,E131+1)</f>
        <v>1</v>
      </c>
      <c r="F132">
        <f>IF(C132&gt;0,alpha_c*D132+(1-alpha_c)*F131,F131)</f>
        <v>1.872344464609611</v>
      </c>
      <c r="G132">
        <f>IF(C132&gt;0, alpha_c*E132+(1-alpha_c)*G131,G131)</f>
        <v>1</v>
      </c>
      <c r="H132">
        <f t="shared" si="10"/>
        <v>1.872344464609611</v>
      </c>
      <c r="I132">
        <f>(1-alpha_c/2)*(F132/G132)</f>
        <v>1.68511001814865</v>
      </c>
      <c r="J132" s="4">
        <f t="shared" ref="J132:J195" si="13">C132-H132</f>
        <v>-0.87234446460961101</v>
      </c>
      <c r="K132">
        <f t="shared" ref="K132:K195" si="14">ABS(J132)</f>
        <v>0.87234446460961101</v>
      </c>
    </row>
    <row r="133" spans="1:11" x14ac:dyDescent="0.2">
      <c r="A133" t="str">
        <v>d_132</v>
      </c>
      <c r="B133" s="2">
        <v>40703</v>
      </c>
      <c r="C133" s="4">
        <v>4</v>
      </c>
      <c r="D133">
        <f t="shared" si="11"/>
        <v>4</v>
      </c>
      <c r="E133">
        <f t="shared" si="12"/>
        <v>1</v>
      </c>
      <c r="F133">
        <f>IF(C133&gt;0,alpha_c*D133+(1-alpha_c)*F132,F132)</f>
        <v>2.2978755716876886</v>
      </c>
      <c r="G133">
        <f>IF(C133&gt;0, alpha_c*E133+(1-alpha_c)*G132,G132)</f>
        <v>1</v>
      </c>
      <c r="H133">
        <f t="shared" si="10"/>
        <v>2.2978755716876886</v>
      </c>
      <c r="I133">
        <f>(1-alpha_c/2)*(F133/G133)</f>
        <v>2.0680880145189198</v>
      </c>
      <c r="J133" s="4">
        <f t="shared" si="13"/>
        <v>1.7021244283123114</v>
      </c>
      <c r="K133">
        <f t="shared" si="14"/>
        <v>1.7021244283123114</v>
      </c>
    </row>
    <row r="134" spans="1:11" x14ac:dyDescent="0.2">
      <c r="A134" t="str">
        <v>d_133</v>
      </c>
      <c r="B134" s="2">
        <v>40704</v>
      </c>
      <c r="C134" s="4">
        <v>0</v>
      </c>
      <c r="D134">
        <f t="shared" si="11"/>
        <v>4</v>
      </c>
      <c r="E134">
        <f t="shared" si="12"/>
        <v>2</v>
      </c>
      <c r="F134">
        <f>IF(C134&gt;0,alpha_c*D134+(1-alpha_c)*F133,F133)</f>
        <v>2.2978755716876886</v>
      </c>
      <c r="G134">
        <f>IF(C134&gt;0, alpha_c*E134+(1-alpha_c)*G133,G133)</f>
        <v>1</v>
      </c>
      <c r="H134">
        <f t="shared" si="10"/>
        <v>2.2978755716876886</v>
      </c>
      <c r="I134">
        <f>(1-alpha_c/2)*(F134/G134)</f>
        <v>2.0680880145189198</v>
      </c>
      <c r="J134" s="4">
        <f t="shared" si="13"/>
        <v>-2.2978755716876886</v>
      </c>
      <c r="K134">
        <f t="shared" si="14"/>
        <v>2.2978755716876886</v>
      </c>
    </row>
    <row r="135" spans="1:11" x14ac:dyDescent="0.2">
      <c r="A135" t="str">
        <v>d_134</v>
      </c>
      <c r="B135" s="2">
        <v>40705</v>
      </c>
      <c r="C135" s="4">
        <v>0</v>
      </c>
      <c r="D135">
        <f t="shared" si="11"/>
        <v>4</v>
      </c>
      <c r="E135">
        <f t="shared" si="12"/>
        <v>3</v>
      </c>
      <c r="F135">
        <f>IF(C135&gt;0,alpha_c*D135+(1-alpha_c)*F134,F134)</f>
        <v>2.2978755716876886</v>
      </c>
      <c r="G135">
        <f>IF(C135&gt;0, alpha_c*E135+(1-alpha_c)*G134,G134)</f>
        <v>1</v>
      </c>
      <c r="H135">
        <f t="shared" si="10"/>
        <v>2.2978755716876886</v>
      </c>
      <c r="I135">
        <f>(1-alpha_c/2)*(F135/G135)</f>
        <v>2.0680880145189198</v>
      </c>
      <c r="J135" s="4">
        <f t="shared" si="13"/>
        <v>-2.2978755716876886</v>
      </c>
      <c r="K135">
        <f t="shared" si="14"/>
        <v>2.2978755716876886</v>
      </c>
    </row>
    <row r="136" spans="1:11" x14ac:dyDescent="0.2">
      <c r="A136" t="str">
        <v>d_135</v>
      </c>
      <c r="B136" s="2">
        <v>40706</v>
      </c>
      <c r="C136" s="4">
        <v>3</v>
      </c>
      <c r="D136">
        <f t="shared" si="11"/>
        <v>3</v>
      </c>
      <c r="E136">
        <f t="shared" si="12"/>
        <v>1</v>
      </c>
      <c r="F136">
        <f>IF(C136&gt;0,alpha_c*D136+(1-alpha_c)*F135,F135)</f>
        <v>2.438300457350151</v>
      </c>
      <c r="G136">
        <f>IF(C136&gt;0, alpha_c*E136+(1-alpha_c)*G135,G135)</f>
        <v>1</v>
      </c>
      <c r="H136">
        <f t="shared" si="10"/>
        <v>2.438300457350151</v>
      </c>
      <c r="I136">
        <f>(1-alpha_c/2)*(F136/G136)</f>
        <v>2.1944704116151361</v>
      </c>
      <c r="J136" s="4">
        <f t="shared" si="13"/>
        <v>0.561699542649849</v>
      </c>
      <c r="K136">
        <f t="shared" si="14"/>
        <v>0.561699542649849</v>
      </c>
    </row>
    <row r="137" spans="1:11" x14ac:dyDescent="0.2">
      <c r="A137" t="str">
        <v>d_136</v>
      </c>
      <c r="B137" s="2">
        <v>40707</v>
      </c>
      <c r="C137" s="4">
        <v>0</v>
      </c>
      <c r="D137">
        <f t="shared" si="11"/>
        <v>3</v>
      </c>
      <c r="E137">
        <f t="shared" si="12"/>
        <v>2</v>
      </c>
      <c r="F137">
        <f>IF(C137&gt;0,alpha_c*D137+(1-alpha_c)*F136,F136)</f>
        <v>2.438300457350151</v>
      </c>
      <c r="G137">
        <f>IF(C137&gt;0, alpha_c*E137+(1-alpha_c)*G136,G136)</f>
        <v>1</v>
      </c>
      <c r="H137">
        <f t="shared" si="10"/>
        <v>2.438300457350151</v>
      </c>
      <c r="I137">
        <f>(1-alpha_c/2)*(F137/G137)</f>
        <v>2.1944704116151361</v>
      </c>
      <c r="J137" s="4">
        <f t="shared" si="13"/>
        <v>-2.438300457350151</v>
      </c>
      <c r="K137">
        <f t="shared" si="14"/>
        <v>2.438300457350151</v>
      </c>
    </row>
    <row r="138" spans="1:11" x14ac:dyDescent="0.2">
      <c r="A138" t="str">
        <v>d_137</v>
      </c>
      <c r="B138" s="2">
        <v>40708</v>
      </c>
      <c r="C138" s="4">
        <v>1</v>
      </c>
      <c r="D138">
        <f t="shared" si="11"/>
        <v>1</v>
      </c>
      <c r="E138">
        <f t="shared" si="12"/>
        <v>1</v>
      </c>
      <c r="F138">
        <f>IF(C138&gt;0,alpha_c*D138+(1-alpha_c)*F137,F137)</f>
        <v>2.150640365880121</v>
      </c>
      <c r="G138">
        <f>IF(C138&gt;0, alpha_c*E138+(1-alpha_c)*G137,G137)</f>
        <v>1</v>
      </c>
      <c r="H138">
        <f t="shared" si="10"/>
        <v>2.150640365880121</v>
      </c>
      <c r="I138">
        <f>(1-alpha_c/2)*(F138/G138)</f>
        <v>1.9355763292921089</v>
      </c>
      <c r="J138" s="4">
        <f t="shared" si="13"/>
        <v>-1.150640365880121</v>
      </c>
      <c r="K138">
        <f t="shared" si="14"/>
        <v>1.150640365880121</v>
      </c>
    </row>
    <row r="139" spans="1:11" x14ac:dyDescent="0.2">
      <c r="A139" t="str">
        <v>d_138</v>
      </c>
      <c r="B139" s="2">
        <v>40709</v>
      </c>
      <c r="C139" s="4">
        <v>1</v>
      </c>
      <c r="D139">
        <f t="shared" si="11"/>
        <v>1</v>
      </c>
      <c r="E139">
        <f t="shared" si="12"/>
        <v>1</v>
      </c>
      <c r="F139">
        <f>IF(C139&gt;0,alpha_c*D139+(1-alpha_c)*F138,F138)</f>
        <v>1.9205122927040967</v>
      </c>
      <c r="G139">
        <f>IF(C139&gt;0, alpha_c*E139+(1-alpha_c)*G138,G138)</f>
        <v>1</v>
      </c>
      <c r="H139">
        <f t="shared" si="10"/>
        <v>1.9205122927040967</v>
      </c>
      <c r="I139">
        <f>(1-alpha_c/2)*(F139/G139)</f>
        <v>1.728461063433687</v>
      </c>
      <c r="J139" s="4">
        <f t="shared" si="13"/>
        <v>-0.92051229270409674</v>
      </c>
      <c r="K139">
        <f t="shared" si="14"/>
        <v>0.92051229270409674</v>
      </c>
    </row>
    <row r="140" spans="1:11" x14ac:dyDescent="0.2">
      <c r="A140" t="str">
        <v>d_139</v>
      </c>
      <c r="B140" s="2">
        <v>40710</v>
      </c>
      <c r="C140" s="4">
        <v>0</v>
      </c>
      <c r="D140">
        <f t="shared" si="11"/>
        <v>1</v>
      </c>
      <c r="E140">
        <f t="shared" si="12"/>
        <v>2</v>
      </c>
      <c r="F140">
        <f>IF(C140&gt;0,alpha_c*D140+(1-alpha_c)*F139,F139)</f>
        <v>1.9205122927040967</v>
      </c>
      <c r="G140">
        <f>IF(C140&gt;0, alpha_c*E140+(1-alpha_c)*G139,G139)</f>
        <v>1</v>
      </c>
      <c r="H140">
        <f t="shared" si="10"/>
        <v>1.9205122927040967</v>
      </c>
      <c r="I140">
        <f>(1-alpha_c/2)*(F140/G140)</f>
        <v>1.728461063433687</v>
      </c>
      <c r="J140" s="4">
        <f t="shared" si="13"/>
        <v>-1.9205122927040967</v>
      </c>
      <c r="K140">
        <f t="shared" si="14"/>
        <v>1.9205122927040967</v>
      </c>
    </row>
    <row r="141" spans="1:11" x14ac:dyDescent="0.2">
      <c r="A141" t="str">
        <v>d_140</v>
      </c>
      <c r="B141" s="2">
        <v>40711</v>
      </c>
      <c r="C141" s="4">
        <v>2</v>
      </c>
      <c r="D141">
        <f t="shared" si="11"/>
        <v>2</v>
      </c>
      <c r="E141">
        <f t="shared" si="12"/>
        <v>1</v>
      </c>
      <c r="F141">
        <f>IF(C141&gt;0,alpha_c*D141+(1-alpha_c)*F140,F140)</f>
        <v>1.9364098341632774</v>
      </c>
      <c r="G141">
        <f>IF(C141&gt;0, alpha_c*E141+(1-alpha_c)*G140,G140)</f>
        <v>1</v>
      </c>
      <c r="H141">
        <f t="shared" si="10"/>
        <v>1.9364098341632774</v>
      </c>
      <c r="I141">
        <f>(1-alpha_c/2)*(F141/G141)</f>
        <v>1.7427688507469496</v>
      </c>
      <c r="J141" s="4">
        <f t="shared" si="13"/>
        <v>6.3590165836722612E-2</v>
      </c>
      <c r="K141">
        <f t="shared" si="14"/>
        <v>6.3590165836722612E-2</v>
      </c>
    </row>
    <row r="142" spans="1:11" x14ac:dyDescent="0.2">
      <c r="A142" t="str">
        <v>d_141</v>
      </c>
      <c r="B142" s="2">
        <v>40712</v>
      </c>
      <c r="C142" s="4">
        <v>3</v>
      </c>
      <c r="D142">
        <f t="shared" si="11"/>
        <v>3</v>
      </c>
      <c r="E142">
        <f t="shared" si="12"/>
        <v>1</v>
      </c>
      <c r="F142">
        <f>IF(C142&gt;0,alpha_c*D142+(1-alpha_c)*F141,F141)</f>
        <v>2.149127867330622</v>
      </c>
      <c r="G142">
        <f>IF(C142&gt;0, alpha_c*E142+(1-alpha_c)*G141,G141)</f>
        <v>1</v>
      </c>
      <c r="H142">
        <f t="shared" si="10"/>
        <v>2.149127867330622</v>
      </c>
      <c r="I142">
        <f>(1-alpha_c/2)*(F142/G142)</f>
        <v>1.9342150805975598</v>
      </c>
      <c r="J142" s="4">
        <f t="shared" si="13"/>
        <v>0.850872132669378</v>
      </c>
      <c r="K142">
        <f t="shared" si="14"/>
        <v>0.850872132669378</v>
      </c>
    </row>
    <row r="143" spans="1:11" x14ac:dyDescent="0.2">
      <c r="A143" t="str">
        <v>d_142</v>
      </c>
      <c r="B143" s="2">
        <v>40713</v>
      </c>
      <c r="C143" s="4">
        <v>2</v>
      </c>
      <c r="D143">
        <f t="shared" si="11"/>
        <v>2</v>
      </c>
      <c r="E143">
        <f t="shared" si="12"/>
        <v>1</v>
      </c>
      <c r="F143">
        <f>IF(C143&gt;0,alpha_c*D143+(1-alpha_c)*F142,F142)</f>
        <v>2.1193022938644979</v>
      </c>
      <c r="G143">
        <f>IF(C143&gt;0, alpha_c*E143+(1-alpha_c)*G142,G142)</f>
        <v>1</v>
      </c>
      <c r="H143">
        <f t="shared" si="10"/>
        <v>2.1193022938644979</v>
      </c>
      <c r="I143">
        <f>(1-alpha_c/2)*(F143/G143)</f>
        <v>1.9073720644780481</v>
      </c>
      <c r="J143" s="4">
        <f t="shared" si="13"/>
        <v>-0.11930229386449787</v>
      </c>
      <c r="K143">
        <f t="shared" si="14"/>
        <v>0.11930229386449787</v>
      </c>
    </row>
    <row r="144" spans="1:11" x14ac:dyDescent="0.2">
      <c r="A144" t="str">
        <v>d_143</v>
      </c>
      <c r="B144" s="2">
        <v>40714</v>
      </c>
      <c r="C144" s="4">
        <v>3</v>
      </c>
      <c r="D144">
        <f t="shared" si="11"/>
        <v>3</v>
      </c>
      <c r="E144">
        <f t="shared" si="12"/>
        <v>1</v>
      </c>
      <c r="F144">
        <f>IF(C144&gt;0,alpha_c*D144+(1-alpha_c)*F143,F143)</f>
        <v>2.2954418350915984</v>
      </c>
      <c r="G144">
        <f>IF(C144&gt;0, alpha_c*E144+(1-alpha_c)*G143,G143)</f>
        <v>1</v>
      </c>
      <c r="H144">
        <f t="shared" si="10"/>
        <v>2.2954418350915984</v>
      </c>
      <c r="I144">
        <f>(1-alpha_c/2)*(F144/G144)</f>
        <v>2.0658976515824388</v>
      </c>
      <c r="J144" s="4">
        <f t="shared" si="13"/>
        <v>0.70455816490840162</v>
      </c>
      <c r="K144">
        <f t="shared" si="14"/>
        <v>0.70455816490840162</v>
      </c>
    </row>
    <row r="145" spans="1:11" x14ac:dyDescent="0.2">
      <c r="A145" t="str">
        <v>d_144</v>
      </c>
      <c r="B145" s="2">
        <v>40715</v>
      </c>
      <c r="C145" s="4">
        <v>1</v>
      </c>
      <c r="D145">
        <f t="shared" si="11"/>
        <v>1</v>
      </c>
      <c r="E145">
        <f t="shared" si="12"/>
        <v>1</v>
      </c>
      <c r="F145">
        <f>IF(C145&gt;0,alpha_c*D145+(1-alpha_c)*F144,F144)</f>
        <v>2.0363534680732789</v>
      </c>
      <c r="G145">
        <f>IF(C145&gt;0, alpha_c*E145+(1-alpha_c)*G144,G144)</f>
        <v>1</v>
      </c>
      <c r="H145">
        <f t="shared" si="10"/>
        <v>2.0363534680732789</v>
      </c>
      <c r="I145">
        <f>(1-alpha_c/2)*(F145/G145)</f>
        <v>1.8327181212659511</v>
      </c>
      <c r="J145" s="4">
        <f t="shared" si="13"/>
        <v>-1.0363534680732789</v>
      </c>
      <c r="K145">
        <f t="shared" si="14"/>
        <v>1.0363534680732789</v>
      </c>
    </row>
    <row r="146" spans="1:11" x14ac:dyDescent="0.2">
      <c r="A146" t="str">
        <v>d_145</v>
      </c>
      <c r="B146" s="2">
        <v>40716</v>
      </c>
      <c r="C146" s="4">
        <v>1</v>
      </c>
      <c r="D146">
        <f t="shared" si="11"/>
        <v>1</v>
      </c>
      <c r="E146">
        <f t="shared" si="12"/>
        <v>1</v>
      </c>
      <c r="F146">
        <f>IF(C146&gt;0,alpha_c*D146+(1-alpha_c)*F145,F145)</f>
        <v>1.8290827744586231</v>
      </c>
      <c r="G146">
        <f>IF(C146&gt;0, alpha_c*E146+(1-alpha_c)*G145,G145)</f>
        <v>1</v>
      </c>
      <c r="H146">
        <f t="shared" si="10"/>
        <v>1.8290827744586231</v>
      </c>
      <c r="I146">
        <f>(1-alpha_c/2)*(F146/G146)</f>
        <v>1.6461744970127608</v>
      </c>
      <c r="J146" s="4">
        <f t="shared" si="13"/>
        <v>-0.82908277445862311</v>
      </c>
      <c r="K146">
        <f t="shared" si="14"/>
        <v>0.82908277445862311</v>
      </c>
    </row>
    <row r="147" spans="1:11" x14ac:dyDescent="0.2">
      <c r="A147" t="str">
        <v>d_146</v>
      </c>
      <c r="B147" s="2">
        <v>40717</v>
      </c>
      <c r="C147" s="4">
        <v>0</v>
      </c>
      <c r="D147">
        <f t="shared" si="11"/>
        <v>1</v>
      </c>
      <c r="E147">
        <f t="shared" si="12"/>
        <v>2</v>
      </c>
      <c r="F147">
        <f>IF(C147&gt;0,alpha_c*D147+(1-alpha_c)*F146,F146)</f>
        <v>1.8290827744586231</v>
      </c>
      <c r="G147">
        <f>IF(C147&gt;0, alpha_c*E147+(1-alpha_c)*G146,G146)</f>
        <v>1</v>
      </c>
      <c r="H147">
        <f t="shared" si="10"/>
        <v>1.8290827744586231</v>
      </c>
      <c r="I147">
        <f>(1-alpha_c/2)*(F147/G147)</f>
        <v>1.6461744970127608</v>
      </c>
      <c r="J147" s="4">
        <f t="shared" si="13"/>
        <v>-1.8290827744586231</v>
      </c>
      <c r="K147">
        <f t="shared" si="14"/>
        <v>1.8290827744586231</v>
      </c>
    </row>
    <row r="148" spans="1:11" x14ac:dyDescent="0.2">
      <c r="A148" t="str">
        <v>d_147</v>
      </c>
      <c r="B148" s="2">
        <v>40718</v>
      </c>
      <c r="C148" s="4">
        <v>2</v>
      </c>
      <c r="D148">
        <f t="shared" si="11"/>
        <v>2</v>
      </c>
      <c r="E148">
        <f t="shared" si="12"/>
        <v>1</v>
      </c>
      <c r="F148">
        <f>IF(C148&gt;0,alpha_c*D148+(1-alpha_c)*F147,F147)</f>
        <v>1.8632662195668988</v>
      </c>
      <c r="G148">
        <f>IF(C148&gt;0, alpha_c*E148+(1-alpha_c)*G147,G147)</f>
        <v>1</v>
      </c>
      <c r="H148">
        <f t="shared" si="10"/>
        <v>1.8632662195668988</v>
      </c>
      <c r="I148">
        <f>(1-alpha_c/2)*(F148/G148)</f>
        <v>1.6769395976102088</v>
      </c>
      <c r="J148" s="4">
        <f t="shared" si="13"/>
        <v>0.13673378043310125</v>
      </c>
      <c r="K148">
        <f t="shared" si="14"/>
        <v>0.13673378043310125</v>
      </c>
    </row>
    <row r="149" spans="1:11" x14ac:dyDescent="0.2">
      <c r="A149" t="str">
        <v>d_148</v>
      </c>
      <c r="B149" s="2">
        <v>40719</v>
      </c>
      <c r="C149" s="4">
        <v>1</v>
      </c>
      <c r="D149">
        <f t="shared" si="11"/>
        <v>1</v>
      </c>
      <c r="E149">
        <f t="shared" si="12"/>
        <v>1</v>
      </c>
      <c r="F149">
        <f>IF(C149&gt;0,alpha_c*D149+(1-alpha_c)*F148,F148)</f>
        <v>1.6906129756535191</v>
      </c>
      <c r="G149">
        <f>IF(C149&gt;0, alpha_c*E149+(1-alpha_c)*G148,G148)</f>
        <v>1</v>
      </c>
      <c r="H149">
        <f t="shared" si="10"/>
        <v>1.6906129756535191</v>
      </c>
      <c r="I149">
        <f>(1-alpha_c/2)*(F149/G149)</f>
        <v>1.5215516780881673</v>
      </c>
      <c r="J149" s="4">
        <f t="shared" si="13"/>
        <v>-0.69061297565351909</v>
      </c>
      <c r="K149">
        <f t="shared" si="14"/>
        <v>0.69061297565351909</v>
      </c>
    </row>
    <row r="150" spans="1:11" x14ac:dyDescent="0.2">
      <c r="A150" t="str">
        <v>d_149</v>
      </c>
      <c r="B150" s="2">
        <v>40720</v>
      </c>
      <c r="C150" s="4">
        <v>0</v>
      </c>
      <c r="D150">
        <f t="shared" si="11"/>
        <v>1</v>
      </c>
      <c r="E150">
        <f t="shared" si="12"/>
        <v>2</v>
      </c>
      <c r="F150">
        <f>IF(C150&gt;0,alpha_c*D150+(1-alpha_c)*F149,F149)</f>
        <v>1.6906129756535191</v>
      </c>
      <c r="G150">
        <f>IF(C150&gt;0, alpha_c*E150+(1-alpha_c)*G149,G149)</f>
        <v>1</v>
      </c>
      <c r="H150">
        <f t="shared" si="10"/>
        <v>1.6906129756535191</v>
      </c>
      <c r="I150">
        <f>(1-alpha_c/2)*(F150/G150)</f>
        <v>1.5215516780881673</v>
      </c>
      <c r="J150" s="4">
        <f t="shared" si="13"/>
        <v>-1.6906129756535191</v>
      </c>
      <c r="K150">
        <f t="shared" si="14"/>
        <v>1.6906129756535191</v>
      </c>
    </row>
    <row r="151" spans="1:11" x14ac:dyDescent="0.2">
      <c r="A151" t="str">
        <v>d_150</v>
      </c>
      <c r="B151" s="2">
        <v>40721</v>
      </c>
      <c r="C151" s="4">
        <v>1</v>
      </c>
      <c r="D151">
        <f t="shared" si="11"/>
        <v>1</v>
      </c>
      <c r="E151">
        <f t="shared" si="12"/>
        <v>1</v>
      </c>
      <c r="F151">
        <f>IF(C151&gt;0,alpha_c*D151+(1-alpha_c)*F150,F150)</f>
        <v>1.5524903805228154</v>
      </c>
      <c r="G151">
        <f>IF(C151&gt;0, alpha_c*E151+(1-alpha_c)*G150,G150)</f>
        <v>1</v>
      </c>
      <c r="H151">
        <f t="shared" si="10"/>
        <v>1.5524903805228154</v>
      </c>
      <c r="I151">
        <f>(1-alpha_c/2)*(F151/G151)</f>
        <v>1.3972413424705339</v>
      </c>
      <c r="J151" s="4">
        <f t="shared" si="13"/>
        <v>-0.55249038052281541</v>
      </c>
      <c r="K151">
        <f t="shared" si="14"/>
        <v>0.55249038052281541</v>
      </c>
    </row>
    <row r="152" spans="1:11" x14ac:dyDescent="0.2">
      <c r="A152" t="str">
        <v>d_151</v>
      </c>
      <c r="B152" s="2">
        <v>40722</v>
      </c>
      <c r="C152" s="4">
        <v>0</v>
      </c>
      <c r="D152">
        <f t="shared" si="11"/>
        <v>1</v>
      </c>
      <c r="E152">
        <f t="shared" si="12"/>
        <v>2</v>
      </c>
      <c r="F152">
        <f>IF(C152&gt;0,alpha_c*D152+(1-alpha_c)*F151,F151)</f>
        <v>1.5524903805228154</v>
      </c>
      <c r="G152">
        <f>IF(C152&gt;0, alpha_c*E152+(1-alpha_c)*G151,G151)</f>
        <v>1</v>
      </c>
      <c r="H152">
        <f t="shared" si="10"/>
        <v>1.5524903805228154</v>
      </c>
      <c r="I152">
        <f>(1-alpha_c/2)*(F152/G152)</f>
        <v>1.3972413424705339</v>
      </c>
      <c r="J152" s="4">
        <f t="shared" si="13"/>
        <v>-1.5524903805228154</v>
      </c>
      <c r="K152">
        <f t="shared" si="14"/>
        <v>1.5524903805228154</v>
      </c>
    </row>
    <row r="153" spans="1:11" x14ac:dyDescent="0.2">
      <c r="A153" t="str">
        <v>d_152</v>
      </c>
      <c r="B153" s="2">
        <v>40723</v>
      </c>
      <c r="C153" s="4">
        <v>0</v>
      </c>
      <c r="D153">
        <f t="shared" si="11"/>
        <v>1</v>
      </c>
      <c r="E153">
        <f t="shared" si="12"/>
        <v>3</v>
      </c>
      <c r="F153">
        <f>IF(C153&gt;0,alpha_c*D153+(1-alpha_c)*F152,F152)</f>
        <v>1.5524903805228154</v>
      </c>
      <c r="G153">
        <f>IF(C153&gt;0, alpha_c*E153+(1-alpha_c)*G152,G152)</f>
        <v>1</v>
      </c>
      <c r="H153">
        <f t="shared" si="10"/>
        <v>1.5524903805228154</v>
      </c>
      <c r="I153">
        <f>(1-alpha_c/2)*(F153/G153)</f>
        <v>1.3972413424705339</v>
      </c>
      <c r="J153" s="4">
        <f t="shared" si="13"/>
        <v>-1.5524903805228154</v>
      </c>
      <c r="K153">
        <f t="shared" si="14"/>
        <v>1.5524903805228154</v>
      </c>
    </row>
    <row r="154" spans="1:11" x14ac:dyDescent="0.2">
      <c r="A154" t="str">
        <v>d_153</v>
      </c>
      <c r="B154" s="2">
        <v>40724</v>
      </c>
      <c r="C154" s="4">
        <v>0</v>
      </c>
      <c r="D154">
        <f t="shared" si="11"/>
        <v>1</v>
      </c>
      <c r="E154">
        <f t="shared" si="12"/>
        <v>4</v>
      </c>
      <c r="F154">
        <f>IF(C154&gt;0,alpha_c*D154+(1-alpha_c)*F153,F153)</f>
        <v>1.5524903805228154</v>
      </c>
      <c r="G154">
        <f>IF(C154&gt;0, alpha_c*E154+(1-alpha_c)*G153,G153)</f>
        <v>1</v>
      </c>
      <c r="H154">
        <f t="shared" si="10"/>
        <v>1.5524903805228154</v>
      </c>
      <c r="I154">
        <f>(1-alpha_c/2)*(F154/G154)</f>
        <v>1.3972413424705339</v>
      </c>
      <c r="J154" s="4">
        <f t="shared" si="13"/>
        <v>-1.5524903805228154</v>
      </c>
      <c r="K154">
        <f t="shared" si="14"/>
        <v>1.5524903805228154</v>
      </c>
    </row>
    <row r="155" spans="1:11" x14ac:dyDescent="0.2">
      <c r="A155" t="str">
        <v>d_154</v>
      </c>
      <c r="B155" s="2">
        <v>40725</v>
      </c>
      <c r="C155" s="4">
        <v>0</v>
      </c>
      <c r="D155">
        <f t="shared" si="11"/>
        <v>1</v>
      </c>
      <c r="E155">
        <f t="shared" si="12"/>
        <v>5</v>
      </c>
      <c r="F155">
        <f>IF(C155&gt;0,alpha_c*D155+(1-alpha_c)*F154,F154)</f>
        <v>1.5524903805228154</v>
      </c>
      <c r="G155">
        <f>IF(C155&gt;0, alpha_c*E155+(1-alpha_c)*G154,G154)</f>
        <v>1</v>
      </c>
      <c r="H155">
        <f t="shared" si="10"/>
        <v>1.5524903805228154</v>
      </c>
      <c r="I155">
        <f>(1-alpha_c/2)*(F155/G155)</f>
        <v>1.3972413424705339</v>
      </c>
      <c r="J155" s="4">
        <f t="shared" si="13"/>
        <v>-1.5524903805228154</v>
      </c>
      <c r="K155">
        <f t="shared" si="14"/>
        <v>1.5524903805228154</v>
      </c>
    </row>
    <row r="156" spans="1:11" x14ac:dyDescent="0.2">
      <c r="A156" t="str">
        <v>d_155</v>
      </c>
      <c r="B156" s="2">
        <v>40726</v>
      </c>
      <c r="C156" s="4">
        <v>3</v>
      </c>
      <c r="D156">
        <f t="shared" si="11"/>
        <v>3</v>
      </c>
      <c r="E156">
        <f t="shared" si="12"/>
        <v>1</v>
      </c>
      <c r="F156">
        <f>IF(C156&gt;0,alpha_c*D156+(1-alpha_c)*F155,F155)</f>
        <v>1.8419923044182525</v>
      </c>
      <c r="G156">
        <f>IF(C156&gt;0, alpha_c*E156+(1-alpha_c)*G155,G155)</f>
        <v>1</v>
      </c>
      <c r="H156">
        <f t="shared" si="10"/>
        <v>1.8419923044182525</v>
      </c>
      <c r="I156">
        <f>(1-alpha_c/2)*(F156/G156)</f>
        <v>1.6577930739764273</v>
      </c>
      <c r="J156" s="4">
        <f t="shared" si="13"/>
        <v>1.1580076955817475</v>
      </c>
      <c r="K156">
        <f t="shared" si="14"/>
        <v>1.1580076955817475</v>
      </c>
    </row>
    <row r="157" spans="1:11" x14ac:dyDescent="0.2">
      <c r="A157" t="str">
        <v>d_156</v>
      </c>
      <c r="B157" s="2">
        <v>40727</v>
      </c>
      <c r="C157" s="4">
        <v>0</v>
      </c>
      <c r="D157">
        <f t="shared" si="11"/>
        <v>3</v>
      </c>
      <c r="E157">
        <f t="shared" si="12"/>
        <v>2</v>
      </c>
      <c r="F157">
        <f>IF(C157&gt;0,alpha_c*D157+(1-alpha_c)*F156,F156)</f>
        <v>1.8419923044182525</v>
      </c>
      <c r="G157">
        <f>IF(C157&gt;0, alpha_c*E157+(1-alpha_c)*G156,G156)</f>
        <v>1</v>
      </c>
      <c r="H157">
        <f t="shared" si="10"/>
        <v>1.8419923044182525</v>
      </c>
      <c r="I157">
        <f>(1-alpha_c/2)*(F157/G157)</f>
        <v>1.6577930739764273</v>
      </c>
      <c r="J157" s="4">
        <f t="shared" si="13"/>
        <v>-1.8419923044182525</v>
      </c>
      <c r="K157">
        <f t="shared" si="14"/>
        <v>1.8419923044182525</v>
      </c>
    </row>
    <row r="158" spans="1:11" x14ac:dyDescent="0.2">
      <c r="A158" t="str">
        <v>d_157</v>
      </c>
      <c r="B158" s="2">
        <v>40728</v>
      </c>
      <c r="C158" s="4">
        <v>1</v>
      </c>
      <c r="D158">
        <f t="shared" si="11"/>
        <v>1</v>
      </c>
      <c r="E158">
        <f t="shared" si="12"/>
        <v>1</v>
      </c>
      <c r="F158">
        <f>IF(C158&gt;0,alpha_c*D158+(1-alpha_c)*F157,F157)</f>
        <v>1.6735938435346021</v>
      </c>
      <c r="G158">
        <f>IF(C158&gt;0, alpha_c*E158+(1-alpha_c)*G157,G157)</f>
        <v>1</v>
      </c>
      <c r="H158">
        <f t="shared" si="10"/>
        <v>1.6735938435346021</v>
      </c>
      <c r="I158">
        <f>(1-alpha_c/2)*(F158/G158)</f>
        <v>1.5062344591811418</v>
      </c>
      <c r="J158" s="4">
        <f t="shared" si="13"/>
        <v>-0.67359384353460205</v>
      </c>
      <c r="K158">
        <f t="shared" si="14"/>
        <v>0.67359384353460205</v>
      </c>
    </row>
    <row r="159" spans="1:11" x14ac:dyDescent="0.2">
      <c r="A159" t="str">
        <v>d_158</v>
      </c>
      <c r="B159" s="2">
        <v>40729</v>
      </c>
      <c r="C159" s="4">
        <v>0</v>
      </c>
      <c r="D159">
        <f t="shared" si="11"/>
        <v>1</v>
      </c>
      <c r="E159">
        <f t="shared" si="12"/>
        <v>2</v>
      </c>
      <c r="F159">
        <f>IF(C159&gt;0,alpha_c*D159+(1-alpha_c)*F158,F158)</f>
        <v>1.6735938435346021</v>
      </c>
      <c r="G159">
        <f>IF(C159&gt;0, alpha_c*E159+(1-alpha_c)*G158,G158)</f>
        <v>1</v>
      </c>
      <c r="H159">
        <f t="shared" si="10"/>
        <v>1.6735938435346021</v>
      </c>
      <c r="I159">
        <f>(1-alpha_c/2)*(F159/G159)</f>
        <v>1.5062344591811418</v>
      </c>
      <c r="J159" s="4">
        <f t="shared" si="13"/>
        <v>-1.6735938435346021</v>
      </c>
      <c r="K159">
        <f t="shared" si="14"/>
        <v>1.6735938435346021</v>
      </c>
    </row>
    <row r="160" spans="1:11" x14ac:dyDescent="0.2">
      <c r="A160" t="str">
        <v>d_159</v>
      </c>
      <c r="B160" s="2">
        <v>40730</v>
      </c>
      <c r="C160" s="4">
        <v>1</v>
      </c>
      <c r="D160">
        <f t="shared" si="11"/>
        <v>1</v>
      </c>
      <c r="E160">
        <f t="shared" si="12"/>
        <v>1</v>
      </c>
      <c r="F160">
        <f>IF(C160&gt;0,alpha_c*D160+(1-alpha_c)*F159,F159)</f>
        <v>1.5388750748276816</v>
      </c>
      <c r="G160">
        <f>IF(C160&gt;0, alpha_c*E160+(1-alpha_c)*G159,G159)</f>
        <v>1</v>
      </c>
      <c r="H160">
        <f t="shared" si="10"/>
        <v>1.5388750748276816</v>
      </c>
      <c r="I160">
        <f>(1-alpha_c/2)*(F160/G160)</f>
        <v>1.3849875673449135</v>
      </c>
      <c r="J160" s="4">
        <f t="shared" si="13"/>
        <v>-0.5388750748276816</v>
      </c>
      <c r="K160">
        <f t="shared" si="14"/>
        <v>0.5388750748276816</v>
      </c>
    </row>
    <row r="161" spans="1:11" x14ac:dyDescent="0.2">
      <c r="A161" t="str">
        <v>d_160</v>
      </c>
      <c r="B161" s="2">
        <v>40731</v>
      </c>
      <c r="C161" s="4">
        <v>0</v>
      </c>
      <c r="D161">
        <f t="shared" si="11"/>
        <v>1</v>
      </c>
      <c r="E161">
        <f t="shared" si="12"/>
        <v>2</v>
      </c>
      <c r="F161">
        <f>IF(C161&gt;0,alpha_c*D161+(1-alpha_c)*F160,F160)</f>
        <v>1.5388750748276816</v>
      </c>
      <c r="G161">
        <f>IF(C161&gt;0, alpha_c*E161+(1-alpha_c)*G160,G160)</f>
        <v>1</v>
      </c>
      <c r="H161">
        <f t="shared" si="10"/>
        <v>1.5388750748276816</v>
      </c>
      <c r="I161">
        <f>(1-alpha_c/2)*(F161/G161)</f>
        <v>1.3849875673449135</v>
      </c>
      <c r="J161" s="4">
        <f t="shared" si="13"/>
        <v>-1.5388750748276816</v>
      </c>
      <c r="K161">
        <f t="shared" si="14"/>
        <v>1.5388750748276816</v>
      </c>
    </row>
    <row r="162" spans="1:11" x14ac:dyDescent="0.2">
      <c r="A162" t="str">
        <v>d_161</v>
      </c>
      <c r="B162" s="2">
        <v>40732</v>
      </c>
      <c r="C162" s="4">
        <v>1</v>
      </c>
      <c r="D162">
        <f t="shared" si="11"/>
        <v>1</v>
      </c>
      <c r="E162">
        <f t="shared" si="12"/>
        <v>1</v>
      </c>
      <c r="F162">
        <f>IF(C162&gt;0,alpha_c*D162+(1-alpha_c)*F161,F161)</f>
        <v>1.4311000598621453</v>
      </c>
      <c r="G162">
        <f>IF(C162&gt;0, alpha_c*E162+(1-alpha_c)*G161,G161)</f>
        <v>1</v>
      </c>
      <c r="H162">
        <f t="shared" si="10"/>
        <v>1.4311000598621453</v>
      </c>
      <c r="I162">
        <f>(1-alpha_c/2)*(F162/G162)</f>
        <v>1.2879900538759308</v>
      </c>
      <c r="J162" s="4">
        <f t="shared" si="13"/>
        <v>-0.43110005986214528</v>
      </c>
      <c r="K162">
        <f t="shared" si="14"/>
        <v>0.43110005986214528</v>
      </c>
    </row>
    <row r="163" spans="1:11" x14ac:dyDescent="0.2">
      <c r="A163" t="str">
        <v>d_162</v>
      </c>
      <c r="B163" s="2">
        <v>40733</v>
      </c>
      <c r="C163" s="4">
        <v>2</v>
      </c>
      <c r="D163">
        <f t="shared" si="11"/>
        <v>2</v>
      </c>
      <c r="E163">
        <f t="shared" si="12"/>
        <v>1</v>
      </c>
      <c r="F163">
        <f>IF(C163&gt;0,alpha_c*D163+(1-alpha_c)*F162,F162)</f>
        <v>1.5448800478897162</v>
      </c>
      <c r="G163">
        <f>IF(C163&gt;0, alpha_c*E163+(1-alpha_c)*G162,G162)</f>
        <v>1</v>
      </c>
      <c r="H163">
        <f t="shared" si="10"/>
        <v>1.5448800478897162</v>
      </c>
      <c r="I163">
        <f>(1-alpha_c/2)*(F163/G163)</f>
        <v>1.3903920431007446</v>
      </c>
      <c r="J163" s="4">
        <f t="shared" si="13"/>
        <v>0.45511995211028378</v>
      </c>
      <c r="K163">
        <f t="shared" si="14"/>
        <v>0.45511995211028378</v>
      </c>
    </row>
    <row r="164" spans="1:11" x14ac:dyDescent="0.2">
      <c r="A164" t="str">
        <v>d_163</v>
      </c>
      <c r="B164" s="2">
        <v>40734</v>
      </c>
      <c r="C164" s="4">
        <v>0</v>
      </c>
      <c r="D164">
        <f t="shared" si="11"/>
        <v>2</v>
      </c>
      <c r="E164">
        <f t="shared" si="12"/>
        <v>2</v>
      </c>
      <c r="F164">
        <f>IF(C164&gt;0,alpha_c*D164+(1-alpha_c)*F163,F163)</f>
        <v>1.5448800478897162</v>
      </c>
      <c r="G164">
        <f>IF(C164&gt;0, alpha_c*E164+(1-alpha_c)*G163,G163)</f>
        <v>1</v>
      </c>
      <c r="H164">
        <f t="shared" si="10"/>
        <v>1.5448800478897162</v>
      </c>
      <c r="I164">
        <f>(1-alpha_c/2)*(F164/G164)</f>
        <v>1.3903920431007446</v>
      </c>
      <c r="J164" s="4">
        <f t="shared" si="13"/>
        <v>-1.5448800478897162</v>
      </c>
      <c r="K164">
        <f t="shared" si="14"/>
        <v>1.5448800478897162</v>
      </c>
    </row>
    <row r="165" spans="1:11" x14ac:dyDescent="0.2">
      <c r="A165" t="str">
        <v>d_164</v>
      </c>
      <c r="B165" s="2">
        <v>40735</v>
      </c>
      <c r="C165" s="4">
        <v>0</v>
      </c>
      <c r="D165">
        <f t="shared" si="11"/>
        <v>2</v>
      </c>
      <c r="E165">
        <f t="shared" si="12"/>
        <v>3</v>
      </c>
      <c r="F165">
        <f>IF(C165&gt;0,alpha_c*D165+(1-alpha_c)*F164,F164)</f>
        <v>1.5448800478897162</v>
      </c>
      <c r="G165">
        <f>IF(C165&gt;0, alpha_c*E165+(1-alpha_c)*G164,G164)</f>
        <v>1</v>
      </c>
      <c r="H165">
        <f t="shared" si="10"/>
        <v>1.5448800478897162</v>
      </c>
      <c r="I165">
        <f>(1-alpha_c/2)*(F165/G165)</f>
        <v>1.3903920431007446</v>
      </c>
      <c r="J165" s="4">
        <f t="shared" si="13"/>
        <v>-1.5448800478897162</v>
      </c>
      <c r="K165">
        <f t="shared" si="14"/>
        <v>1.5448800478897162</v>
      </c>
    </row>
    <row r="166" spans="1:11" x14ac:dyDescent="0.2">
      <c r="A166" t="str">
        <v>d_165</v>
      </c>
      <c r="B166" s="2">
        <v>40736</v>
      </c>
      <c r="C166" s="4">
        <v>4</v>
      </c>
      <c r="D166">
        <f t="shared" si="11"/>
        <v>4</v>
      </c>
      <c r="E166">
        <f t="shared" si="12"/>
        <v>1</v>
      </c>
      <c r="F166">
        <f>IF(C166&gt;0,alpha_c*D166+(1-alpha_c)*F165,F165)</f>
        <v>2.0359040383117728</v>
      </c>
      <c r="G166">
        <f>IF(C166&gt;0, alpha_c*E166+(1-alpha_c)*G165,G165)</f>
        <v>1</v>
      </c>
      <c r="H166">
        <f t="shared" si="10"/>
        <v>2.0359040383117728</v>
      </c>
      <c r="I166">
        <f>(1-alpha_c/2)*(F166/G166)</f>
        <v>1.8323136344805955</v>
      </c>
      <c r="J166" s="4">
        <f t="shared" si="13"/>
        <v>1.9640959616882272</v>
      </c>
      <c r="K166">
        <f t="shared" si="14"/>
        <v>1.9640959616882272</v>
      </c>
    </row>
    <row r="167" spans="1:11" x14ac:dyDescent="0.2">
      <c r="A167" t="str">
        <v>d_166</v>
      </c>
      <c r="B167" s="2">
        <v>40737</v>
      </c>
      <c r="C167" s="4">
        <v>0</v>
      </c>
      <c r="D167">
        <f t="shared" si="11"/>
        <v>4</v>
      </c>
      <c r="E167">
        <f t="shared" si="12"/>
        <v>2</v>
      </c>
      <c r="F167">
        <f>IF(C167&gt;0,alpha_c*D167+(1-alpha_c)*F166,F166)</f>
        <v>2.0359040383117728</v>
      </c>
      <c r="G167">
        <f>IF(C167&gt;0, alpha_c*E167+(1-alpha_c)*G166,G166)</f>
        <v>1</v>
      </c>
      <c r="H167">
        <f t="shared" si="10"/>
        <v>2.0359040383117728</v>
      </c>
      <c r="I167">
        <f>(1-alpha_c/2)*(F167/G167)</f>
        <v>1.8323136344805955</v>
      </c>
      <c r="J167" s="4">
        <f t="shared" si="13"/>
        <v>-2.0359040383117728</v>
      </c>
      <c r="K167">
        <f t="shared" si="14"/>
        <v>2.0359040383117728</v>
      </c>
    </row>
    <row r="168" spans="1:11" x14ac:dyDescent="0.2">
      <c r="A168" t="str">
        <v>d_167</v>
      </c>
      <c r="B168" s="2">
        <v>40738</v>
      </c>
      <c r="C168" s="4">
        <v>1</v>
      </c>
      <c r="D168">
        <f t="shared" si="11"/>
        <v>1</v>
      </c>
      <c r="E168">
        <f t="shared" si="12"/>
        <v>1</v>
      </c>
      <c r="F168">
        <f>IF(C168&gt;0,alpha_c*D168+(1-alpha_c)*F167,F167)</f>
        <v>1.8287232306494183</v>
      </c>
      <c r="G168">
        <f>IF(C168&gt;0, alpha_c*E168+(1-alpha_c)*G167,G167)</f>
        <v>1</v>
      </c>
      <c r="H168">
        <f t="shared" si="10"/>
        <v>1.8287232306494183</v>
      </c>
      <c r="I168">
        <f>(1-alpha_c/2)*(F168/G168)</f>
        <v>1.6458509075844765</v>
      </c>
      <c r="J168" s="4">
        <f t="shared" si="13"/>
        <v>-0.82872323064941833</v>
      </c>
      <c r="K168">
        <f t="shared" si="14"/>
        <v>0.82872323064941833</v>
      </c>
    </row>
    <row r="169" spans="1:11" x14ac:dyDescent="0.2">
      <c r="A169" t="str">
        <v>d_168</v>
      </c>
      <c r="B169" s="2">
        <v>40739</v>
      </c>
      <c r="C169" s="4">
        <v>1</v>
      </c>
      <c r="D169">
        <f t="shared" si="11"/>
        <v>1</v>
      </c>
      <c r="E169">
        <f t="shared" si="12"/>
        <v>1</v>
      </c>
      <c r="F169">
        <f>IF(C169&gt;0,alpha_c*D169+(1-alpha_c)*F168,F168)</f>
        <v>1.6629785845195346</v>
      </c>
      <c r="G169">
        <f>IF(C169&gt;0, alpha_c*E169+(1-alpha_c)*G168,G168)</f>
        <v>1</v>
      </c>
      <c r="H169">
        <f t="shared" si="10"/>
        <v>1.6629785845195346</v>
      </c>
      <c r="I169">
        <f>(1-alpha_c/2)*(F169/G169)</f>
        <v>1.4966807260675812</v>
      </c>
      <c r="J169" s="4">
        <f t="shared" si="13"/>
        <v>-0.66297858451953462</v>
      </c>
      <c r="K169">
        <f t="shared" si="14"/>
        <v>0.66297858451953462</v>
      </c>
    </row>
    <row r="170" spans="1:11" x14ac:dyDescent="0.2">
      <c r="A170" t="str">
        <v>d_169</v>
      </c>
      <c r="B170" s="2">
        <v>40740</v>
      </c>
      <c r="C170" s="4">
        <v>1</v>
      </c>
      <c r="D170">
        <f t="shared" si="11"/>
        <v>1</v>
      </c>
      <c r="E170">
        <f t="shared" si="12"/>
        <v>1</v>
      </c>
      <c r="F170">
        <f>IF(C170&gt;0,alpha_c*D170+(1-alpha_c)*F169,F169)</f>
        <v>1.5303828676156277</v>
      </c>
      <c r="G170">
        <f>IF(C170&gt;0, alpha_c*E170+(1-alpha_c)*G169,G169)</f>
        <v>1</v>
      </c>
      <c r="H170">
        <f t="shared" si="10"/>
        <v>1.5303828676156277</v>
      </c>
      <c r="I170">
        <f>(1-alpha_c/2)*(F170/G170)</f>
        <v>1.377344580854065</v>
      </c>
      <c r="J170" s="4">
        <f t="shared" si="13"/>
        <v>-0.5303828676156277</v>
      </c>
      <c r="K170">
        <f t="shared" si="14"/>
        <v>0.5303828676156277</v>
      </c>
    </row>
    <row r="171" spans="1:11" x14ac:dyDescent="0.2">
      <c r="A171" t="str">
        <v>d_170</v>
      </c>
      <c r="B171" s="2">
        <v>40741</v>
      </c>
      <c r="C171" s="4">
        <v>1</v>
      </c>
      <c r="D171">
        <f t="shared" si="11"/>
        <v>1</v>
      </c>
      <c r="E171">
        <f t="shared" si="12"/>
        <v>1</v>
      </c>
      <c r="F171">
        <f>IF(C171&gt;0,alpha_c*D171+(1-alpha_c)*F170,F170)</f>
        <v>1.4243062940925022</v>
      </c>
      <c r="G171">
        <f>IF(C171&gt;0, alpha_c*E171+(1-alpha_c)*G170,G170)</f>
        <v>1</v>
      </c>
      <c r="H171">
        <f t="shared" si="10"/>
        <v>1.4243062940925022</v>
      </c>
      <c r="I171">
        <f>(1-alpha_c/2)*(F171/G171)</f>
        <v>1.2818756646832521</v>
      </c>
      <c r="J171" s="4">
        <f t="shared" si="13"/>
        <v>-0.4243062940925022</v>
      </c>
      <c r="K171">
        <f t="shared" si="14"/>
        <v>0.4243062940925022</v>
      </c>
    </row>
    <row r="172" spans="1:11" x14ac:dyDescent="0.2">
      <c r="A172" t="str">
        <v>d_171</v>
      </c>
      <c r="B172" s="2">
        <v>40742</v>
      </c>
      <c r="C172" s="4">
        <v>1</v>
      </c>
      <c r="D172">
        <f t="shared" si="11"/>
        <v>1</v>
      </c>
      <c r="E172">
        <f t="shared" si="12"/>
        <v>1</v>
      </c>
      <c r="F172">
        <f>IF(C172&gt;0,alpha_c*D172+(1-alpha_c)*F171,F171)</f>
        <v>1.3394450352740017</v>
      </c>
      <c r="G172">
        <f>IF(C172&gt;0, alpha_c*E172+(1-alpha_c)*G171,G171)</f>
        <v>1</v>
      </c>
      <c r="H172">
        <f t="shared" si="10"/>
        <v>1.3394450352740017</v>
      </c>
      <c r="I172">
        <f>(1-alpha_c/2)*(F172/G172)</f>
        <v>1.2055005317466017</v>
      </c>
      <c r="J172" s="4">
        <f t="shared" si="13"/>
        <v>-0.33944503527400172</v>
      </c>
      <c r="K172">
        <f t="shared" si="14"/>
        <v>0.33944503527400172</v>
      </c>
    </row>
    <row r="173" spans="1:11" x14ac:dyDescent="0.2">
      <c r="A173" t="str">
        <v>d_172</v>
      </c>
      <c r="B173" s="2">
        <v>40743</v>
      </c>
      <c r="C173" s="4">
        <v>1</v>
      </c>
      <c r="D173">
        <f t="shared" si="11"/>
        <v>1</v>
      </c>
      <c r="E173">
        <f t="shared" si="12"/>
        <v>1</v>
      </c>
      <c r="F173">
        <f>IF(C173&gt;0,alpha_c*D173+(1-alpha_c)*F172,F172)</f>
        <v>1.2715560282192013</v>
      </c>
      <c r="G173">
        <f>IF(C173&gt;0, alpha_c*E173+(1-alpha_c)*G172,G172)</f>
        <v>1</v>
      </c>
      <c r="H173">
        <f t="shared" si="10"/>
        <v>1.2715560282192013</v>
      </c>
      <c r="I173">
        <f>(1-alpha_c/2)*(F173/G173)</f>
        <v>1.1444004253972813</v>
      </c>
      <c r="J173" s="4">
        <f t="shared" si="13"/>
        <v>-0.27155602821920133</v>
      </c>
      <c r="K173">
        <f t="shared" si="14"/>
        <v>0.27155602821920133</v>
      </c>
    </row>
    <row r="174" spans="1:11" x14ac:dyDescent="0.2">
      <c r="A174" t="str">
        <v>d_173</v>
      </c>
      <c r="B174" s="2">
        <v>40744</v>
      </c>
      <c r="C174" s="4">
        <v>1</v>
      </c>
      <c r="D174">
        <f t="shared" si="11"/>
        <v>1</v>
      </c>
      <c r="E174">
        <f t="shared" si="12"/>
        <v>1</v>
      </c>
      <c r="F174">
        <f>IF(C174&gt;0,alpha_c*D174+(1-alpha_c)*F173,F173)</f>
        <v>1.2172448225753612</v>
      </c>
      <c r="G174">
        <f>IF(C174&gt;0, alpha_c*E174+(1-alpha_c)*G173,G173)</f>
        <v>1</v>
      </c>
      <c r="H174">
        <f t="shared" si="10"/>
        <v>1.2172448225753612</v>
      </c>
      <c r="I174">
        <f>(1-alpha_c/2)*(F174/G174)</f>
        <v>1.0955203403178251</v>
      </c>
      <c r="J174" s="4">
        <f t="shared" si="13"/>
        <v>-0.21724482257536115</v>
      </c>
      <c r="K174">
        <f t="shared" si="14"/>
        <v>0.21724482257536115</v>
      </c>
    </row>
    <row r="175" spans="1:11" x14ac:dyDescent="0.2">
      <c r="A175" t="str">
        <v>d_174</v>
      </c>
      <c r="B175" s="2">
        <v>40745</v>
      </c>
      <c r="C175" s="4">
        <v>2</v>
      </c>
      <c r="D175">
        <f t="shared" si="11"/>
        <v>2</v>
      </c>
      <c r="E175">
        <f t="shared" si="12"/>
        <v>1</v>
      </c>
      <c r="F175">
        <f>IF(C175&gt;0,alpha_c*D175+(1-alpha_c)*F174,F174)</f>
        <v>1.3737958580602889</v>
      </c>
      <c r="G175">
        <f>IF(C175&gt;0, alpha_c*E175+(1-alpha_c)*G174,G174)</f>
        <v>1</v>
      </c>
      <c r="H175">
        <f t="shared" si="10"/>
        <v>1.3737958580602889</v>
      </c>
      <c r="I175">
        <f>(1-alpha_c/2)*(F175/G175)</f>
        <v>1.23641627225426</v>
      </c>
      <c r="J175" s="4">
        <f t="shared" si="13"/>
        <v>0.62620414193971108</v>
      </c>
      <c r="K175">
        <f t="shared" si="14"/>
        <v>0.62620414193971108</v>
      </c>
    </row>
    <row r="176" spans="1:11" x14ac:dyDescent="0.2">
      <c r="A176" t="str">
        <v>d_175</v>
      </c>
      <c r="B176" s="2">
        <v>40746</v>
      </c>
      <c r="C176" s="4">
        <v>0</v>
      </c>
      <c r="D176">
        <f t="shared" si="11"/>
        <v>2</v>
      </c>
      <c r="E176">
        <f t="shared" si="12"/>
        <v>2</v>
      </c>
      <c r="F176">
        <f>IF(C176&gt;0,alpha_c*D176+(1-alpha_c)*F175,F175)</f>
        <v>1.3737958580602889</v>
      </c>
      <c r="G176">
        <f>IF(C176&gt;0, alpha_c*E176+(1-alpha_c)*G175,G175)</f>
        <v>1</v>
      </c>
      <c r="H176">
        <f t="shared" si="10"/>
        <v>1.3737958580602889</v>
      </c>
      <c r="I176">
        <f>(1-alpha_c/2)*(F176/G176)</f>
        <v>1.23641627225426</v>
      </c>
      <c r="J176" s="4">
        <f t="shared" si="13"/>
        <v>-1.3737958580602889</v>
      </c>
      <c r="K176">
        <f t="shared" si="14"/>
        <v>1.3737958580602889</v>
      </c>
    </row>
    <row r="177" spans="1:11" x14ac:dyDescent="0.2">
      <c r="A177" t="str">
        <v>d_176</v>
      </c>
      <c r="B177" s="2">
        <v>40747</v>
      </c>
      <c r="C177" s="4">
        <v>2</v>
      </c>
      <c r="D177">
        <f t="shared" si="11"/>
        <v>2</v>
      </c>
      <c r="E177">
        <f t="shared" si="12"/>
        <v>1</v>
      </c>
      <c r="F177">
        <f>IF(C177&gt;0,alpha_c*D177+(1-alpha_c)*F176,F176)</f>
        <v>1.4990366864482314</v>
      </c>
      <c r="G177">
        <f>IF(C177&gt;0, alpha_c*E177+(1-alpha_c)*G176,G176)</f>
        <v>1</v>
      </c>
      <c r="H177">
        <f t="shared" si="10"/>
        <v>1.4990366864482314</v>
      </c>
      <c r="I177">
        <f>(1-alpha_c/2)*(F177/G177)</f>
        <v>1.3491330178034082</v>
      </c>
      <c r="J177" s="4">
        <f t="shared" si="13"/>
        <v>0.5009633135517686</v>
      </c>
      <c r="K177">
        <f t="shared" si="14"/>
        <v>0.5009633135517686</v>
      </c>
    </row>
    <row r="178" spans="1:11" x14ac:dyDescent="0.2">
      <c r="A178" t="str">
        <v>d_177</v>
      </c>
      <c r="B178" s="2">
        <v>40748</v>
      </c>
      <c r="C178" s="4">
        <v>0</v>
      </c>
      <c r="D178">
        <f t="shared" si="11"/>
        <v>2</v>
      </c>
      <c r="E178">
        <f t="shared" si="12"/>
        <v>2</v>
      </c>
      <c r="F178">
        <f>IF(C178&gt;0,alpha_c*D178+(1-alpha_c)*F177,F177)</f>
        <v>1.4990366864482314</v>
      </c>
      <c r="G178">
        <f>IF(C178&gt;0, alpha_c*E178+(1-alpha_c)*G177,G177)</f>
        <v>1</v>
      </c>
      <c r="H178">
        <f t="shared" si="10"/>
        <v>1.4990366864482314</v>
      </c>
      <c r="I178">
        <f>(1-alpha_c/2)*(F178/G178)</f>
        <v>1.3491330178034082</v>
      </c>
      <c r="J178" s="4">
        <f t="shared" si="13"/>
        <v>-1.4990366864482314</v>
      </c>
      <c r="K178">
        <f t="shared" si="14"/>
        <v>1.4990366864482314</v>
      </c>
    </row>
    <row r="179" spans="1:11" x14ac:dyDescent="0.2">
      <c r="A179" t="str">
        <v>d_178</v>
      </c>
      <c r="B179" s="2">
        <v>40749</v>
      </c>
      <c r="C179" s="4">
        <v>0</v>
      </c>
      <c r="D179">
        <f t="shared" si="11"/>
        <v>2</v>
      </c>
      <c r="E179">
        <f t="shared" si="12"/>
        <v>3</v>
      </c>
      <c r="F179">
        <f>IF(C179&gt;0,alpha_c*D179+(1-alpha_c)*F178,F178)</f>
        <v>1.4990366864482314</v>
      </c>
      <c r="G179">
        <f>IF(C179&gt;0, alpha_c*E179+(1-alpha_c)*G178,G178)</f>
        <v>1</v>
      </c>
      <c r="H179">
        <f t="shared" si="10"/>
        <v>1.4990366864482314</v>
      </c>
      <c r="I179">
        <f>(1-alpha_c/2)*(F179/G179)</f>
        <v>1.3491330178034082</v>
      </c>
      <c r="J179" s="4">
        <f t="shared" si="13"/>
        <v>-1.4990366864482314</v>
      </c>
      <c r="K179">
        <f t="shared" si="14"/>
        <v>1.4990366864482314</v>
      </c>
    </row>
    <row r="180" spans="1:11" x14ac:dyDescent="0.2">
      <c r="A180" t="str">
        <v>d_179</v>
      </c>
      <c r="B180" s="2">
        <v>40750</v>
      </c>
      <c r="C180" s="4">
        <v>0</v>
      </c>
      <c r="D180">
        <f t="shared" si="11"/>
        <v>2</v>
      </c>
      <c r="E180">
        <f t="shared" si="12"/>
        <v>4</v>
      </c>
      <c r="F180">
        <f>IF(C180&gt;0,alpha_c*D180+(1-alpha_c)*F179,F179)</f>
        <v>1.4990366864482314</v>
      </c>
      <c r="G180">
        <f>IF(C180&gt;0, alpha_c*E180+(1-alpha_c)*G179,G179)</f>
        <v>1</v>
      </c>
      <c r="H180">
        <f t="shared" si="10"/>
        <v>1.4990366864482314</v>
      </c>
      <c r="I180">
        <f>(1-alpha_c/2)*(F180/G180)</f>
        <v>1.3491330178034082</v>
      </c>
      <c r="J180" s="4">
        <f t="shared" si="13"/>
        <v>-1.4990366864482314</v>
      </c>
      <c r="K180">
        <f t="shared" si="14"/>
        <v>1.4990366864482314</v>
      </c>
    </row>
    <row r="181" spans="1:11" x14ac:dyDescent="0.2">
      <c r="A181" t="str">
        <v>d_180</v>
      </c>
      <c r="B181" s="2">
        <v>40751</v>
      </c>
      <c r="C181" s="4">
        <v>1</v>
      </c>
      <c r="D181">
        <f t="shared" si="11"/>
        <v>1</v>
      </c>
      <c r="E181">
        <f t="shared" si="12"/>
        <v>1</v>
      </c>
      <c r="F181">
        <f>IF(C181&gt;0,alpha_c*D181+(1-alpha_c)*F180,F180)</f>
        <v>1.3992293491585852</v>
      </c>
      <c r="G181">
        <f>IF(C181&gt;0, alpha_c*E181+(1-alpha_c)*G180,G180)</f>
        <v>1</v>
      </c>
      <c r="H181">
        <f t="shared" si="10"/>
        <v>1.3992293491585852</v>
      </c>
      <c r="I181">
        <f>(1-alpha_c/2)*(F181/G181)</f>
        <v>1.2593064142427268</v>
      </c>
      <c r="J181" s="4">
        <f t="shared" si="13"/>
        <v>-0.39922934915858521</v>
      </c>
      <c r="K181">
        <f t="shared" si="14"/>
        <v>0.39922934915858521</v>
      </c>
    </row>
    <row r="182" spans="1:11" x14ac:dyDescent="0.2">
      <c r="A182" t="str">
        <v>d_181</v>
      </c>
      <c r="B182" s="2">
        <v>40752</v>
      </c>
      <c r="C182" s="4">
        <v>0</v>
      </c>
      <c r="D182">
        <f t="shared" si="11"/>
        <v>1</v>
      </c>
      <c r="E182">
        <f t="shared" si="12"/>
        <v>2</v>
      </c>
      <c r="F182">
        <f>IF(C182&gt;0,alpha_c*D182+(1-alpha_c)*F181,F181)</f>
        <v>1.3992293491585852</v>
      </c>
      <c r="G182">
        <f>IF(C182&gt;0, alpha_c*E182+(1-alpha_c)*G181,G181)</f>
        <v>1</v>
      </c>
      <c r="H182">
        <f t="shared" si="10"/>
        <v>1.3992293491585852</v>
      </c>
      <c r="I182">
        <f>(1-alpha_c/2)*(F182/G182)</f>
        <v>1.2593064142427268</v>
      </c>
      <c r="J182" s="4">
        <f t="shared" si="13"/>
        <v>-1.3992293491585852</v>
      </c>
      <c r="K182">
        <f t="shared" si="14"/>
        <v>1.3992293491585852</v>
      </c>
    </row>
    <row r="183" spans="1:11" x14ac:dyDescent="0.2">
      <c r="A183" t="str">
        <v>d_182</v>
      </c>
      <c r="B183" s="2">
        <v>40753</v>
      </c>
      <c r="C183" s="4">
        <v>2</v>
      </c>
      <c r="D183">
        <f t="shared" si="11"/>
        <v>2</v>
      </c>
      <c r="E183">
        <f t="shared" si="12"/>
        <v>1</v>
      </c>
      <c r="F183">
        <f>IF(C183&gt;0,alpha_c*D183+(1-alpha_c)*F182,F182)</f>
        <v>1.5193834793268683</v>
      </c>
      <c r="G183">
        <f>IF(C183&gt;0, alpha_c*E183+(1-alpha_c)*G182,G182)</f>
        <v>1</v>
      </c>
      <c r="H183">
        <f t="shared" si="10"/>
        <v>1.5193834793268683</v>
      </c>
      <c r="I183">
        <f>(1-alpha_c/2)*(F183/G183)</f>
        <v>1.3674451313941816</v>
      </c>
      <c r="J183" s="4">
        <f t="shared" si="13"/>
        <v>0.48061652067313165</v>
      </c>
      <c r="K183">
        <f t="shared" si="14"/>
        <v>0.48061652067313165</v>
      </c>
    </row>
    <row r="184" spans="1:11" x14ac:dyDescent="0.2">
      <c r="A184" t="str">
        <v>d_183</v>
      </c>
      <c r="B184" s="2">
        <v>40754</v>
      </c>
      <c r="C184" s="4">
        <v>0</v>
      </c>
      <c r="D184">
        <f t="shared" si="11"/>
        <v>2</v>
      </c>
      <c r="E184">
        <f t="shared" si="12"/>
        <v>2</v>
      </c>
      <c r="F184">
        <f>IF(C184&gt;0,alpha_c*D184+(1-alpha_c)*F183,F183)</f>
        <v>1.5193834793268683</v>
      </c>
      <c r="G184">
        <f>IF(C184&gt;0, alpha_c*E184+(1-alpha_c)*G183,G183)</f>
        <v>1</v>
      </c>
      <c r="H184">
        <f t="shared" si="10"/>
        <v>1.5193834793268683</v>
      </c>
      <c r="I184">
        <f>(1-alpha_c/2)*(F184/G184)</f>
        <v>1.3674451313941816</v>
      </c>
      <c r="J184" s="4">
        <f t="shared" si="13"/>
        <v>-1.5193834793268683</v>
      </c>
      <c r="K184">
        <f t="shared" si="14"/>
        <v>1.5193834793268683</v>
      </c>
    </row>
    <row r="185" spans="1:11" x14ac:dyDescent="0.2">
      <c r="A185" t="str">
        <v>d_184</v>
      </c>
      <c r="B185" s="2">
        <v>40755</v>
      </c>
      <c r="C185" s="4">
        <v>1</v>
      </c>
      <c r="D185">
        <f t="shared" si="11"/>
        <v>1</v>
      </c>
      <c r="E185">
        <f t="shared" si="12"/>
        <v>1</v>
      </c>
      <c r="F185">
        <f>IF(C185&gt;0,alpha_c*D185+(1-alpha_c)*F184,F184)</f>
        <v>1.4155067834614947</v>
      </c>
      <c r="G185">
        <f>IF(C185&gt;0, alpha_c*E185+(1-alpha_c)*G184,G184)</f>
        <v>1</v>
      </c>
      <c r="H185">
        <f t="shared" si="10"/>
        <v>1.4155067834614947</v>
      </c>
      <c r="I185">
        <f>(1-alpha_c/2)*(F185/G185)</f>
        <v>1.2739561051153452</v>
      </c>
      <c r="J185" s="4">
        <f t="shared" si="13"/>
        <v>-0.41550678346149472</v>
      </c>
      <c r="K185">
        <f t="shared" si="14"/>
        <v>0.41550678346149472</v>
      </c>
    </row>
    <row r="186" spans="1:11" x14ac:dyDescent="0.2">
      <c r="A186" t="str">
        <v>d_185</v>
      </c>
      <c r="B186" s="2">
        <v>40756</v>
      </c>
      <c r="C186" s="4">
        <v>0</v>
      </c>
      <c r="D186">
        <f t="shared" si="11"/>
        <v>1</v>
      </c>
      <c r="E186">
        <f t="shared" si="12"/>
        <v>2</v>
      </c>
      <c r="F186">
        <f>IF(C186&gt;0,alpha_c*D186+(1-alpha_c)*F185,F185)</f>
        <v>1.4155067834614947</v>
      </c>
      <c r="G186">
        <f>IF(C186&gt;0, alpha_c*E186+(1-alpha_c)*G185,G185)</f>
        <v>1</v>
      </c>
      <c r="H186">
        <f t="shared" si="10"/>
        <v>1.4155067834614947</v>
      </c>
      <c r="I186">
        <f>(1-alpha_c/2)*(F186/G186)</f>
        <v>1.2739561051153452</v>
      </c>
      <c r="J186" s="4">
        <f t="shared" si="13"/>
        <v>-1.4155067834614947</v>
      </c>
      <c r="K186">
        <f t="shared" si="14"/>
        <v>1.4155067834614947</v>
      </c>
    </row>
    <row r="187" spans="1:11" x14ac:dyDescent="0.2">
      <c r="A187" t="str">
        <v>d_186</v>
      </c>
      <c r="B187" s="2">
        <v>40757</v>
      </c>
      <c r="C187" s="4">
        <v>0</v>
      </c>
      <c r="D187">
        <f t="shared" si="11"/>
        <v>1</v>
      </c>
      <c r="E187">
        <f t="shared" si="12"/>
        <v>3</v>
      </c>
      <c r="F187">
        <f>IF(C187&gt;0,alpha_c*D187+(1-alpha_c)*F186,F186)</f>
        <v>1.4155067834614947</v>
      </c>
      <c r="G187">
        <f>IF(C187&gt;0, alpha_c*E187+(1-alpha_c)*G186,G186)</f>
        <v>1</v>
      </c>
      <c r="H187">
        <f t="shared" si="10"/>
        <v>1.4155067834614947</v>
      </c>
      <c r="I187">
        <f>(1-alpha_c/2)*(F187/G187)</f>
        <v>1.2739561051153452</v>
      </c>
      <c r="J187" s="4">
        <f t="shared" si="13"/>
        <v>-1.4155067834614947</v>
      </c>
      <c r="K187">
        <f t="shared" si="14"/>
        <v>1.4155067834614947</v>
      </c>
    </row>
    <row r="188" spans="1:11" x14ac:dyDescent="0.2">
      <c r="A188" t="str">
        <v>d_187</v>
      </c>
      <c r="B188" s="2">
        <v>40758</v>
      </c>
      <c r="C188" s="4">
        <v>1</v>
      </c>
      <c r="D188">
        <f t="shared" si="11"/>
        <v>1</v>
      </c>
      <c r="E188">
        <f t="shared" si="12"/>
        <v>1</v>
      </c>
      <c r="F188">
        <f>IF(C188&gt;0,alpha_c*D188+(1-alpha_c)*F187,F187)</f>
        <v>1.3324054267691958</v>
      </c>
      <c r="G188">
        <f>IF(C188&gt;0, alpha_c*E188+(1-alpha_c)*G187,G187)</f>
        <v>1</v>
      </c>
      <c r="H188">
        <f t="shared" si="10"/>
        <v>1.3324054267691958</v>
      </c>
      <c r="I188">
        <f>(1-alpha_c/2)*(F188/G188)</f>
        <v>1.1991648840922762</v>
      </c>
      <c r="J188" s="4">
        <f t="shared" si="13"/>
        <v>-0.33240542676919582</v>
      </c>
      <c r="K188">
        <f t="shared" si="14"/>
        <v>0.33240542676919582</v>
      </c>
    </row>
    <row r="189" spans="1:11" x14ac:dyDescent="0.2">
      <c r="A189" t="str">
        <v>d_188</v>
      </c>
      <c r="B189" s="2">
        <v>40759</v>
      </c>
      <c r="C189" s="4">
        <v>1</v>
      </c>
      <c r="D189">
        <f t="shared" si="11"/>
        <v>1</v>
      </c>
      <c r="E189">
        <f t="shared" si="12"/>
        <v>1</v>
      </c>
      <c r="F189">
        <f>IF(C189&gt;0,alpha_c*D189+(1-alpha_c)*F188,F188)</f>
        <v>1.2659243414153567</v>
      </c>
      <c r="G189">
        <f>IF(C189&gt;0, alpha_c*E189+(1-alpha_c)*G188,G188)</f>
        <v>1</v>
      </c>
      <c r="H189">
        <f t="shared" si="10"/>
        <v>1.2659243414153567</v>
      </c>
      <c r="I189">
        <f>(1-alpha_c/2)*(F189/G189)</f>
        <v>1.1393319072738211</v>
      </c>
      <c r="J189" s="4">
        <f t="shared" si="13"/>
        <v>-0.2659243414153567</v>
      </c>
      <c r="K189">
        <f t="shared" si="14"/>
        <v>0.2659243414153567</v>
      </c>
    </row>
    <row r="190" spans="1:11" x14ac:dyDescent="0.2">
      <c r="A190" t="str">
        <v>d_189</v>
      </c>
      <c r="B190" s="2">
        <v>40760</v>
      </c>
      <c r="C190" s="4">
        <v>0</v>
      </c>
      <c r="D190">
        <f t="shared" si="11"/>
        <v>1</v>
      </c>
      <c r="E190">
        <f t="shared" si="12"/>
        <v>2</v>
      </c>
      <c r="F190">
        <f>IF(C190&gt;0,alpha_c*D190+(1-alpha_c)*F189,F189)</f>
        <v>1.2659243414153567</v>
      </c>
      <c r="G190">
        <f>IF(C190&gt;0, alpha_c*E190+(1-alpha_c)*G189,G189)</f>
        <v>1</v>
      </c>
      <c r="H190">
        <f t="shared" si="10"/>
        <v>1.2659243414153567</v>
      </c>
      <c r="I190">
        <f>(1-alpha_c/2)*(F190/G190)</f>
        <v>1.1393319072738211</v>
      </c>
      <c r="J190" s="4">
        <f t="shared" si="13"/>
        <v>-1.2659243414153567</v>
      </c>
      <c r="K190">
        <f t="shared" si="14"/>
        <v>1.2659243414153567</v>
      </c>
    </row>
    <row r="191" spans="1:11" x14ac:dyDescent="0.2">
      <c r="A191" t="str">
        <v>d_190</v>
      </c>
      <c r="B191" s="2">
        <v>40761</v>
      </c>
      <c r="C191" s="4">
        <v>0</v>
      </c>
      <c r="D191">
        <f t="shared" si="11"/>
        <v>1</v>
      </c>
      <c r="E191">
        <f t="shared" si="12"/>
        <v>3</v>
      </c>
      <c r="F191">
        <f>IF(C191&gt;0,alpha_c*D191+(1-alpha_c)*F190,F190)</f>
        <v>1.2659243414153567</v>
      </c>
      <c r="G191">
        <f>IF(C191&gt;0, alpha_c*E191+(1-alpha_c)*G190,G190)</f>
        <v>1</v>
      </c>
      <c r="H191">
        <f t="shared" si="10"/>
        <v>1.2659243414153567</v>
      </c>
      <c r="I191">
        <f>(1-alpha_c/2)*(F191/G191)</f>
        <v>1.1393319072738211</v>
      </c>
      <c r="J191" s="4">
        <f t="shared" si="13"/>
        <v>-1.2659243414153567</v>
      </c>
      <c r="K191">
        <f t="shared" si="14"/>
        <v>1.2659243414153567</v>
      </c>
    </row>
    <row r="192" spans="1:11" x14ac:dyDescent="0.2">
      <c r="A192" t="str">
        <v>d_191</v>
      </c>
      <c r="B192" s="2">
        <v>40762</v>
      </c>
      <c r="C192" s="4">
        <v>0</v>
      </c>
      <c r="D192">
        <f t="shared" si="11"/>
        <v>1</v>
      </c>
      <c r="E192">
        <f t="shared" si="12"/>
        <v>4</v>
      </c>
      <c r="F192">
        <f>IF(C192&gt;0,alpha_c*D192+(1-alpha_c)*F191,F191)</f>
        <v>1.2659243414153567</v>
      </c>
      <c r="G192">
        <f>IF(C192&gt;0, alpha_c*E192+(1-alpha_c)*G191,G191)</f>
        <v>1</v>
      </c>
      <c r="H192">
        <f t="shared" si="10"/>
        <v>1.2659243414153567</v>
      </c>
      <c r="I192">
        <f>(1-alpha_c/2)*(F192/G192)</f>
        <v>1.1393319072738211</v>
      </c>
      <c r="J192" s="4">
        <f t="shared" si="13"/>
        <v>-1.2659243414153567</v>
      </c>
      <c r="K192">
        <f t="shared" si="14"/>
        <v>1.2659243414153567</v>
      </c>
    </row>
    <row r="193" spans="1:11" x14ac:dyDescent="0.2">
      <c r="A193" t="str">
        <v>d_192</v>
      </c>
      <c r="B193" s="2">
        <v>40763</v>
      </c>
      <c r="C193" s="4">
        <v>0</v>
      </c>
      <c r="D193">
        <f t="shared" si="11"/>
        <v>1</v>
      </c>
      <c r="E193">
        <f t="shared" si="12"/>
        <v>5</v>
      </c>
      <c r="F193">
        <f>IF(C193&gt;0,alpha_c*D193+(1-alpha_c)*F192,F192)</f>
        <v>1.2659243414153567</v>
      </c>
      <c r="G193">
        <f>IF(C193&gt;0, alpha_c*E193+(1-alpha_c)*G192,G192)</f>
        <v>1</v>
      </c>
      <c r="H193">
        <f t="shared" si="10"/>
        <v>1.2659243414153567</v>
      </c>
      <c r="I193">
        <f>(1-alpha_c/2)*(F193/G193)</f>
        <v>1.1393319072738211</v>
      </c>
      <c r="J193" s="4">
        <f t="shared" si="13"/>
        <v>-1.2659243414153567</v>
      </c>
      <c r="K193">
        <f t="shared" si="14"/>
        <v>1.2659243414153567</v>
      </c>
    </row>
    <row r="194" spans="1:11" x14ac:dyDescent="0.2">
      <c r="A194" t="str">
        <v>d_193</v>
      </c>
      <c r="B194" s="2">
        <v>40764</v>
      </c>
      <c r="C194" s="4">
        <v>0</v>
      </c>
      <c r="D194">
        <f t="shared" si="11"/>
        <v>1</v>
      </c>
      <c r="E194">
        <f t="shared" si="12"/>
        <v>6</v>
      </c>
      <c r="F194">
        <f>IF(C194&gt;0,alpha_c*D194+(1-alpha_c)*F193,F193)</f>
        <v>1.2659243414153567</v>
      </c>
      <c r="G194">
        <f>IF(C194&gt;0, alpha_c*E194+(1-alpha_c)*G193,G193)</f>
        <v>1</v>
      </c>
      <c r="H194">
        <f t="shared" si="10"/>
        <v>1.2659243414153567</v>
      </c>
      <c r="I194">
        <f>(1-alpha_c/2)*(F194/G194)</f>
        <v>1.1393319072738211</v>
      </c>
      <c r="J194" s="4">
        <f t="shared" si="13"/>
        <v>-1.2659243414153567</v>
      </c>
      <c r="K194">
        <f t="shared" si="14"/>
        <v>1.2659243414153567</v>
      </c>
    </row>
    <row r="195" spans="1:11" x14ac:dyDescent="0.2">
      <c r="A195" t="str">
        <v>d_194</v>
      </c>
      <c r="B195" s="2">
        <v>40765</v>
      </c>
      <c r="C195" s="4">
        <v>0</v>
      </c>
      <c r="D195">
        <f t="shared" si="11"/>
        <v>1</v>
      </c>
      <c r="E195">
        <f t="shared" si="12"/>
        <v>7</v>
      </c>
      <c r="F195">
        <f>IF(C195&gt;0,alpha_c*D195+(1-alpha_c)*F194,F194)</f>
        <v>1.2659243414153567</v>
      </c>
      <c r="G195">
        <f>IF(C195&gt;0, alpha_c*E195+(1-alpha_c)*G194,G194)</f>
        <v>1</v>
      </c>
      <c r="H195">
        <f t="shared" ref="H195:H258" si="15">F195/G195</f>
        <v>1.2659243414153567</v>
      </c>
      <c r="I195">
        <f>(1-alpha_c/2)*(F195/G195)</f>
        <v>1.1393319072738211</v>
      </c>
      <c r="J195" s="4">
        <f t="shared" si="13"/>
        <v>-1.2659243414153567</v>
      </c>
      <c r="K195">
        <f t="shared" si="14"/>
        <v>1.2659243414153567</v>
      </c>
    </row>
    <row r="196" spans="1:11" x14ac:dyDescent="0.2">
      <c r="A196" t="str">
        <v>d_195</v>
      </c>
      <c r="B196" s="2">
        <v>40766</v>
      </c>
      <c r="C196" s="4">
        <v>0</v>
      </c>
      <c r="D196">
        <f t="shared" ref="D196:D259" si="16">IF(C196&gt;0,C196,D195)</f>
        <v>1</v>
      </c>
      <c r="E196">
        <f t="shared" ref="E196:E259" si="17">IF(C196&gt;0,1,E195+1)</f>
        <v>8</v>
      </c>
      <c r="F196">
        <f>IF(C196&gt;0,alpha_c*D196+(1-alpha_c)*F195,F195)</f>
        <v>1.2659243414153567</v>
      </c>
      <c r="G196">
        <f>IF(C196&gt;0, alpha_c*E196+(1-alpha_c)*G195,G195)</f>
        <v>1</v>
      </c>
      <c r="H196">
        <f t="shared" si="15"/>
        <v>1.2659243414153567</v>
      </c>
      <c r="I196">
        <f>(1-alpha_c/2)*(F196/G196)</f>
        <v>1.1393319072738211</v>
      </c>
      <c r="J196" s="4">
        <f t="shared" ref="J196:J259" si="18">C196-H196</f>
        <v>-1.2659243414153567</v>
      </c>
      <c r="K196">
        <f t="shared" ref="K196:K259" si="19">ABS(J196)</f>
        <v>1.2659243414153567</v>
      </c>
    </row>
    <row r="197" spans="1:11" x14ac:dyDescent="0.2">
      <c r="A197" t="str">
        <v>d_196</v>
      </c>
      <c r="B197" s="2">
        <v>40767</v>
      </c>
      <c r="C197" s="4">
        <v>0</v>
      </c>
      <c r="D197">
        <f t="shared" si="16"/>
        <v>1</v>
      </c>
      <c r="E197">
        <f t="shared" si="17"/>
        <v>9</v>
      </c>
      <c r="F197">
        <f>IF(C197&gt;0,alpha_c*D197+(1-alpha_c)*F196,F196)</f>
        <v>1.2659243414153567</v>
      </c>
      <c r="G197">
        <f>IF(C197&gt;0, alpha_c*E197+(1-alpha_c)*G196,G196)</f>
        <v>1</v>
      </c>
      <c r="H197">
        <f t="shared" si="15"/>
        <v>1.2659243414153567</v>
      </c>
      <c r="I197">
        <f>(1-alpha_c/2)*(F197/G197)</f>
        <v>1.1393319072738211</v>
      </c>
      <c r="J197" s="4">
        <f t="shared" si="18"/>
        <v>-1.2659243414153567</v>
      </c>
      <c r="K197">
        <f t="shared" si="19"/>
        <v>1.2659243414153567</v>
      </c>
    </row>
    <row r="198" spans="1:11" x14ac:dyDescent="0.2">
      <c r="A198" t="str">
        <v>d_197</v>
      </c>
      <c r="B198" s="2">
        <v>40768</v>
      </c>
      <c r="C198" s="4">
        <v>0</v>
      </c>
      <c r="D198">
        <f t="shared" si="16"/>
        <v>1</v>
      </c>
      <c r="E198">
        <f t="shared" si="17"/>
        <v>10</v>
      </c>
      <c r="F198">
        <f>IF(C198&gt;0,alpha_c*D198+(1-alpha_c)*F197,F197)</f>
        <v>1.2659243414153567</v>
      </c>
      <c r="G198">
        <f>IF(C198&gt;0, alpha_c*E198+(1-alpha_c)*G197,G197)</f>
        <v>1</v>
      </c>
      <c r="H198">
        <f t="shared" si="15"/>
        <v>1.2659243414153567</v>
      </c>
      <c r="I198">
        <f>(1-alpha_c/2)*(F198/G198)</f>
        <v>1.1393319072738211</v>
      </c>
      <c r="J198" s="4">
        <f t="shared" si="18"/>
        <v>-1.2659243414153567</v>
      </c>
      <c r="K198">
        <f t="shared" si="19"/>
        <v>1.2659243414153567</v>
      </c>
    </row>
    <row r="199" spans="1:11" x14ac:dyDescent="0.2">
      <c r="A199" t="str">
        <v>d_198</v>
      </c>
      <c r="B199" s="2">
        <v>40769</v>
      </c>
      <c r="C199" s="4">
        <v>0</v>
      </c>
      <c r="D199">
        <f t="shared" si="16"/>
        <v>1</v>
      </c>
      <c r="E199">
        <f t="shared" si="17"/>
        <v>11</v>
      </c>
      <c r="F199">
        <f>IF(C199&gt;0,alpha_c*D199+(1-alpha_c)*F198,F198)</f>
        <v>1.2659243414153567</v>
      </c>
      <c r="G199">
        <f>IF(C199&gt;0, alpha_c*E199+(1-alpha_c)*G198,G198)</f>
        <v>1</v>
      </c>
      <c r="H199">
        <f t="shared" si="15"/>
        <v>1.2659243414153567</v>
      </c>
      <c r="I199">
        <f>(1-alpha_c/2)*(F199/G199)</f>
        <v>1.1393319072738211</v>
      </c>
      <c r="J199" s="4">
        <f t="shared" si="18"/>
        <v>-1.2659243414153567</v>
      </c>
      <c r="K199">
        <f t="shared" si="19"/>
        <v>1.2659243414153567</v>
      </c>
    </row>
    <row r="200" spans="1:11" x14ac:dyDescent="0.2">
      <c r="A200" t="str">
        <v>d_199</v>
      </c>
      <c r="B200" s="2">
        <v>40770</v>
      </c>
      <c r="C200" s="4">
        <v>0</v>
      </c>
      <c r="D200">
        <f t="shared" si="16"/>
        <v>1</v>
      </c>
      <c r="E200">
        <f t="shared" si="17"/>
        <v>12</v>
      </c>
      <c r="F200">
        <f>IF(C200&gt;0,alpha_c*D200+(1-alpha_c)*F199,F199)</f>
        <v>1.2659243414153567</v>
      </c>
      <c r="G200">
        <f>IF(C200&gt;0, alpha_c*E200+(1-alpha_c)*G199,G199)</f>
        <v>1</v>
      </c>
      <c r="H200">
        <f t="shared" si="15"/>
        <v>1.2659243414153567</v>
      </c>
      <c r="I200">
        <f>(1-alpha_c/2)*(F200/G200)</f>
        <v>1.1393319072738211</v>
      </c>
      <c r="J200" s="4">
        <f t="shared" si="18"/>
        <v>-1.2659243414153567</v>
      </c>
      <c r="K200">
        <f t="shared" si="19"/>
        <v>1.2659243414153567</v>
      </c>
    </row>
    <row r="201" spans="1:11" x14ac:dyDescent="0.2">
      <c r="A201" t="str">
        <v>d_200</v>
      </c>
      <c r="B201" s="2">
        <v>40771</v>
      </c>
      <c r="C201" s="4">
        <v>0</v>
      </c>
      <c r="D201">
        <f t="shared" si="16"/>
        <v>1</v>
      </c>
      <c r="E201">
        <f t="shared" si="17"/>
        <v>13</v>
      </c>
      <c r="F201">
        <f>IF(C201&gt;0,alpha_c*D201+(1-alpha_c)*F200,F200)</f>
        <v>1.2659243414153567</v>
      </c>
      <c r="G201">
        <f>IF(C201&gt;0, alpha_c*E201+(1-alpha_c)*G200,G200)</f>
        <v>1</v>
      </c>
      <c r="H201">
        <f t="shared" si="15"/>
        <v>1.2659243414153567</v>
      </c>
      <c r="I201">
        <f>(1-alpha_c/2)*(F201/G201)</f>
        <v>1.1393319072738211</v>
      </c>
      <c r="J201" s="4">
        <f t="shared" si="18"/>
        <v>-1.2659243414153567</v>
      </c>
      <c r="K201">
        <f t="shared" si="19"/>
        <v>1.2659243414153567</v>
      </c>
    </row>
    <row r="202" spans="1:11" x14ac:dyDescent="0.2">
      <c r="A202" t="str">
        <v>d_201</v>
      </c>
      <c r="B202" s="2">
        <v>40772</v>
      </c>
      <c r="C202" s="4">
        <v>0</v>
      </c>
      <c r="D202">
        <f t="shared" si="16"/>
        <v>1</v>
      </c>
      <c r="E202">
        <f t="shared" si="17"/>
        <v>14</v>
      </c>
      <c r="F202">
        <f>IF(C202&gt;0,alpha_c*D202+(1-alpha_c)*F201,F201)</f>
        <v>1.2659243414153567</v>
      </c>
      <c r="G202">
        <f>IF(C202&gt;0, alpha_c*E202+(1-alpha_c)*G201,G201)</f>
        <v>1</v>
      </c>
      <c r="H202">
        <f t="shared" si="15"/>
        <v>1.2659243414153567</v>
      </c>
      <c r="I202">
        <f>(1-alpha_c/2)*(F202/G202)</f>
        <v>1.1393319072738211</v>
      </c>
      <c r="J202" s="4">
        <f t="shared" si="18"/>
        <v>-1.2659243414153567</v>
      </c>
      <c r="K202">
        <f t="shared" si="19"/>
        <v>1.2659243414153567</v>
      </c>
    </row>
    <row r="203" spans="1:11" x14ac:dyDescent="0.2">
      <c r="A203" t="str">
        <v>d_202</v>
      </c>
      <c r="B203" s="2">
        <v>40773</v>
      </c>
      <c r="C203" s="4">
        <v>0</v>
      </c>
      <c r="D203">
        <f t="shared" si="16"/>
        <v>1</v>
      </c>
      <c r="E203">
        <f t="shared" si="17"/>
        <v>15</v>
      </c>
      <c r="F203">
        <f>IF(C203&gt;0,alpha_c*D203+(1-alpha_c)*F202,F202)</f>
        <v>1.2659243414153567</v>
      </c>
      <c r="G203">
        <f>IF(C203&gt;0, alpha_c*E203+(1-alpha_c)*G202,G202)</f>
        <v>1</v>
      </c>
      <c r="H203">
        <f t="shared" si="15"/>
        <v>1.2659243414153567</v>
      </c>
      <c r="I203">
        <f>(1-alpha_c/2)*(F203/G203)</f>
        <v>1.1393319072738211</v>
      </c>
      <c r="J203" s="4">
        <f t="shared" si="18"/>
        <v>-1.2659243414153567</v>
      </c>
      <c r="K203">
        <f t="shared" si="19"/>
        <v>1.2659243414153567</v>
      </c>
    </row>
    <row r="204" spans="1:11" x14ac:dyDescent="0.2">
      <c r="A204" t="str">
        <v>d_203</v>
      </c>
      <c r="B204" s="2">
        <v>40774</v>
      </c>
      <c r="C204" s="4">
        <v>0</v>
      </c>
      <c r="D204">
        <f t="shared" si="16"/>
        <v>1</v>
      </c>
      <c r="E204">
        <f t="shared" si="17"/>
        <v>16</v>
      </c>
      <c r="F204">
        <f>IF(C204&gt;0,alpha_c*D204+(1-alpha_c)*F203,F203)</f>
        <v>1.2659243414153567</v>
      </c>
      <c r="G204">
        <f>IF(C204&gt;0, alpha_c*E204+(1-alpha_c)*G203,G203)</f>
        <v>1</v>
      </c>
      <c r="H204">
        <f t="shared" si="15"/>
        <v>1.2659243414153567</v>
      </c>
      <c r="I204">
        <f>(1-alpha_c/2)*(F204/G204)</f>
        <v>1.1393319072738211</v>
      </c>
      <c r="J204" s="4">
        <f t="shared" si="18"/>
        <v>-1.2659243414153567</v>
      </c>
      <c r="K204">
        <f t="shared" si="19"/>
        <v>1.2659243414153567</v>
      </c>
    </row>
    <row r="205" spans="1:11" x14ac:dyDescent="0.2">
      <c r="A205" t="str">
        <v>d_204</v>
      </c>
      <c r="B205" s="2">
        <v>40775</v>
      </c>
      <c r="C205" s="4">
        <v>0</v>
      </c>
      <c r="D205">
        <f t="shared" si="16"/>
        <v>1</v>
      </c>
      <c r="E205">
        <f t="shared" si="17"/>
        <v>17</v>
      </c>
      <c r="F205">
        <f>IF(C205&gt;0,alpha_c*D205+(1-alpha_c)*F204,F204)</f>
        <v>1.2659243414153567</v>
      </c>
      <c r="G205">
        <f>IF(C205&gt;0, alpha_c*E205+(1-alpha_c)*G204,G204)</f>
        <v>1</v>
      </c>
      <c r="H205">
        <f t="shared" si="15"/>
        <v>1.2659243414153567</v>
      </c>
      <c r="I205">
        <f>(1-alpha_c/2)*(F205/G205)</f>
        <v>1.1393319072738211</v>
      </c>
      <c r="J205" s="4">
        <f t="shared" si="18"/>
        <v>-1.2659243414153567</v>
      </c>
      <c r="K205">
        <f t="shared" si="19"/>
        <v>1.2659243414153567</v>
      </c>
    </row>
    <row r="206" spans="1:11" x14ac:dyDescent="0.2">
      <c r="A206" t="str">
        <v>d_205</v>
      </c>
      <c r="B206" s="2">
        <v>40776</v>
      </c>
      <c r="C206" s="4">
        <v>0</v>
      </c>
      <c r="D206">
        <f t="shared" si="16"/>
        <v>1</v>
      </c>
      <c r="E206">
        <f t="shared" si="17"/>
        <v>18</v>
      </c>
      <c r="F206">
        <f>IF(C206&gt;0,alpha_c*D206+(1-alpha_c)*F205,F205)</f>
        <v>1.2659243414153567</v>
      </c>
      <c r="G206">
        <f>IF(C206&gt;0, alpha_c*E206+(1-alpha_c)*G205,G205)</f>
        <v>1</v>
      </c>
      <c r="H206">
        <f t="shared" si="15"/>
        <v>1.2659243414153567</v>
      </c>
      <c r="I206">
        <f>(1-alpha_c/2)*(F206/G206)</f>
        <v>1.1393319072738211</v>
      </c>
      <c r="J206" s="4">
        <f t="shared" si="18"/>
        <v>-1.2659243414153567</v>
      </c>
      <c r="K206">
        <f t="shared" si="19"/>
        <v>1.2659243414153567</v>
      </c>
    </row>
    <row r="207" spans="1:11" x14ac:dyDescent="0.2">
      <c r="A207" t="str">
        <v>d_206</v>
      </c>
      <c r="B207" s="2">
        <v>40777</v>
      </c>
      <c r="C207" s="4">
        <v>0</v>
      </c>
      <c r="D207">
        <f t="shared" si="16"/>
        <v>1</v>
      </c>
      <c r="E207">
        <f t="shared" si="17"/>
        <v>19</v>
      </c>
      <c r="F207">
        <f>IF(C207&gt;0,alpha_c*D207+(1-alpha_c)*F206,F206)</f>
        <v>1.2659243414153567</v>
      </c>
      <c r="G207">
        <f>IF(C207&gt;0, alpha_c*E207+(1-alpha_c)*G206,G206)</f>
        <v>1</v>
      </c>
      <c r="H207">
        <f t="shared" si="15"/>
        <v>1.2659243414153567</v>
      </c>
      <c r="I207">
        <f>(1-alpha_c/2)*(F207/G207)</f>
        <v>1.1393319072738211</v>
      </c>
      <c r="J207" s="4">
        <f t="shared" si="18"/>
        <v>-1.2659243414153567</v>
      </c>
      <c r="K207">
        <f t="shared" si="19"/>
        <v>1.2659243414153567</v>
      </c>
    </row>
    <row r="208" spans="1:11" x14ac:dyDescent="0.2">
      <c r="A208" t="str">
        <v>d_207</v>
      </c>
      <c r="B208" s="2">
        <v>40778</v>
      </c>
      <c r="C208" s="4">
        <v>0</v>
      </c>
      <c r="D208">
        <f t="shared" si="16"/>
        <v>1</v>
      </c>
      <c r="E208">
        <f t="shared" si="17"/>
        <v>20</v>
      </c>
      <c r="F208">
        <f>IF(C208&gt;0,alpha_c*D208+(1-alpha_c)*F207,F207)</f>
        <v>1.2659243414153567</v>
      </c>
      <c r="G208">
        <f>IF(C208&gt;0, alpha_c*E208+(1-alpha_c)*G207,G207)</f>
        <v>1</v>
      </c>
      <c r="H208">
        <f t="shared" si="15"/>
        <v>1.2659243414153567</v>
      </c>
      <c r="I208">
        <f>(1-alpha_c/2)*(F208/G208)</f>
        <v>1.1393319072738211</v>
      </c>
      <c r="J208" s="4">
        <f t="shared" si="18"/>
        <v>-1.2659243414153567</v>
      </c>
      <c r="K208">
        <f t="shared" si="19"/>
        <v>1.2659243414153567</v>
      </c>
    </row>
    <row r="209" spans="1:11" x14ac:dyDescent="0.2">
      <c r="A209" t="str">
        <v>d_208</v>
      </c>
      <c r="B209" s="2">
        <v>40779</v>
      </c>
      <c r="C209" s="4">
        <v>0</v>
      </c>
      <c r="D209">
        <f t="shared" si="16"/>
        <v>1</v>
      </c>
      <c r="E209">
        <f t="shared" si="17"/>
        <v>21</v>
      </c>
      <c r="F209">
        <f>IF(C209&gt;0,alpha_c*D209+(1-alpha_c)*F208,F208)</f>
        <v>1.2659243414153567</v>
      </c>
      <c r="G209">
        <f>IF(C209&gt;0, alpha_c*E209+(1-alpha_c)*G208,G208)</f>
        <v>1</v>
      </c>
      <c r="H209">
        <f t="shared" si="15"/>
        <v>1.2659243414153567</v>
      </c>
      <c r="I209">
        <f>(1-alpha_c/2)*(F209/G209)</f>
        <v>1.1393319072738211</v>
      </c>
      <c r="J209" s="4">
        <f t="shared" si="18"/>
        <v>-1.2659243414153567</v>
      </c>
      <c r="K209">
        <f t="shared" si="19"/>
        <v>1.2659243414153567</v>
      </c>
    </row>
    <row r="210" spans="1:11" x14ac:dyDescent="0.2">
      <c r="A210" t="str">
        <v>d_209</v>
      </c>
      <c r="B210" s="2">
        <v>40780</v>
      </c>
      <c r="C210" s="4">
        <v>0</v>
      </c>
      <c r="D210">
        <f t="shared" si="16"/>
        <v>1</v>
      </c>
      <c r="E210">
        <f t="shared" si="17"/>
        <v>22</v>
      </c>
      <c r="F210">
        <f>IF(C210&gt;0,alpha_c*D210+(1-alpha_c)*F209,F209)</f>
        <v>1.2659243414153567</v>
      </c>
      <c r="G210">
        <f>IF(C210&gt;0, alpha_c*E210+(1-alpha_c)*G209,G209)</f>
        <v>1</v>
      </c>
      <c r="H210">
        <f t="shared" si="15"/>
        <v>1.2659243414153567</v>
      </c>
      <c r="I210">
        <f>(1-alpha_c/2)*(F210/G210)</f>
        <v>1.1393319072738211</v>
      </c>
      <c r="J210" s="4">
        <f t="shared" si="18"/>
        <v>-1.2659243414153567</v>
      </c>
      <c r="K210">
        <f t="shared" si="19"/>
        <v>1.2659243414153567</v>
      </c>
    </row>
    <row r="211" spans="1:11" x14ac:dyDescent="0.2">
      <c r="A211" t="str">
        <v>d_210</v>
      </c>
      <c r="B211" s="2">
        <v>40781</v>
      </c>
      <c r="C211" s="4">
        <v>0</v>
      </c>
      <c r="D211">
        <f t="shared" si="16"/>
        <v>1</v>
      </c>
      <c r="E211">
        <f t="shared" si="17"/>
        <v>23</v>
      </c>
      <c r="F211">
        <f>IF(C211&gt;0,alpha_c*D211+(1-alpha_c)*F210,F210)</f>
        <v>1.2659243414153567</v>
      </c>
      <c r="G211">
        <f>IF(C211&gt;0, alpha_c*E211+(1-alpha_c)*G210,G210)</f>
        <v>1</v>
      </c>
      <c r="H211">
        <f t="shared" si="15"/>
        <v>1.2659243414153567</v>
      </c>
      <c r="I211">
        <f>(1-alpha_c/2)*(F211/G211)</f>
        <v>1.1393319072738211</v>
      </c>
      <c r="J211" s="4">
        <f t="shared" si="18"/>
        <v>-1.2659243414153567</v>
      </c>
      <c r="K211">
        <f t="shared" si="19"/>
        <v>1.2659243414153567</v>
      </c>
    </row>
    <row r="212" spans="1:11" x14ac:dyDescent="0.2">
      <c r="A212" t="str">
        <v>d_211</v>
      </c>
      <c r="B212" s="2">
        <v>40782</v>
      </c>
      <c r="C212" s="4">
        <v>0</v>
      </c>
      <c r="D212">
        <f t="shared" si="16"/>
        <v>1</v>
      </c>
      <c r="E212">
        <f t="shared" si="17"/>
        <v>24</v>
      </c>
      <c r="F212">
        <f>IF(C212&gt;0,alpha_c*D212+(1-alpha_c)*F211,F211)</f>
        <v>1.2659243414153567</v>
      </c>
      <c r="G212">
        <f>IF(C212&gt;0, alpha_c*E212+(1-alpha_c)*G211,G211)</f>
        <v>1</v>
      </c>
      <c r="H212">
        <f t="shared" si="15"/>
        <v>1.2659243414153567</v>
      </c>
      <c r="I212">
        <f>(1-alpha_c/2)*(F212/G212)</f>
        <v>1.1393319072738211</v>
      </c>
      <c r="J212" s="4">
        <f t="shared" si="18"/>
        <v>-1.2659243414153567</v>
      </c>
      <c r="K212">
        <f t="shared" si="19"/>
        <v>1.2659243414153567</v>
      </c>
    </row>
    <row r="213" spans="1:11" x14ac:dyDescent="0.2">
      <c r="A213" t="str">
        <v>d_212</v>
      </c>
      <c r="B213" s="2">
        <v>40783</v>
      </c>
      <c r="C213" s="4">
        <v>0</v>
      </c>
      <c r="D213">
        <f t="shared" si="16"/>
        <v>1</v>
      </c>
      <c r="E213">
        <f t="shared" si="17"/>
        <v>25</v>
      </c>
      <c r="F213">
        <f>IF(C213&gt;0,alpha_c*D213+(1-alpha_c)*F212,F212)</f>
        <v>1.2659243414153567</v>
      </c>
      <c r="G213">
        <f>IF(C213&gt;0, alpha_c*E213+(1-alpha_c)*G212,G212)</f>
        <v>1</v>
      </c>
      <c r="H213">
        <f t="shared" si="15"/>
        <v>1.2659243414153567</v>
      </c>
      <c r="I213">
        <f>(1-alpha_c/2)*(F213/G213)</f>
        <v>1.1393319072738211</v>
      </c>
      <c r="J213" s="4">
        <f t="shared" si="18"/>
        <v>-1.2659243414153567</v>
      </c>
      <c r="K213">
        <f t="shared" si="19"/>
        <v>1.2659243414153567</v>
      </c>
    </row>
    <row r="214" spans="1:11" x14ac:dyDescent="0.2">
      <c r="A214" t="str">
        <v>d_213</v>
      </c>
      <c r="B214" s="2">
        <v>40784</v>
      </c>
      <c r="C214" s="4">
        <v>0</v>
      </c>
      <c r="D214">
        <f t="shared" si="16"/>
        <v>1</v>
      </c>
      <c r="E214">
        <f t="shared" si="17"/>
        <v>26</v>
      </c>
      <c r="F214">
        <f>IF(C214&gt;0,alpha_c*D214+(1-alpha_c)*F213,F213)</f>
        <v>1.2659243414153567</v>
      </c>
      <c r="G214">
        <f>IF(C214&gt;0, alpha_c*E214+(1-alpha_c)*G213,G213)</f>
        <v>1</v>
      </c>
      <c r="H214">
        <f t="shared" si="15"/>
        <v>1.2659243414153567</v>
      </c>
      <c r="I214">
        <f>(1-alpha_c/2)*(F214/G214)</f>
        <v>1.1393319072738211</v>
      </c>
      <c r="J214" s="4">
        <f t="shared" si="18"/>
        <v>-1.2659243414153567</v>
      </c>
      <c r="K214">
        <f t="shared" si="19"/>
        <v>1.2659243414153567</v>
      </c>
    </row>
    <row r="215" spans="1:11" x14ac:dyDescent="0.2">
      <c r="A215" t="str">
        <v>d_214</v>
      </c>
      <c r="B215" s="2">
        <v>40785</v>
      </c>
      <c r="C215" s="4">
        <v>0</v>
      </c>
      <c r="D215">
        <f t="shared" si="16"/>
        <v>1</v>
      </c>
      <c r="E215">
        <f t="shared" si="17"/>
        <v>27</v>
      </c>
      <c r="F215">
        <f>IF(C215&gt;0,alpha_c*D215+(1-alpha_c)*F214,F214)</f>
        <v>1.2659243414153567</v>
      </c>
      <c r="G215">
        <f>IF(C215&gt;0, alpha_c*E215+(1-alpha_c)*G214,G214)</f>
        <v>1</v>
      </c>
      <c r="H215">
        <f t="shared" si="15"/>
        <v>1.2659243414153567</v>
      </c>
      <c r="I215">
        <f>(1-alpha_c/2)*(F215/G215)</f>
        <v>1.1393319072738211</v>
      </c>
      <c r="J215" s="4">
        <f t="shared" si="18"/>
        <v>-1.2659243414153567</v>
      </c>
      <c r="K215">
        <f t="shared" si="19"/>
        <v>1.2659243414153567</v>
      </c>
    </row>
    <row r="216" spans="1:11" x14ac:dyDescent="0.2">
      <c r="A216" t="str">
        <v>d_215</v>
      </c>
      <c r="B216" s="2">
        <v>40786</v>
      </c>
      <c r="C216" s="4">
        <v>0</v>
      </c>
      <c r="D216">
        <f t="shared" si="16"/>
        <v>1</v>
      </c>
      <c r="E216">
        <f t="shared" si="17"/>
        <v>28</v>
      </c>
      <c r="F216">
        <f>IF(C216&gt;0,alpha_c*D216+(1-alpha_c)*F215,F215)</f>
        <v>1.2659243414153567</v>
      </c>
      <c r="G216">
        <f>IF(C216&gt;0, alpha_c*E216+(1-alpha_c)*G215,G215)</f>
        <v>1</v>
      </c>
      <c r="H216">
        <f t="shared" si="15"/>
        <v>1.2659243414153567</v>
      </c>
      <c r="I216">
        <f>(1-alpha_c/2)*(F216/G216)</f>
        <v>1.1393319072738211</v>
      </c>
      <c r="J216" s="4">
        <f t="shared" si="18"/>
        <v>-1.2659243414153567</v>
      </c>
      <c r="K216">
        <f t="shared" si="19"/>
        <v>1.2659243414153567</v>
      </c>
    </row>
    <row r="217" spans="1:11" x14ac:dyDescent="0.2">
      <c r="A217" t="str">
        <v>d_216</v>
      </c>
      <c r="B217" s="2">
        <v>40787</v>
      </c>
      <c r="C217" s="4">
        <v>0</v>
      </c>
      <c r="D217">
        <f t="shared" si="16"/>
        <v>1</v>
      </c>
      <c r="E217">
        <f t="shared" si="17"/>
        <v>29</v>
      </c>
      <c r="F217">
        <f>IF(C217&gt;0,alpha_c*D217+(1-alpha_c)*F216,F216)</f>
        <v>1.2659243414153567</v>
      </c>
      <c r="G217">
        <f>IF(C217&gt;0, alpha_c*E217+(1-alpha_c)*G216,G216)</f>
        <v>1</v>
      </c>
      <c r="H217">
        <f t="shared" si="15"/>
        <v>1.2659243414153567</v>
      </c>
      <c r="I217">
        <f>(1-alpha_c/2)*(F217/G217)</f>
        <v>1.1393319072738211</v>
      </c>
      <c r="J217" s="4">
        <f t="shared" si="18"/>
        <v>-1.2659243414153567</v>
      </c>
      <c r="K217">
        <f t="shared" si="19"/>
        <v>1.2659243414153567</v>
      </c>
    </row>
    <row r="218" spans="1:11" x14ac:dyDescent="0.2">
      <c r="A218" t="str">
        <v>d_217</v>
      </c>
      <c r="B218" s="2">
        <v>40788</v>
      </c>
      <c r="C218" s="4">
        <v>0</v>
      </c>
      <c r="D218">
        <f t="shared" si="16"/>
        <v>1</v>
      </c>
      <c r="E218">
        <f t="shared" si="17"/>
        <v>30</v>
      </c>
      <c r="F218">
        <f>IF(C218&gt;0,alpha_c*D218+(1-alpha_c)*F217,F217)</f>
        <v>1.2659243414153567</v>
      </c>
      <c r="G218">
        <f>IF(C218&gt;0, alpha_c*E218+(1-alpha_c)*G217,G217)</f>
        <v>1</v>
      </c>
      <c r="H218">
        <f t="shared" si="15"/>
        <v>1.2659243414153567</v>
      </c>
      <c r="I218">
        <f>(1-alpha_c/2)*(F218/G218)</f>
        <v>1.1393319072738211</v>
      </c>
      <c r="J218" s="4">
        <f t="shared" si="18"/>
        <v>-1.2659243414153567</v>
      </c>
      <c r="K218">
        <f t="shared" si="19"/>
        <v>1.2659243414153567</v>
      </c>
    </row>
    <row r="219" spans="1:11" x14ac:dyDescent="0.2">
      <c r="A219" t="str">
        <v>d_218</v>
      </c>
      <c r="B219" s="2">
        <v>40789</v>
      </c>
      <c r="C219" s="4">
        <v>0</v>
      </c>
      <c r="D219">
        <f t="shared" si="16"/>
        <v>1</v>
      </c>
      <c r="E219">
        <f t="shared" si="17"/>
        <v>31</v>
      </c>
      <c r="F219">
        <f>IF(C219&gt;0,alpha_c*D219+(1-alpha_c)*F218,F218)</f>
        <v>1.2659243414153567</v>
      </c>
      <c r="G219">
        <f>IF(C219&gt;0, alpha_c*E219+(1-alpha_c)*G218,G218)</f>
        <v>1</v>
      </c>
      <c r="H219">
        <f t="shared" si="15"/>
        <v>1.2659243414153567</v>
      </c>
      <c r="I219">
        <f>(1-alpha_c/2)*(F219/G219)</f>
        <v>1.1393319072738211</v>
      </c>
      <c r="J219" s="4">
        <f t="shared" si="18"/>
        <v>-1.2659243414153567</v>
      </c>
      <c r="K219">
        <f t="shared" si="19"/>
        <v>1.2659243414153567</v>
      </c>
    </row>
    <row r="220" spans="1:11" x14ac:dyDescent="0.2">
      <c r="A220" t="str">
        <v>d_219</v>
      </c>
      <c r="B220" s="2">
        <v>40790</v>
      </c>
      <c r="C220" s="4">
        <v>0</v>
      </c>
      <c r="D220">
        <f t="shared" si="16"/>
        <v>1</v>
      </c>
      <c r="E220">
        <f t="shared" si="17"/>
        <v>32</v>
      </c>
      <c r="F220">
        <f>IF(C220&gt;0,alpha_c*D220+(1-alpha_c)*F219,F219)</f>
        <v>1.2659243414153567</v>
      </c>
      <c r="G220">
        <f>IF(C220&gt;0, alpha_c*E220+(1-alpha_c)*G219,G219)</f>
        <v>1</v>
      </c>
      <c r="H220">
        <f t="shared" si="15"/>
        <v>1.2659243414153567</v>
      </c>
      <c r="I220">
        <f>(1-alpha_c/2)*(F220/G220)</f>
        <v>1.1393319072738211</v>
      </c>
      <c r="J220" s="4">
        <f t="shared" si="18"/>
        <v>-1.2659243414153567</v>
      </c>
      <c r="K220">
        <f t="shared" si="19"/>
        <v>1.2659243414153567</v>
      </c>
    </row>
    <row r="221" spans="1:11" x14ac:dyDescent="0.2">
      <c r="A221" t="str">
        <v>d_220</v>
      </c>
      <c r="B221" s="2">
        <v>40791</v>
      </c>
      <c r="C221" s="4">
        <v>0</v>
      </c>
      <c r="D221">
        <f t="shared" si="16"/>
        <v>1</v>
      </c>
      <c r="E221">
        <f t="shared" si="17"/>
        <v>33</v>
      </c>
      <c r="F221">
        <f>IF(C221&gt;0,alpha_c*D221+(1-alpha_c)*F220,F220)</f>
        <v>1.2659243414153567</v>
      </c>
      <c r="G221">
        <f>IF(C221&gt;0, alpha_c*E221+(1-alpha_c)*G220,G220)</f>
        <v>1</v>
      </c>
      <c r="H221">
        <f t="shared" si="15"/>
        <v>1.2659243414153567</v>
      </c>
      <c r="I221">
        <f>(1-alpha_c/2)*(F221/G221)</f>
        <v>1.1393319072738211</v>
      </c>
      <c r="J221" s="4">
        <f t="shared" si="18"/>
        <v>-1.2659243414153567</v>
      </c>
      <c r="K221">
        <f t="shared" si="19"/>
        <v>1.2659243414153567</v>
      </c>
    </row>
    <row r="222" spans="1:11" x14ac:dyDescent="0.2">
      <c r="A222" t="str">
        <v>d_221</v>
      </c>
      <c r="B222" s="2">
        <v>40792</v>
      </c>
      <c r="C222" s="4">
        <v>0</v>
      </c>
      <c r="D222">
        <f t="shared" si="16"/>
        <v>1</v>
      </c>
      <c r="E222">
        <f t="shared" si="17"/>
        <v>34</v>
      </c>
      <c r="F222">
        <f>IF(C222&gt;0,alpha_c*D222+(1-alpha_c)*F221,F221)</f>
        <v>1.2659243414153567</v>
      </c>
      <c r="G222">
        <f>IF(C222&gt;0, alpha_c*E222+(1-alpha_c)*G221,G221)</f>
        <v>1</v>
      </c>
      <c r="H222">
        <f t="shared" si="15"/>
        <v>1.2659243414153567</v>
      </c>
      <c r="I222">
        <f>(1-alpha_c/2)*(F222/G222)</f>
        <v>1.1393319072738211</v>
      </c>
      <c r="J222" s="4">
        <f t="shared" si="18"/>
        <v>-1.2659243414153567</v>
      </c>
      <c r="K222">
        <f t="shared" si="19"/>
        <v>1.2659243414153567</v>
      </c>
    </row>
    <row r="223" spans="1:11" x14ac:dyDescent="0.2">
      <c r="A223" t="str">
        <v>d_222</v>
      </c>
      <c r="B223" s="2">
        <v>40793</v>
      </c>
      <c r="C223" s="4">
        <v>0</v>
      </c>
      <c r="D223">
        <f t="shared" si="16"/>
        <v>1</v>
      </c>
      <c r="E223">
        <f t="shared" si="17"/>
        <v>35</v>
      </c>
      <c r="F223">
        <f>IF(C223&gt;0,alpha_c*D223+(1-alpha_c)*F222,F222)</f>
        <v>1.2659243414153567</v>
      </c>
      <c r="G223">
        <f>IF(C223&gt;0, alpha_c*E223+(1-alpha_c)*G222,G222)</f>
        <v>1</v>
      </c>
      <c r="H223">
        <f t="shared" si="15"/>
        <v>1.2659243414153567</v>
      </c>
      <c r="I223">
        <f>(1-alpha_c/2)*(F223/G223)</f>
        <v>1.1393319072738211</v>
      </c>
      <c r="J223" s="4">
        <f t="shared" si="18"/>
        <v>-1.2659243414153567</v>
      </c>
      <c r="K223">
        <f t="shared" si="19"/>
        <v>1.2659243414153567</v>
      </c>
    </row>
    <row r="224" spans="1:11" x14ac:dyDescent="0.2">
      <c r="A224" t="str">
        <v>d_223</v>
      </c>
      <c r="B224" s="2">
        <v>40794</v>
      </c>
      <c r="C224" s="4">
        <v>0</v>
      </c>
      <c r="D224">
        <f t="shared" si="16"/>
        <v>1</v>
      </c>
      <c r="E224">
        <f t="shared" si="17"/>
        <v>36</v>
      </c>
      <c r="F224">
        <f>IF(C224&gt;0,alpha_c*D224+(1-alpha_c)*F223,F223)</f>
        <v>1.2659243414153567</v>
      </c>
      <c r="G224">
        <f>IF(C224&gt;0, alpha_c*E224+(1-alpha_c)*G223,G223)</f>
        <v>1</v>
      </c>
      <c r="H224">
        <f t="shared" si="15"/>
        <v>1.2659243414153567</v>
      </c>
      <c r="I224">
        <f>(1-alpha_c/2)*(F224/G224)</f>
        <v>1.1393319072738211</v>
      </c>
      <c r="J224" s="4">
        <f t="shared" si="18"/>
        <v>-1.2659243414153567</v>
      </c>
      <c r="K224">
        <f t="shared" si="19"/>
        <v>1.2659243414153567</v>
      </c>
    </row>
    <row r="225" spans="1:11" x14ac:dyDescent="0.2">
      <c r="A225" t="str">
        <v>d_224</v>
      </c>
      <c r="B225" s="2">
        <v>40795</v>
      </c>
      <c r="C225" s="4">
        <v>0</v>
      </c>
      <c r="D225">
        <f t="shared" si="16"/>
        <v>1</v>
      </c>
      <c r="E225">
        <f t="shared" si="17"/>
        <v>37</v>
      </c>
      <c r="F225">
        <f>IF(C225&gt;0,alpha_c*D225+(1-alpha_c)*F224,F224)</f>
        <v>1.2659243414153567</v>
      </c>
      <c r="G225">
        <f>IF(C225&gt;0, alpha_c*E225+(1-alpha_c)*G224,G224)</f>
        <v>1</v>
      </c>
      <c r="H225">
        <f t="shared" si="15"/>
        <v>1.2659243414153567</v>
      </c>
      <c r="I225">
        <f>(1-alpha_c/2)*(F225/G225)</f>
        <v>1.1393319072738211</v>
      </c>
      <c r="J225" s="4">
        <f t="shared" si="18"/>
        <v>-1.2659243414153567</v>
      </c>
      <c r="K225">
        <f t="shared" si="19"/>
        <v>1.2659243414153567</v>
      </c>
    </row>
    <row r="226" spans="1:11" x14ac:dyDescent="0.2">
      <c r="A226" t="str">
        <v>d_225</v>
      </c>
      <c r="B226" s="2">
        <v>40796</v>
      </c>
      <c r="C226" s="4">
        <v>0</v>
      </c>
      <c r="D226">
        <f t="shared" si="16"/>
        <v>1</v>
      </c>
      <c r="E226">
        <f t="shared" si="17"/>
        <v>38</v>
      </c>
      <c r="F226">
        <f>IF(C226&gt;0,alpha_c*D226+(1-alpha_c)*F225,F225)</f>
        <v>1.2659243414153567</v>
      </c>
      <c r="G226">
        <f>IF(C226&gt;0, alpha_c*E226+(1-alpha_c)*G225,G225)</f>
        <v>1</v>
      </c>
      <c r="H226">
        <f t="shared" si="15"/>
        <v>1.2659243414153567</v>
      </c>
      <c r="I226">
        <f>(1-alpha_c/2)*(F226/G226)</f>
        <v>1.1393319072738211</v>
      </c>
      <c r="J226" s="4">
        <f t="shared" si="18"/>
        <v>-1.2659243414153567</v>
      </c>
      <c r="K226">
        <f t="shared" si="19"/>
        <v>1.2659243414153567</v>
      </c>
    </row>
    <row r="227" spans="1:11" x14ac:dyDescent="0.2">
      <c r="A227" t="str">
        <v>d_226</v>
      </c>
      <c r="B227" s="2">
        <v>40797</v>
      </c>
      <c r="C227" s="4">
        <v>0</v>
      </c>
      <c r="D227">
        <f t="shared" si="16"/>
        <v>1</v>
      </c>
      <c r="E227">
        <f t="shared" si="17"/>
        <v>39</v>
      </c>
      <c r="F227">
        <f>IF(C227&gt;0,alpha_c*D227+(1-alpha_c)*F226,F226)</f>
        <v>1.2659243414153567</v>
      </c>
      <c r="G227">
        <f>IF(C227&gt;0, alpha_c*E227+(1-alpha_c)*G226,G226)</f>
        <v>1</v>
      </c>
      <c r="H227">
        <f t="shared" si="15"/>
        <v>1.2659243414153567</v>
      </c>
      <c r="I227">
        <f>(1-alpha_c/2)*(F227/G227)</f>
        <v>1.1393319072738211</v>
      </c>
      <c r="J227" s="4">
        <f t="shared" si="18"/>
        <v>-1.2659243414153567</v>
      </c>
      <c r="K227">
        <f t="shared" si="19"/>
        <v>1.2659243414153567</v>
      </c>
    </row>
    <row r="228" spans="1:11" x14ac:dyDescent="0.2">
      <c r="A228" t="str">
        <v>d_227</v>
      </c>
      <c r="B228" s="2">
        <v>40798</v>
      </c>
      <c r="C228" s="4">
        <v>0</v>
      </c>
      <c r="D228">
        <f t="shared" si="16"/>
        <v>1</v>
      </c>
      <c r="E228">
        <f t="shared" si="17"/>
        <v>40</v>
      </c>
      <c r="F228">
        <f>IF(C228&gt;0,alpha_c*D228+(1-alpha_c)*F227,F227)</f>
        <v>1.2659243414153567</v>
      </c>
      <c r="G228">
        <f>IF(C228&gt;0, alpha_c*E228+(1-alpha_c)*G227,G227)</f>
        <v>1</v>
      </c>
      <c r="H228">
        <f t="shared" si="15"/>
        <v>1.2659243414153567</v>
      </c>
      <c r="I228">
        <f>(1-alpha_c/2)*(F228/G228)</f>
        <v>1.1393319072738211</v>
      </c>
      <c r="J228" s="4">
        <f t="shared" si="18"/>
        <v>-1.2659243414153567</v>
      </c>
      <c r="K228">
        <f t="shared" si="19"/>
        <v>1.2659243414153567</v>
      </c>
    </row>
    <row r="229" spans="1:11" x14ac:dyDescent="0.2">
      <c r="A229" t="str">
        <v>d_228</v>
      </c>
      <c r="B229" s="2">
        <v>40799</v>
      </c>
      <c r="C229" s="4">
        <v>0</v>
      </c>
      <c r="D229">
        <f t="shared" si="16"/>
        <v>1</v>
      </c>
      <c r="E229">
        <f t="shared" si="17"/>
        <v>41</v>
      </c>
      <c r="F229">
        <f>IF(C229&gt;0,alpha_c*D229+(1-alpha_c)*F228,F228)</f>
        <v>1.2659243414153567</v>
      </c>
      <c r="G229">
        <f>IF(C229&gt;0, alpha_c*E229+(1-alpha_c)*G228,G228)</f>
        <v>1</v>
      </c>
      <c r="H229">
        <f t="shared" si="15"/>
        <v>1.2659243414153567</v>
      </c>
      <c r="I229">
        <f>(1-alpha_c/2)*(F229/G229)</f>
        <v>1.1393319072738211</v>
      </c>
      <c r="J229" s="4">
        <f t="shared" si="18"/>
        <v>-1.2659243414153567</v>
      </c>
      <c r="K229">
        <f t="shared" si="19"/>
        <v>1.2659243414153567</v>
      </c>
    </row>
    <row r="230" spans="1:11" x14ac:dyDescent="0.2">
      <c r="A230" t="str">
        <v>d_229</v>
      </c>
      <c r="B230" s="2">
        <v>40800</v>
      </c>
      <c r="C230" s="4">
        <v>0</v>
      </c>
      <c r="D230">
        <f t="shared" si="16"/>
        <v>1</v>
      </c>
      <c r="E230">
        <f t="shared" si="17"/>
        <v>42</v>
      </c>
      <c r="F230">
        <f>IF(C230&gt;0,alpha_c*D230+(1-alpha_c)*F229,F229)</f>
        <v>1.2659243414153567</v>
      </c>
      <c r="G230">
        <f>IF(C230&gt;0, alpha_c*E230+(1-alpha_c)*G229,G229)</f>
        <v>1</v>
      </c>
      <c r="H230">
        <f t="shared" si="15"/>
        <v>1.2659243414153567</v>
      </c>
      <c r="I230">
        <f>(1-alpha_c/2)*(F230/G230)</f>
        <v>1.1393319072738211</v>
      </c>
      <c r="J230" s="4">
        <f t="shared" si="18"/>
        <v>-1.2659243414153567</v>
      </c>
      <c r="K230">
        <f t="shared" si="19"/>
        <v>1.2659243414153567</v>
      </c>
    </row>
    <row r="231" spans="1:11" x14ac:dyDescent="0.2">
      <c r="A231" t="str">
        <v>d_230</v>
      </c>
      <c r="B231" s="2">
        <v>40801</v>
      </c>
      <c r="C231" s="4">
        <v>0</v>
      </c>
      <c r="D231">
        <f t="shared" si="16"/>
        <v>1</v>
      </c>
      <c r="E231">
        <f t="shared" si="17"/>
        <v>43</v>
      </c>
      <c r="F231">
        <f>IF(C231&gt;0,alpha_c*D231+(1-alpha_c)*F230,F230)</f>
        <v>1.2659243414153567</v>
      </c>
      <c r="G231">
        <f>IF(C231&gt;0, alpha_c*E231+(1-alpha_c)*G230,G230)</f>
        <v>1</v>
      </c>
      <c r="H231">
        <f t="shared" si="15"/>
        <v>1.2659243414153567</v>
      </c>
      <c r="I231">
        <f>(1-alpha_c/2)*(F231/G231)</f>
        <v>1.1393319072738211</v>
      </c>
      <c r="J231" s="4">
        <f t="shared" si="18"/>
        <v>-1.2659243414153567</v>
      </c>
      <c r="K231">
        <f t="shared" si="19"/>
        <v>1.2659243414153567</v>
      </c>
    </row>
    <row r="232" spans="1:11" x14ac:dyDescent="0.2">
      <c r="A232" t="str">
        <v>d_231</v>
      </c>
      <c r="B232" s="2">
        <v>40802</v>
      </c>
      <c r="C232" s="4">
        <v>0</v>
      </c>
      <c r="D232">
        <f t="shared" si="16"/>
        <v>1</v>
      </c>
      <c r="E232">
        <f t="shared" si="17"/>
        <v>44</v>
      </c>
      <c r="F232">
        <f>IF(C232&gt;0,alpha_c*D232+(1-alpha_c)*F231,F231)</f>
        <v>1.2659243414153567</v>
      </c>
      <c r="G232">
        <f>IF(C232&gt;0, alpha_c*E232+(1-alpha_c)*G231,G231)</f>
        <v>1</v>
      </c>
      <c r="H232">
        <f t="shared" si="15"/>
        <v>1.2659243414153567</v>
      </c>
      <c r="I232">
        <f>(1-alpha_c/2)*(F232/G232)</f>
        <v>1.1393319072738211</v>
      </c>
      <c r="J232" s="4">
        <f t="shared" si="18"/>
        <v>-1.2659243414153567</v>
      </c>
      <c r="K232">
        <f t="shared" si="19"/>
        <v>1.2659243414153567</v>
      </c>
    </row>
    <row r="233" spans="1:11" x14ac:dyDescent="0.2">
      <c r="A233" t="str">
        <v>d_232</v>
      </c>
      <c r="B233" s="2">
        <v>40803</v>
      </c>
      <c r="C233" s="4">
        <v>0</v>
      </c>
      <c r="D233">
        <f t="shared" si="16"/>
        <v>1</v>
      </c>
      <c r="E233">
        <f t="shared" si="17"/>
        <v>45</v>
      </c>
      <c r="F233">
        <f>IF(C233&gt;0,alpha_c*D233+(1-alpha_c)*F232,F232)</f>
        <v>1.2659243414153567</v>
      </c>
      <c r="G233">
        <f>IF(C233&gt;0, alpha_c*E233+(1-alpha_c)*G232,G232)</f>
        <v>1</v>
      </c>
      <c r="H233">
        <f t="shared" si="15"/>
        <v>1.2659243414153567</v>
      </c>
      <c r="I233">
        <f>(1-alpha_c/2)*(F233/G233)</f>
        <v>1.1393319072738211</v>
      </c>
      <c r="J233" s="4">
        <f t="shared" si="18"/>
        <v>-1.2659243414153567</v>
      </c>
      <c r="K233">
        <f t="shared" si="19"/>
        <v>1.2659243414153567</v>
      </c>
    </row>
    <row r="234" spans="1:11" x14ac:dyDescent="0.2">
      <c r="A234" t="str">
        <v>d_233</v>
      </c>
      <c r="B234" s="2">
        <v>40804</v>
      </c>
      <c r="C234" s="4">
        <v>0</v>
      </c>
      <c r="D234">
        <f t="shared" si="16"/>
        <v>1</v>
      </c>
      <c r="E234">
        <f t="shared" si="17"/>
        <v>46</v>
      </c>
      <c r="F234">
        <f>IF(C234&gt;0,alpha_c*D234+(1-alpha_c)*F233,F233)</f>
        <v>1.2659243414153567</v>
      </c>
      <c r="G234">
        <f>IF(C234&gt;0, alpha_c*E234+(1-alpha_c)*G233,G233)</f>
        <v>1</v>
      </c>
      <c r="H234">
        <f t="shared" si="15"/>
        <v>1.2659243414153567</v>
      </c>
      <c r="I234">
        <f>(1-alpha_c/2)*(F234/G234)</f>
        <v>1.1393319072738211</v>
      </c>
      <c r="J234" s="4">
        <f t="shared" si="18"/>
        <v>-1.2659243414153567</v>
      </c>
      <c r="K234">
        <f t="shared" si="19"/>
        <v>1.2659243414153567</v>
      </c>
    </row>
    <row r="235" spans="1:11" x14ac:dyDescent="0.2">
      <c r="A235" t="str">
        <v>d_234</v>
      </c>
      <c r="B235" s="2">
        <v>40805</v>
      </c>
      <c r="C235" s="4">
        <v>0</v>
      </c>
      <c r="D235">
        <f t="shared" si="16"/>
        <v>1</v>
      </c>
      <c r="E235">
        <f t="shared" si="17"/>
        <v>47</v>
      </c>
      <c r="F235">
        <f>IF(C235&gt;0,alpha_c*D235+(1-alpha_c)*F234,F234)</f>
        <v>1.2659243414153567</v>
      </c>
      <c r="G235">
        <f>IF(C235&gt;0, alpha_c*E235+(1-alpha_c)*G234,G234)</f>
        <v>1</v>
      </c>
      <c r="H235">
        <f t="shared" si="15"/>
        <v>1.2659243414153567</v>
      </c>
      <c r="I235">
        <f>(1-alpha_c/2)*(F235/G235)</f>
        <v>1.1393319072738211</v>
      </c>
      <c r="J235" s="4">
        <f t="shared" si="18"/>
        <v>-1.2659243414153567</v>
      </c>
      <c r="K235">
        <f t="shared" si="19"/>
        <v>1.2659243414153567</v>
      </c>
    </row>
    <row r="236" spans="1:11" x14ac:dyDescent="0.2">
      <c r="A236" t="str">
        <v>d_235</v>
      </c>
      <c r="B236" s="2">
        <v>40806</v>
      </c>
      <c r="C236" s="4">
        <v>0</v>
      </c>
      <c r="D236">
        <f t="shared" si="16"/>
        <v>1</v>
      </c>
      <c r="E236">
        <f t="shared" si="17"/>
        <v>48</v>
      </c>
      <c r="F236">
        <f>IF(C236&gt;0,alpha_c*D236+(1-alpha_c)*F235,F235)</f>
        <v>1.2659243414153567</v>
      </c>
      <c r="G236">
        <f>IF(C236&gt;0, alpha_c*E236+(1-alpha_c)*G235,G235)</f>
        <v>1</v>
      </c>
      <c r="H236">
        <f t="shared" si="15"/>
        <v>1.2659243414153567</v>
      </c>
      <c r="I236">
        <f>(1-alpha_c/2)*(F236/G236)</f>
        <v>1.1393319072738211</v>
      </c>
      <c r="J236" s="4">
        <f t="shared" si="18"/>
        <v>-1.2659243414153567</v>
      </c>
      <c r="K236">
        <f t="shared" si="19"/>
        <v>1.2659243414153567</v>
      </c>
    </row>
    <row r="237" spans="1:11" x14ac:dyDescent="0.2">
      <c r="A237" t="str">
        <v>d_236</v>
      </c>
      <c r="B237" s="2">
        <v>40807</v>
      </c>
      <c r="C237" s="4">
        <v>0</v>
      </c>
      <c r="D237">
        <f t="shared" si="16"/>
        <v>1</v>
      </c>
      <c r="E237">
        <f t="shared" si="17"/>
        <v>49</v>
      </c>
      <c r="F237">
        <f>IF(C237&gt;0,alpha_c*D237+(1-alpha_c)*F236,F236)</f>
        <v>1.2659243414153567</v>
      </c>
      <c r="G237">
        <f>IF(C237&gt;0, alpha_c*E237+(1-alpha_c)*G236,G236)</f>
        <v>1</v>
      </c>
      <c r="H237">
        <f t="shared" si="15"/>
        <v>1.2659243414153567</v>
      </c>
      <c r="I237">
        <f>(1-alpha_c/2)*(F237/G237)</f>
        <v>1.1393319072738211</v>
      </c>
      <c r="J237" s="4">
        <f t="shared" si="18"/>
        <v>-1.2659243414153567</v>
      </c>
      <c r="K237">
        <f t="shared" si="19"/>
        <v>1.2659243414153567</v>
      </c>
    </row>
    <row r="238" spans="1:11" x14ac:dyDescent="0.2">
      <c r="A238" t="str">
        <v>d_237</v>
      </c>
      <c r="B238" s="2">
        <v>40808</v>
      </c>
      <c r="C238" s="4">
        <v>0</v>
      </c>
      <c r="D238">
        <f t="shared" si="16"/>
        <v>1</v>
      </c>
      <c r="E238">
        <f t="shared" si="17"/>
        <v>50</v>
      </c>
      <c r="F238">
        <f>IF(C238&gt;0,alpha_c*D238+(1-alpha_c)*F237,F237)</f>
        <v>1.2659243414153567</v>
      </c>
      <c r="G238">
        <f>IF(C238&gt;0, alpha_c*E238+(1-alpha_c)*G237,G237)</f>
        <v>1</v>
      </c>
      <c r="H238">
        <f t="shared" si="15"/>
        <v>1.2659243414153567</v>
      </c>
      <c r="I238">
        <f>(1-alpha_c/2)*(F238/G238)</f>
        <v>1.1393319072738211</v>
      </c>
      <c r="J238" s="4">
        <f t="shared" si="18"/>
        <v>-1.2659243414153567</v>
      </c>
      <c r="K238">
        <f t="shared" si="19"/>
        <v>1.2659243414153567</v>
      </c>
    </row>
    <row r="239" spans="1:11" x14ac:dyDescent="0.2">
      <c r="A239" t="str">
        <v>d_238</v>
      </c>
      <c r="B239" s="2">
        <v>40809</v>
      </c>
      <c r="C239" s="4">
        <v>0</v>
      </c>
      <c r="D239">
        <f t="shared" si="16"/>
        <v>1</v>
      </c>
      <c r="E239">
        <f t="shared" si="17"/>
        <v>51</v>
      </c>
      <c r="F239">
        <f>IF(C239&gt;0,alpha_c*D239+(1-alpha_c)*F238,F238)</f>
        <v>1.2659243414153567</v>
      </c>
      <c r="G239">
        <f>IF(C239&gt;0, alpha_c*E239+(1-alpha_c)*G238,G238)</f>
        <v>1</v>
      </c>
      <c r="H239">
        <f t="shared" si="15"/>
        <v>1.2659243414153567</v>
      </c>
      <c r="I239">
        <f>(1-alpha_c/2)*(F239/G239)</f>
        <v>1.1393319072738211</v>
      </c>
      <c r="J239" s="4">
        <f t="shared" si="18"/>
        <v>-1.2659243414153567</v>
      </c>
      <c r="K239">
        <f t="shared" si="19"/>
        <v>1.2659243414153567</v>
      </c>
    </row>
    <row r="240" spans="1:11" x14ac:dyDescent="0.2">
      <c r="A240" t="str">
        <v>d_239</v>
      </c>
      <c r="B240" s="2">
        <v>40810</v>
      </c>
      <c r="C240" s="4">
        <v>0</v>
      </c>
      <c r="D240">
        <f t="shared" si="16"/>
        <v>1</v>
      </c>
      <c r="E240">
        <f t="shared" si="17"/>
        <v>52</v>
      </c>
      <c r="F240">
        <f>IF(C240&gt;0,alpha_c*D240+(1-alpha_c)*F239,F239)</f>
        <v>1.2659243414153567</v>
      </c>
      <c r="G240">
        <f>IF(C240&gt;0, alpha_c*E240+(1-alpha_c)*G239,G239)</f>
        <v>1</v>
      </c>
      <c r="H240">
        <f t="shared" si="15"/>
        <v>1.2659243414153567</v>
      </c>
      <c r="I240">
        <f>(1-alpha_c/2)*(F240/G240)</f>
        <v>1.1393319072738211</v>
      </c>
      <c r="J240" s="4">
        <f t="shared" si="18"/>
        <v>-1.2659243414153567</v>
      </c>
      <c r="K240">
        <f t="shared" si="19"/>
        <v>1.2659243414153567</v>
      </c>
    </row>
    <row r="241" spans="1:11" x14ac:dyDescent="0.2">
      <c r="A241" t="str">
        <v>d_240</v>
      </c>
      <c r="B241" s="2">
        <v>40811</v>
      </c>
      <c r="C241" s="4">
        <v>0</v>
      </c>
      <c r="D241">
        <f t="shared" si="16"/>
        <v>1</v>
      </c>
      <c r="E241">
        <f t="shared" si="17"/>
        <v>53</v>
      </c>
      <c r="F241">
        <f>IF(C241&gt;0,alpha_c*D241+(1-alpha_c)*F240,F240)</f>
        <v>1.2659243414153567</v>
      </c>
      <c r="G241">
        <f>IF(C241&gt;0, alpha_c*E241+(1-alpha_c)*G240,G240)</f>
        <v>1</v>
      </c>
      <c r="H241">
        <f t="shared" si="15"/>
        <v>1.2659243414153567</v>
      </c>
      <c r="I241">
        <f>(1-alpha_c/2)*(F241/G241)</f>
        <v>1.1393319072738211</v>
      </c>
      <c r="J241" s="4">
        <f t="shared" si="18"/>
        <v>-1.2659243414153567</v>
      </c>
      <c r="K241">
        <f t="shared" si="19"/>
        <v>1.2659243414153567</v>
      </c>
    </row>
    <row r="242" spans="1:11" x14ac:dyDescent="0.2">
      <c r="A242" t="str">
        <v>d_241</v>
      </c>
      <c r="B242" s="2">
        <v>40812</v>
      </c>
      <c r="C242" s="4">
        <v>0</v>
      </c>
      <c r="D242">
        <f t="shared" si="16"/>
        <v>1</v>
      </c>
      <c r="E242">
        <f t="shared" si="17"/>
        <v>54</v>
      </c>
      <c r="F242">
        <f>IF(C242&gt;0,alpha_c*D242+(1-alpha_c)*F241,F241)</f>
        <v>1.2659243414153567</v>
      </c>
      <c r="G242">
        <f>IF(C242&gt;0, alpha_c*E242+(1-alpha_c)*G241,G241)</f>
        <v>1</v>
      </c>
      <c r="H242">
        <f t="shared" si="15"/>
        <v>1.2659243414153567</v>
      </c>
      <c r="I242">
        <f>(1-alpha_c/2)*(F242/G242)</f>
        <v>1.1393319072738211</v>
      </c>
      <c r="J242" s="4">
        <f t="shared" si="18"/>
        <v>-1.2659243414153567</v>
      </c>
      <c r="K242">
        <f t="shared" si="19"/>
        <v>1.2659243414153567</v>
      </c>
    </row>
    <row r="243" spans="1:11" x14ac:dyDescent="0.2">
      <c r="A243" t="str">
        <v>d_242</v>
      </c>
      <c r="B243" s="2">
        <v>40813</v>
      </c>
      <c r="C243" s="4">
        <v>0</v>
      </c>
      <c r="D243">
        <f t="shared" si="16"/>
        <v>1</v>
      </c>
      <c r="E243">
        <f t="shared" si="17"/>
        <v>55</v>
      </c>
      <c r="F243">
        <f>IF(C243&gt;0,alpha_c*D243+(1-alpha_c)*F242,F242)</f>
        <v>1.2659243414153567</v>
      </c>
      <c r="G243">
        <f>IF(C243&gt;0, alpha_c*E243+(1-alpha_c)*G242,G242)</f>
        <v>1</v>
      </c>
      <c r="H243">
        <f t="shared" si="15"/>
        <v>1.2659243414153567</v>
      </c>
      <c r="I243">
        <f>(1-alpha_c/2)*(F243/G243)</f>
        <v>1.1393319072738211</v>
      </c>
      <c r="J243" s="4">
        <f t="shared" si="18"/>
        <v>-1.2659243414153567</v>
      </c>
      <c r="K243">
        <f t="shared" si="19"/>
        <v>1.2659243414153567</v>
      </c>
    </row>
    <row r="244" spans="1:11" x14ac:dyDescent="0.2">
      <c r="A244" t="str">
        <v>d_243</v>
      </c>
      <c r="B244" s="2">
        <v>40814</v>
      </c>
      <c r="C244" s="4">
        <v>0</v>
      </c>
      <c r="D244">
        <f t="shared" si="16"/>
        <v>1</v>
      </c>
      <c r="E244">
        <f t="shared" si="17"/>
        <v>56</v>
      </c>
      <c r="F244">
        <f>IF(C244&gt;0,alpha_c*D244+(1-alpha_c)*F243,F243)</f>
        <v>1.2659243414153567</v>
      </c>
      <c r="G244">
        <f>IF(C244&gt;0, alpha_c*E244+(1-alpha_c)*G243,G243)</f>
        <v>1</v>
      </c>
      <c r="H244">
        <f t="shared" si="15"/>
        <v>1.2659243414153567</v>
      </c>
      <c r="I244">
        <f>(1-alpha_c/2)*(F244/G244)</f>
        <v>1.1393319072738211</v>
      </c>
      <c r="J244" s="4">
        <f t="shared" si="18"/>
        <v>-1.2659243414153567</v>
      </c>
      <c r="K244">
        <f t="shared" si="19"/>
        <v>1.2659243414153567</v>
      </c>
    </row>
    <row r="245" spans="1:11" x14ac:dyDescent="0.2">
      <c r="A245" t="str">
        <v>d_244</v>
      </c>
      <c r="B245" s="2">
        <v>40815</v>
      </c>
      <c r="C245" s="4">
        <v>0</v>
      </c>
      <c r="D245">
        <f t="shared" si="16"/>
        <v>1</v>
      </c>
      <c r="E245">
        <f t="shared" si="17"/>
        <v>57</v>
      </c>
      <c r="F245">
        <f>IF(C245&gt;0,alpha_c*D245+(1-alpha_c)*F244,F244)</f>
        <v>1.2659243414153567</v>
      </c>
      <c r="G245">
        <f>IF(C245&gt;0, alpha_c*E245+(1-alpha_c)*G244,G244)</f>
        <v>1</v>
      </c>
      <c r="H245">
        <f t="shared" si="15"/>
        <v>1.2659243414153567</v>
      </c>
      <c r="I245">
        <f>(1-alpha_c/2)*(F245/G245)</f>
        <v>1.1393319072738211</v>
      </c>
      <c r="J245" s="4">
        <f t="shared" si="18"/>
        <v>-1.2659243414153567</v>
      </c>
      <c r="K245">
        <f t="shared" si="19"/>
        <v>1.2659243414153567</v>
      </c>
    </row>
    <row r="246" spans="1:11" x14ac:dyDescent="0.2">
      <c r="A246" t="str">
        <v>d_245</v>
      </c>
      <c r="B246" s="2">
        <v>40816</v>
      </c>
      <c r="C246" s="4">
        <v>0</v>
      </c>
      <c r="D246">
        <f t="shared" si="16"/>
        <v>1</v>
      </c>
      <c r="E246">
        <f t="shared" si="17"/>
        <v>58</v>
      </c>
      <c r="F246">
        <f>IF(C246&gt;0,alpha_c*D246+(1-alpha_c)*F245,F245)</f>
        <v>1.2659243414153567</v>
      </c>
      <c r="G246">
        <f>IF(C246&gt;0, alpha_c*E246+(1-alpha_c)*G245,G245)</f>
        <v>1</v>
      </c>
      <c r="H246">
        <f t="shared" si="15"/>
        <v>1.2659243414153567</v>
      </c>
      <c r="I246">
        <f>(1-alpha_c/2)*(F246/G246)</f>
        <v>1.1393319072738211</v>
      </c>
      <c r="J246" s="4">
        <f t="shared" si="18"/>
        <v>-1.2659243414153567</v>
      </c>
      <c r="K246">
        <f t="shared" si="19"/>
        <v>1.2659243414153567</v>
      </c>
    </row>
    <row r="247" spans="1:11" x14ac:dyDescent="0.2">
      <c r="A247" t="str">
        <v>d_246</v>
      </c>
      <c r="B247" s="2">
        <v>40817</v>
      </c>
      <c r="C247" s="4">
        <v>0</v>
      </c>
      <c r="D247">
        <f t="shared" si="16"/>
        <v>1</v>
      </c>
      <c r="E247">
        <f t="shared" si="17"/>
        <v>59</v>
      </c>
      <c r="F247">
        <f>IF(C247&gt;0,alpha_c*D247+(1-alpha_c)*F246,F246)</f>
        <v>1.2659243414153567</v>
      </c>
      <c r="G247">
        <f>IF(C247&gt;0, alpha_c*E247+(1-alpha_c)*G246,G246)</f>
        <v>1</v>
      </c>
      <c r="H247">
        <f t="shared" si="15"/>
        <v>1.2659243414153567</v>
      </c>
      <c r="I247">
        <f>(1-alpha_c/2)*(F247/G247)</f>
        <v>1.1393319072738211</v>
      </c>
      <c r="J247" s="4">
        <f t="shared" si="18"/>
        <v>-1.2659243414153567</v>
      </c>
      <c r="K247">
        <f t="shared" si="19"/>
        <v>1.2659243414153567</v>
      </c>
    </row>
    <row r="248" spans="1:11" x14ac:dyDescent="0.2">
      <c r="A248" t="str">
        <v>d_247</v>
      </c>
      <c r="B248" s="2">
        <v>40818</v>
      </c>
      <c r="C248" s="4">
        <v>0</v>
      </c>
      <c r="D248">
        <f t="shared" si="16"/>
        <v>1</v>
      </c>
      <c r="E248">
        <f t="shared" si="17"/>
        <v>60</v>
      </c>
      <c r="F248">
        <f>IF(C248&gt;0,alpha_c*D248+(1-alpha_c)*F247,F247)</f>
        <v>1.2659243414153567</v>
      </c>
      <c r="G248">
        <f>IF(C248&gt;0, alpha_c*E248+(1-alpha_c)*G247,G247)</f>
        <v>1</v>
      </c>
      <c r="H248">
        <f t="shared" si="15"/>
        <v>1.2659243414153567</v>
      </c>
      <c r="I248">
        <f>(1-alpha_c/2)*(F248/G248)</f>
        <v>1.1393319072738211</v>
      </c>
      <c r="J248" s="4">
        <f t="shared" si="18"/>
        <v>-1.2659243414153567</v>
      </c>
      <c r="K248">
        <f t="shared" si="19"/>
        <v>1.2659243414153567</v>
      </c>
    </row>
    <row r="249" spans="1:11" x14ac:dyDescent="0.2">
      <c r="A249" t="str">
        <v>d_248</v>
      </c>
      <c r="B249" s="2">
        <v>40819</v>
      </c>
      <c r="C249" s="4">
        <v>0</v>
      </c>
      <c r="D249">
        <f t="shared" si="16"/>
        <v>1</v>
      </c>
      <c r="E249">
        <f t="shared" si="17"/>
        <v>61</v>
      </c>
      <c r="F249">
        <f>IF(C249&gt;0,alpha_c*D249+(1-alpha_c)*F248,F248)</f>
        <v>1.2659243414153567</v>
      </c>
      <c r="G249">
        <f>IF(C249&gt;0, alpha_c*E249+(1-alpha_c)*G248,G248)</f>
        <v>1</v>
      </c>
      <c r="H249">
        <f t="shared" si="15"/>
        <v>1.2659243414153567</v>
      </c>
      <c r="I249">
        <f>(1-alpha_c/2)*(F249/G249)</f>
        <v>1.1393319072738211</v>
      </c>
      <c r="J249" s="4">
        <f t="shared" si="18"/>
        <v>-1.2659243414153567</v>
      </c>
      <c r="K249">
        <f t="shared" si="19"/>
        <v>1.2659243414153567</v>
      </c>
    </row>
    <row r="250" spans="1:11" x14ac:dyDescent="0.2">
      <c r="A250" t="str">
        <v>d_249</v>
      </c>
      <c r="B250" s="2">
        <v>40820</v>
      </c>
      <c r="C250" s="4">
        <v>0</v>
      </c>
      <c r="D250">
        <f t="shared" si="16"/>
        <v>1</v>
      </c>
      <c r="E250">
        <f t="shared" si="17"/>
        <v>62</v>
      </c>
      <c r="F250">
        <f>IF(C250&gt;0,alpha_c*D250+(1-alpha_c)*F249,F249)</f>
        <v>1.2659243414153567</v>
      </c>
      <c r="G250">
        <f>IF(C250&gt;0, alpha_c*E250+(1-alpha_c)*G249,G249)</f>
        <v>1</v>
      </c>
      <c r="H250">
        <f t="shared" si="15"/>
        <v>1.2659243414153567</v>
      </c>
      <c r="I250">
        <f>(1-alpha_c/2)*(F250/G250)</f>
        <v>1.1393319072738211</v>
      </c>
      <c r="J250" s="4">
        <f t="shared" si="18"/>
        <v>-1.2659243414153567</v>
      </c>
      <c r="K250">
        <f t="shared" si="19"/>
        <v>1.2659243414153567</v>
      </c>
    </row>
    <row r="251" spans="1:11" x14ac:dyDescent="0.2">
      <c r="A251" t="str">
        <v>d_250</v>
      </c>
      <c r="B251" s="2">
        <v>40821</v>
      </c>
      <c r="C251" s="4">
        <v>0</v>
      </c>
      <c r="D251">
        <f t="shared" si="16"/>
        <v>1</v>
      </c>
      <c r="E251">
        <f t="shared" si="17"/>
        <v>63</v>
      </c>
      <c r="F251">
        <f>IF(C251&gt;0,alpha_c*D251+(1-alpha_c)*F250,F250)</f>
        <v>1.2659243414153567</v>
      </c>
      <c r="G251">
        <f>IF(C251&gt;0, alpha_c*E251+(1-alpha_c)*G250,G250)</f>
        <v>1</v>
      </c>
      <c r="H251">
        <f t="shared" si="15"/>
        <v>1.2659243414153567</v>
      </c>
      <c r="I251">
        <f>(1-alpha_c/2)*(F251/G251)</f>
        <v>1.1393319072738211</v>
      </c>
      <c r="J251" s="4">
        <f t="shared" si="18"/>
        <v>-1.2659243414153567</v>
      </c>
      <c r="K251">
        <f t="shared" si="19"/>
        <v>1.2659243414153567</v>
      </c>
    </row>
    <row r="252" spans="1:11" x14ac:dyDescent="0.2">
      <c r="A252" t="str">
        <v>d_251</v>
      </c>
      <c r="B252" s="2">
        <v>40822</v>
      </c>
      <c r="C252" s="4">
        <v>0</v>
      </c>
      <c r="D252">
        <f t="shared" si="16"/>
        <v>1</v>
      </c>
      <c r="E252">
        <f t="shared" si="17"/>
        <v>64</v>
      </c>
      <c r="F252">
        <f>IF(C252&gt;0,alpha_c*D252+(1-alpha_c)*F251,F251)</f>
        <v>1.2659243414153567</v>
      </c>
      <c r="G252">
        <f>IF(C252&gt;0, alpha_c*E252+(1-alpha_c)*G251,G251)</f>
        <v>1</v>
      </c>
      <c r="H252">
        <f t="shared" si="15"/>
        <v>1.2659243414153567</v>
      </c>
      <c r="I252">
        <f>(1-alpha_c/2)*(F252/G252)</f>
        <v>1.1393319072738211</v>
      </c>
      <c r="J252" s="4">
        <f t="shared" si="18"/>
        <v>-1.2659243414153567</v>
      </c>
      <c r="K252">
        <f t="shared" si="19"/>
        <v>1.2659243414153567</v>
      </c>
    </row>
    <row r="253" spans="1:11" x14ac:dyDescent="0.2">
      <c r="A253" t="str">
        <v>d_252</v>
      </c>
      <c r="B253" s="2">
        <v>40823</v>
      </c>
      <c r="C253" s="4">
        <v>0</v>
      </c>
      <c r="D253">
        <f t="shared" si="16"/>
        <v>1</v>
      </c>
      <c r="E253">
        <f t="shared" si="17"/>
        <v>65</v>
      </c>
      <c r="F253">
        <f>IF(C253&gt;0,alpha_c*D253+(1-alpha_c)*F252,F252)</f>
        <v>1.2659243414153567</v>
      </c>
      <c r="G253">
        <f>IF(C253&gt;0, alpha_c*E253+(1-alpha_c)*G252,G252)</f>
        <v>1</v>
      </c>
      <c r="H253">
        <f t="shared" si="15"/>
        <v>1.2659243414153567</v>
      </c>
      <c r="I253">
        <f>(1-alpha_c/2)*(F253/G253)</f>
        <v>1.1393319072738211</v>
      </c>
      <c r="J253" s="4">
        <f t="shared" si="18"/>
        <v>-1.2659243414153567</v>
      </c>
      <c r="K253">
        <f t="shared" si="19"/>
        <v>1.2659243414153567</v>
      </c>
    </row>
    <row r="254" spans="1:11" x14ac:dyDescent="0.2">
      <c r="A254" t="str">
        <v>d_253</v>
      </c>
      <c r="B254" s="2">
        <v>40824</v>
      </c>
      <c r="C254" s="4">
        <v>0</v>
      </c>
      <c r="D254">
        <f t="shared" si="16"/>
        <v>1</v>
      </c>
      <c r="E254">
        <f t="shared" si="17"/>
        <v>66</v>
      </c>
      <c r="F254">
        <f>IF(C254&gt;0,alpha_c*D254+(1-alpha_c)*F253,F253)</f>
        <v>1.2659243414153567</v>
      </c>
      <c r="G254">
        <f>IF(C254&gt;0, alpha_c*E254+(1-alpha_c)*G253,G253)</f>
        <v>1</v>
      </c>
      <c r="H254">
        <f t="shared" si="15"/>
        <v>1.2659243414153567</v>
      </c>
      <c r="I254">
        <f>(1-alpha_c/2)*(F254/G254)</f>
        <v>1.1393319072738211</v>
      </c>
      <c r="J254" s="4">
        <f t="shared" si="18"/>
        <v>-1.2659243414153567</v>
      </c>
      <c r="K254">
        <f t="shared" si="19"/>
        <v>1.2659243414153567</v>
      </c>
    </row>
    <row r="255" spans="1:11" x14ac:dyDescent="0.2">
      <c r="A255" t="str">
        <v>d_254</v>
      </c>
      <c r="B255" s="2">
        <v>40825</v>
      </c>
      <c r="C255" s="4">
        <v>0</v>
      </c>
      <c r="D255">
        <f t="shared" si="16"/>
        <v>1</v>
      </c>
      <c r="E255">
        <f t="shared" si="17"/>
        <v>67</v>
      </c>
      <c r="F255">
        <f>IF(C255&gt;0,alpha_c*D255+(1-alpha_c)*F254,F254)</f>
        <v>1.2659243414153567</v>
      </c>
      <c r="G255">
        <f>IF(C255&gt;0, alpha_c*E255+(1-alpha_c)*G254,G254)</f>
        <v>1</v>
      </c>
      <c r="H255">
        <f t="shared" si="15"/>
        <v>1.2659243414153567</v>
      </c>
      <c r="I255">
        <f>(1-alpha_c/2)*(F255/G255)</f>
        <v>1.1393319072738211</v>
      </c>
      <c r="J255" s="4">
        <f t="shared" si="18"/>
        <v>-1.2659243414153567</v>
      </c>
      <c r="K255">
        <f t="shared" si="19"/>
        <v>1.2659243414153567</v>
      </c>
    </row>
    <row r="256" spans="1:11" x14ac:dyDescent="0.2">
      <c r="A256" t="str">
        <v>d_255</v>
      </c>
      <c r="B256" s="2">
        <v>40826</v>
      </c>
      <c r="C256" s="4">
        <v>0</v>
      </c>
      <c r="D256">
        <f t="shared" si="16"/>
        <v>1</v>
      </c>
      <c r="E256">
        <f t="shared" si="17"/>
        <v>68</v>
      </c>
      <c r="F256">
        <f>IF(C256&gt;0,alpha_c*D256+(1-alpha_c)*F255,F255)</f>
        <v>1.2659243414153567</v>
      </c>
      <c r="G256">
        <f>IF(C256&gt;0, alpha_c*E256+(1-alpha_c)*G255,G255)</f>
        <v>1</v>
      </c>
      <c r="H256">
        <f t="shared" si="15"/>
        <v>1.2659243414153567</v>
      </c>
      <c r="I256">
        <f>(1-alpha_c/2)*(F256/G256)</f>
        <v>1.1393319072738211</v>
      </c>
      <c r="J256" s="4">
        <f t="shared" si="18"/>
        <v>-1.2659243414153567</v>
      </c>
      <c r="K256">
        <f t="shared" si="19"/>
        <v>1.2659243414153567</v>
      </c>
    </row>
    <row r="257" spans="1:11" x14ac:dyDescent="0.2">
      <c r="A257" t="str">
        <v>d_256</v>
      </c>
      <c r="B257" s="2">
        <v>40827</v>
      </c>
      <c r="C257" s="4">
        <v>0</v>
      </c>
      <c r="D257">
        <f t="shared" si="16"/>
        <v>1</v>
      </c>
      <c r="E257">
        <f t="shared" si="17"/>
        <v>69</v>
      </c>
      <c r="F257">
        <f>IF(C257&gt;0,alpha_c*D257+(1-alpha_c)*F256,F256)</f>
        <v>1.2659243414153567</v>
      </c>
      <c r="G257">
        <f>IF(C257&gt;0, alpha_c*E257+(1-alpha_c)*G256,G256)</f>
        <v>1</v>
      </c>
      <c r="H257">
        <f t="shared" si="15"/>
        <v>1.2659243414153567</v>
      </c>
      <c r="I257">
        <f>(1-alpha_c/2)*(F257/G257)</f>
        <v>1.1393319072738211</v>
      </c>
      <c r="J257" s="4">
        <f t="shared" si="18"/>
        <v>-1.2659243414153567</v>
      </c>
      <c r="K257">
        <f t="shared" si="19"/>
        <v>1.2659243414153567</v>
      </c>
    </row>
    <row r="258" spans="1:11" x14ac:dyDescent="0.2">
      <c r="A258" t="str">
        <v>d_257</v>
      </c>
      <c r="B258" s="2">
        <v>40828</v>
      </c>
      <c r="C258" s="4">
        <v>0</v>
      </c>
      <c r="D258">
        <f t="shared" si="16"/>
        <v>1</v>
      </c>
      <c r="E258">
        <f t="shared" si="17"/>
        <v>70</v>
      </c>
      <c r="F258">
        <f>IF(C258&gt;0,alpha_c*D258+(1-alpha_c)*F257,F257)</f>
        <v>1.2659243414153567</v>
      </c>
      <c r="G258">
        <f>IF(C258&gt;0, alpha_c*E258+(1-alpha_c)*G257,G257)</f>
        <v>1</v>
      </c>
      <c r="H258">
        <f t="shared" si="15"/>
        <v>1.2659243414153567</v>
      </c>
      <c r="I258">
        <f>(1-alpha_c/2)*(F258/G258)</f>
        <v>1.1393319072738211</v>
      </c>
      <c r="J258" s="4">
        <f t="shared" si="18"/>
        <v>-1.2659243414153567</v>
      </c>
      <c r="K258">
        <f t="shared" si="19"/>
        <v>1.2659243414153567</v>
      </c>
    </row>
    <row r="259" spans="1:11" x14ac:dyDescent="0.2">
      <c r="A259" t="str">
        <v>d_258</v>
      </c>
      <c r="B259" s="2">
        <v>40829</v>
      </c>
      <c r="C259" s="4">
        <v>0</v>
      </c>
      <c r="D259">
        <f t="shared" si="16"/>
        <v>1</v>
      </c>
      <c r="E259">
        <f t="shared" si="17"/>
        <v>71</v>
      </c>
      <c r="F259">
        <f>IF(C259&gt;0,alpha_c*D259+(1-alpha_c)*F258,F258)</f>
        <v>1.2659243414153567</v>
      </c>
      <c r="G259">
        <f>IF(C259&gt;0, alpha_c*E259+(1-alpha_c)*G258,G258)</f>
        <v>1</v>
      </c>
      <c r="H259">
        <f t="shared" ref="H259:H322" si="20">F259/G259</f>
        <v>1.2659243414153567</v>
      </c>
      <c r="I259">
        <f>(1-alpha_c/2)*(F259/G259)</f>
        <v>1.1393319072738211</v>
      </c>
      <c r="J259" s="4">
        <f t="shared" si="18"/>
        <v>-1.2659243414153567</v>
      </c>
      <c r="K259">
        <f t="shared" si="19"/>
        <v>1.2659243414153567</v>
      </c>
    </row>
    <row r="260" spans="1:11" x14ac:dyDescent="0.2">
      <c r="A260" t="str">
        <v>d_259</v>
      </c>
      <c r="B260" s="2">
        <v>40830</v>
      </c>
      <c r="C260" s="4">
        <v>0</v>
      </c>
      <c r="D260">
        <f t="shared" ref="D260:D323" si="21">IF(C260&gt;0,C260,D259)</f>
        <v>1</v>
      </c>
      <c r="E260">
        <f t="shared" ref="E260:E323" si="22">IF(C260&gt;0,1,E259+1)</f>
        <v>72</v>
      </c>
      <c r="F260">
        <f>IF(C260&gt;0,alpha_c*D260+(1-alpha_c)*F259,F259)</f>
        <v>1.2659243414153567</v>
      </c>
      <c r="G260">
        <f>IF(C260&gt;0, alpha_c*E260+(1-alpha_c)*G259,G259)</f>
        <v>1</v>
      </c>
      <c r="H260">
        <f t="shared" si="20"/>
        <v>1.2659243414153567</v>
      </c>
      <c r="I260">
        <f>(1-alpha_c/2)*(F260/G260)</f>
        <v>1.1393319072738211</v>
      </c>
      <c r="J260" s="4">
        <f t="shared" ref="J260:J323" si="23">C260-H260</f>
        <v>-1.2659243414153567</v>
      </c>
      <c r="K260">
        <f t="shared" ref="K260:K323" si="24">ABS(J260)</f>
        <v>1.2659243414153567</v>
      </c>
    </row>
    <row r="261" spans="1:11" x14ac:dyDescent="0.2">
      <c r="A261" t="str">
        <v>d_260</v>
      </c>
      <c r="B261" s="2">
        <v>40831</v>
      </c>
      <c r="C261" s="4">
        <v>0</v>
      </c>
      <c r="D261">
        <f t="shared" si="21"/>
        <v>1</v>
      </c>
      <c r="E261">
        <f t="shared" si="22"/>
        <v>73</v>
      </c>
      <c r="F261">
        <f>IF(C261&gt;0,alpha_c*D261+(1-alpha_c)*F260,F260)</f>
        <v>1.2659243414153567</v>
      </c>
      <c r="G261">
        <f>IF(C261&gt;0, alpha_c*E261+(1-alpha_c)*G260,G260)</f>
        <v>1</v>
      </c>
      <c r="H261">
        <f t="shared" si="20"/>
        <v>1.2659243414153567</v>
      </c>
      <c r="I261">
        <f>(1-alpha_c/2)*(F261/G261)</f>
        <v>1.1393319072738211</v>
      </c>
      <c r="J261" s="4">
        <f t="shared" si="23"/>
        <v>-1.2659243414153567</v>
      </c>
      <c r="K261">
        <f t="shared" si="24"/>
        <v>1.2659243414153567</v>
      </c>
    </row>
    <row r="262" spans="1:11" x14ac:dyDescent="0.2">
      <c r="A262" t="str">
        <v>d_261</v>
      </c>
      <c r="B262" s="2">
        <v>40832</v>
      </c>
      <c r="C262" s="4">
        <v>0</v>
      </c>
      <c r="D262">
        <f t="shared" si="21"/>
        <v>1</v>
      </c>
      <c r="E262">
        <f t="shared" si="22"/>
        <v>74</v>
      </c>
      <c r="F262">
        <f>IF(C262&gt;0,alpha_c*D262+(1-alpha_c)*F261,F261)</f>
        <v>1.2659243414153567</v>
      </c>
      <c r="G262">
        <f>IF(C262&gt;0, alpha_c*E262+(1-alpha_c)*G261,G261)</f>
        <v>1</v>
      </c>
      <c r="H262">
        <f t="shared" si="20"/>
        <v>1.2659243414153567</v>
      </c>
      <c r="I262">
        <f>(1-alpha_c/2)*(F262/G262)</f>
        <v>1.1393319072738211</v>
      </c>
      <c r="J262" s="4">
        <f t="shared" si="23"/>
        <v>-1.2659243414153567</v>
      </c>
      <c r="K262">
        <f t="shared" si="24"/>
        <v>1.2659243414153567</v>
      </c>
    </row>
    <row r="263" spans="1:11" x14ac:dyDescent="0.2">
      <c r="A263" t="str">
        <v>d_262</v>
      </c>
      <c r="B263" s="2">
        <v>40833</v>
      </c>
      <c r="C263" s="4">
        <v>0</v>
      </c>
      <c r="D263">
        <f t="shared" si="21"/>
        <v>1</v>
      </c>
      <c r="E263">
        <f t="shared" si="22"/>
        <v>75</v>
      </c>
      <c r="F263">
        <f>IF(C263&gt;0,alpha_c*D263+(1-alpha_c)*F262,F262)</f>
        <v>1.2659243414153567</v>
      </c>
      <c r="G263">
        <f>IF(C263&gt;0, alpha_c*E263+(1-alpha_c)*G262,G262)</f>
        <v>1</v>
      </c>
      <c r="H263">
        <f t="shared" si="20"/>
        <v>1.2659243414153567</v>
      </c>
      <c r="I263">
        <f>(1-alpha_c/2)*(F263/G263)</f>
        <v>1.1393319072738211</v>
      </c>
      <c r="J263" s="4">
        <f t="shared" si="23"/>
        <v>-1.2659243414153567</v>
      </c>
      <c r="K263">
        <f t="shared" si="24"/>
        <v>1.2659243414153567</v>
      </c>
    </row>
    <row r="264" spans="1:11" x14ac:dyDescent="0.2">
      <c r="A264" t="str">
        <v>d_263</v>
      </c>
      <c r="B264" s="2">
        <v>40834</v>
      </c>
      <c r="C264" s="4">
        <v>0</v>
      </c>
      <c r="D264">
        <f t="shared" si="21"/>
        <v>1</v>
      </c>
      <c r="E264">
        <f t="shared" si="22"/>
        <v>76</v>
      </c>
      <c r="F264">
        <f>IF(C264&gt;0,alpha_c*D264+(1-alpha_c)*F263,F263)</f>
        <v>1.2659243414153567</v>
      </c>
      <c r="G264">
        <f>IF(C264&gt;0, alpha_c*E264+(1-alpha_c)*G263,G263)</f>
        <v>1</v>
      </c>
      <c r="H264">
        <f t="shared" si="20"/>
        <v>1.2659243414153567</v>
      </c>
      <c r="I264">
        <f>(1-alpha_c/2)*(F264/G264)</f>
        <v>1.1393319072738211</v>
      </c>
      <c r="J264" s="4">
        <f t="shared" si="23"/>
        <v>-1.2659243414153567</v>
      </c>
      <c r="K264">
        <f t="shared" si="24"/>
        <v>1.2659243414153567</v>
      </c>
    </row>
    <row r="265" spans="1:11" x14ac:dyDescent="0.2">
      <c r="A265" t="str">
        <v>d_264</v>
      </c>
      <c r="B265" s="2">
        <v>40835</v>
      </c>
      <c r="C265" s="4">
        <v>0</v>
      </c>
      <c r="D265">
        <f t="shared" si="21"/>
        <v>1</v>
      </c>
      <c r="E265">
        <f t="shared" si="22"/>
        <v>77</v>
      </c>
      <c r="F265">
        <f>IF(C265&gt;0,alpha_c*D265+(1-alpha_c)*F264,F264)</f>
        <v>1.2659243414153567</v>
      </c>
      <c r="G265">
        <f>IF(C265&gt;0, alpha_c*E265+(1-alpha_c)*G264,G264)</f>
        <v>1</v>
      </c>
      <c r="H265">
        <f t="shared" si="20"/>
        <v>1.2659243414153567</v>
      </c>
      <c r="I265">
        <f>(1-alpha_c/2)*(F265/G265)</f>
        <v>1.1393319072738211</v>
      </c>
      <c r="J265" s="4">
        <f t="shared" si="23"/>
        <v>-1.2659243414153567</v>
      </c>
      <c r="K265">
        <f t="shared" si="24"/>
        <v>1.2659243414153567</v>
      </c>
    </row>
    <row r="266" spans="1:11" x14ac:dyDescent="0.2">
      <c r="A266" t="str">
        <v>d_265</v>
      </c>
      <c r="B266" s="2">
        <v>40836</v>
      </c>
      <c r="C266" s="4">
        <v>0</v>
      </c>
      <c r="D266">
        <f t="shared" si="21"/>
        <v>1</v>
      </c>
      <c r="E266">
        <f t="shared" si="22"/>
        <v>78</v>
      </c>
      <c r="F266">
        <f>IF(C266&gt;0,alpha_c*D266+(1-alpha_c)*F265,F265)</f>
        <v>1.2659243414153567</v>
      </c>
      <c r="G266">
        <f>IF(C266&gt;0, alpha_c*E266+(1-alpha_c)*G265,G265)</f>
        <v>1</v>
      </c>
      <c r="H266">
        <f t="shared" si="20"/>
        <v>1.2659243414153567</v>
      </c>
      <c r="I266">
        <f>(1-alpha_c/2)*(F266/G266)</f>
        <v>1.1393319072738211</v>
      </c>
      <c r="J266" s="4">
        <f t="shared" si="23"/>
        <v>-1.2659243414153567</v>
      </c>
      <c r="K266">
        <f t="shared" si="24"/>
        <v>1.2659243414153567</v>
      </c>
    </row>
    <row r="267" spans="1:11" x14ac:dyDescent="0.2">
      <c r="A267" t="str">
        <v>d_266</v>
      </c>
      <c r="B267" s="2">
        <v>40837</v>
      </c>
      <c r="C267" s="4">
        <v>0</v>
      </c>
      <c r="D267">
        <f t="shared" si="21"/>
        <v>1</v>
      </c>
      <c r="E267">
        <f t="shared" si="22"/>
        <v>79</v>
      </c>
      <c r="F267">
        <f>IF(C267&gt;0,alpha_c*D267+(1-alpha_c)*F266,F266)</f>
        <v>1.2659243414153567</v>
      </c>
      <c r="G267">
        <f>IF(C267&gt;0, alpha_c*E267+(1-alpha_c)*G266,G266)</f>
        <v>1</v>
      </c>
      <c r="H267">
        <f t="shared" si="20"/>
        <v>1.2659243414153567</v>
      </c>
      <c r="I267">
        <f>(1-alpha_c/2)*(F267/G267)</f>
        <v>1.1393319072738211</v>
      </c>
      <c r="J267" s="4">
        <f t="shared" si="23"/>
        <v>-1.2659243414153567</v>
      </c>
      <c r="K267">
        <f t="shared" si="24"/>
        <v>1.2659243414153567</v>
      </c>
    </row>
    <row r="268" spans="1:11" x14ac:dyDescent="0.2">
      <c r="A268" t="str">
        <v>d_267</v>
      </c>
      <c r="B268" s="2">
        <v>40838</v>
      </c>
      <c r="C268" s="4">
        <v>0</v>
      </c>
      <c r="D268">
        <f t="shared" si="21"/>
        <v>1</v>
      </c>
      <c r="E268">
        <f t="shared" si="22"/>
        <v>80</v>
      </c>
      <c r="F268">
        <f>IF(C268&gt;0,alpha_c*D268+(1-alpha_c)*F267,F267)</f>
        <v>1.2659243414153567</v>
      </c>
      <c r="G268">
        <f>IF(C268&gt;0, alpha_c*E268+(1-alpha_c)*G267,G267)</f>
        <v>1</v>
      </c>
      <c r="H268">
        <f t="shared" si="20"/>
        <v>1.2659243414153567</v>
      </c>
      <c r="I268">
        <f>(1-alpha_c/2)*(F268/G268)</f>
        <v>1.1393319072738211</v>
      </c>
      <c r="J268" s="4">
        <f t="shared" si="23"/>
        <v>-1.2659243414153567</v>
      </c>
      <c r="K268">
        <f t="shared" si="24"/>
        <v>1.2659243414153567</v>
      </c>
    </row>
    <row r="269" spans="1:11" x14ac:dyDescent="0.2">
      <c r="A269" t="str">
        <v>d_268</v>
      </c>
      <c r="B269" s="2">
        <v>40839</v>
      </c>
      <c r="C269" s="4">
        <v>0</v>
      </c>
      <c r="D269">
        <f t="shared" si="21"/>
        <v>1</v>
      </c>
      <c r="E269">
        <f t="shared" si="22"/>
        <v>81</v>
      </c>
      <c r="F269">
        <f>IF(C269&gt;0,alpha_c*D269+(1-alpha_c)*F268,F268)</f>
        <v>1.2659243414153567</v>
      </c>
      <c r="G269">
        <f>IF(C269&gt;0, alpha_c*E269+(1-alpha_c)*G268,G268)</f>
        <v>1</v>
      </c>
      <c r="H269">
        <f t="shared" si="20"/>
        <v>1.2659243414153567</v>
      </c>
      <c r="I269">
        <f>(1-alpha_c/2)*(F269/G269)</f>
        <v>1.1393319072738211</v>
      </c>
      <c r="J269" s="4">
        <f t="shared" si="23"/>
        <v>-1.2659243414153567</v>
      </c>
      <c r="K269">
        <f t="shared" si="24"/>
        <v>1.2659243414153567</v>
      </c>
    </row>
    <row r="270" spans="1:11" x14ac:dyDescent="0.2">
      <c r="A270" t="str">
        <v>d_269</v>
      </c>
      <c r="B270" s="2">
        <v>40840</v>
      </c>
      <c r="C270" s="4">
        <v>0</v>
      </c>
      <c r="D270">
        <f t="shared" si="21"/>
        <v>1</v>
      </c>
      <c r="E270">
        <f t="shared" si="22"/>
        <v>82</v>
      </c>
      <c r="F270">
        <f>IF(C270&gt;0,alpha_c*D270+(1-alpha_c)*F269,F269)</f>
        <v>1.2659243414153567</v>
      </c>
      <c r="G270">
        <f>IF(C270&gt;0, alpha_c*E270+(1-alpha_c)*G269,G269)</f>
        <v>1</v>
      </c>
      <c r="H270">
        <f t="shared" si="20"/>
        <v>1.2659243414153567</v>
      </c>
      <c r="I270">
        <f>(1-alpha_c/2)*(F270/G270)</f>
        <v>1.1393319072738211</v>
      </c>
      <c r="J270" s="4">
        <f t="shared" si="23"/>
        <v>-1.2659243414153567</v>
      </c>
      <c r="K270">
        <f t="shared" si="24"/>
        <v>1.2659243414153567</v>
      </c>
    </row>
    <row r="271" spans="1:11" x14ac:dyDescent="0.2">
      <c r="A271" t="str">
        <v>d_270</v>
      </c>
      <c r="B271" s="2">
        <v>40841</v>
      </c>
      <c r="C271" s="4">
        <v>0</v>
      </c>
      <c r="D271">
        <f t="shared" si="21"/>
        <v>1</v>
      </c>
      <c r="E271">
        <f t="shared" si="22"/>
        <v>83</v>
      </c>
      <c r="F271">
        <f>IF(C271&gt;0,alpha_c*D271+(1-alpha_c)*F270,F270)</f>
        <v>1.2659243414153567</v>
      </c>
      <c r="G271">
        <f>IF(C271&gt;0, alpha_c*E271+(1-alpha_c)*G270,G270)</f>
        <v>1</v>
      </c>
      <c r="H271">
        <f t="shared" si="20"/>
        <v>1.2659243414153567</v>
      </c>
      <c r="I271">
        <f>(1-alpha_c/2)*(F271/G271)</f>
        <v>1.1393319072738211</v>
      </c>
      <c r="J271" s="4">
        <f t="shared" si="23"/>
        <v>-1.2659243414153567</v>
      </c>
      <c r="K271">
        <f t="shared" si="24"/>
        <v>1.2659243414153567</v>
      </c>
    </row>
    <row r="272" spans="1:11" x14ac:dyDescent="0.2">
      <c r="A272" t="str">
        <v>d_271</v>
      </c>
      <c r="B272" s="2">
        <v>40842</v>
      </c>
      <c r="C272" s="4">
        <v>0</v>
      </c>
      <c r="D272">
        <f t="shared" si="21"/>
        <v>1</v>
      </c>
      <c r="E272">
        <f t="shared" si="22"/>
        <v>84</v>
      </c>
      <c r="F272">
        <f>IF(C272&gt;0,alpha_c*D272+(1-alpha_c)*F271,F271)</f>
        <v>1.2659243414153567</v>
      </c>
      <c r="G272">
        <f>IF(C272&gt;0, alpha_c*E272+(1-alpha_c)*G271,G271)</f>
        <v>1</v>
      </c>
      <c r="H272">
        <f t="shared" si="20"/>
        <v>1.2659243414153567</v>
      </c>
      <c r="I272">
        <f>(1-alpha_c/2)*(F272/G272)</f>
        <v>1.1393319072738211</v>
      </c>
      <c r="J272" s="4">
        <f t="shared" si="23"/>
        <v>-1.2659243414153567</v>
      </c>
      <c r="K272">
        <f t="shared" si="24"/>
        <v>1.2659243414153567</v>
      </c>
    </row>
    <row r="273" spans="1:11" x14ac:dyDescent="0.2">
      <c r="A273" t="str">
        <v>d_272</v>
      </c>
      <c r="B273" s="2">
        <v>40843</v>
      </c>
      <c r="C273" s="4">
        <v>0</v>
      </c>
      <c r="D273">
        <f t="shared" si="21"/>
        <v>1</v>
      </c>
      <c r="E273">
        <f t="shared" si="22"/>
        <v>85</v>
      </c>
      <c r="F273">
        <f>IF(C273&gt;0,alpha_c*D273+(1-alpha_c)*F272,F272)</f>
        <v>1.2659243414153567</v>
      </c>
      <c r="G273">
        <f>IF(C273&gt;0, alpha_c*E273+(1-alpha_c)*G272,G272)</f>
        <v>1</v>
      </c>
      <c r="H273">
        <f t="shared" si="20"/>
        <v>1.2659243414153567</v>
      </c>
      <c r="I273">
        <f>(1-alpha_c/2)*(F273/G273)</f>
        <v>1.1393319072738211</v>
      </c>
      <c r="J273" s="4">
        <f t="shared" si="23"/>
        <v>-1.2659243414153567</v>
      </c>
      <c r="K273">
        <f t="shared" si="24"/>
        <v>1.2659243414153567</v>
      </c>
    </row>
    <row r="274" spans="1:11" x14ac:dyDescent="0.2">
      <c r="A274" t="str">
        <v>d_273</v>
      </c>
      <c r="B274" s="2">
        <v>40844</v>
      </c>
      <c r="C274" s="4">
        <v>0</v>
      </c>
      <c r="D274">
        <f t="shared" si="21"/>
        <v>1</v>
      </c>
      <c r="E274">
        <f t="shared" si="22"/>
        <v>86</v>
      </c>
      <c r="F274">
        <f>IF(C274&gt;0,alpha_c*D274+(1-alpha_c)*F273,F273)</f>
        <v>1.2659243414153567</v>
      </c>
      <c r="G274">
        <f>IF(C274&gt;0, alpha_c*E274+(1-alpha_c)*G273,G273)</f>
        <v>1</v>
      </c>
      <c r="H274">
        <f t="shared" si="20"/>
        <v>1.2659243414153567</v>
      </c>
      <c r="I274">
        <f>(1-alpha_c/2)*(F274/G274)</f>
        <v>1.1393319072738211</v>
      </c>
      <c r="J274" s="4">
        <f t="shared" si="23"/>
        <v>-1.2659243414153567</v>
      </c>
      <c r="K274">
        <f t="shared" si="24"/>
        <v>1.2659243414153567</v>
      </c>
    </row>
    <row r="275" spans="1:11" x14ac:dyDescent="0.2">
      <c r="A275" t="str">
        <v>d_274</v>
      </c>
      <c r="B275" s="2">
        <v>40845</v>
      </c>
      <c r="C275" s="4">
        <v>0</v>
      </c>
      <c r="D275">
        <f t="shared" si="21"/>
        <v>1</v>
      </c>
      <c r="E275">
        <f t="shared" si="22"/>
        <v>87</v>
      </c>
      <c r="F275">
        <f>IF(C275&gt;0,alpha_c*D275+(1-alpha_c)*F274,F274)</f>
        <v>1.2659243414153567</v>
      </c>
      <c r="G275">
        <f>IF(C275&gt;0, alpha_c*E275+(1-alpha_c)*G274,G274)</f>
        <v>1</v>
      </c>
      <c r="H275">
        <f t="shared" si="20"/>
        <v>1.2659243414153567</v>
      </c>
      <c r="I275">
        <f>(1-alpha_c/2)*(F275/G275)</f>
        <v>1.1393319072738211</v>
      </c>
      <c r="J275" s="4">
        <f t="shared" si="23"/>
        <v>-1.2659243414153567</v>
      </c>
      <c r="K275">
        <f t="shared" si="24"/>
        <v>1.2659243414153567</v>
      </c>
    </row>
    <row r="276" spans="1:11" x14ac:dyDescent="0.2">
      <c r="A276" t="str">
        <v>d_275</v>
      </c>
      <c r="B276" s="2">
        <v>40846</v>
      </c>
      <c r="C276" s="4">
        <v>0</v>
      </c>
      <c r="D276">
        <f t="shared" si="21"/>
        <v>1</v>
      </c>
      <c r="E276">
        <f t="shared" si="22"/>
        <v>88</v>
      </c>
      <c r="F276">
        <f>IF(C276&gt;0,alpha_c*D276+(1-alpha_c)*F275,F275)</f>
        <v>1.2659243414153567</v>
      </c>
      <c r="G276">
        <f>IF(C276&gt;0, alpha_c*E276+(1-alpha_c)*G275,G275)</f>
        <v>1</v>
      </c>
      <c r="H276">
        <f t="shared" si="20"/>
        <v>1.2659243414153567</v>
      </c>
      <c r="I276">
        <f>(1-alpha_c/2)*(F276/G276)</f>
        <v>1.1393319072738211</v>
      </c>
      <c r="J276" s="4">
        <f t="shared" si="23"/>
        <v>-1.2659243414153567</v>
      </c>
      <c r="K276">
        <f t="shared" si="24"/>
        <v>1.2659243414153567</v>
      </c>
    </row>
    <row r="277" spans="1:11" x14ac:dyDescent="0.2">
      <c r="A277" t="str">
        <v>d_276</v>
      </c>
      <c r="B277" s="2">
        <v>40847</v>
      </c>
      <c r="C277" s="4">
        <v>0</v>
      </c>
      <c r="D277">
        <f t="shared" si="21"/>
        <v>1</v>
      </c>
      <c r="E277">
        <f t="shared" si="22"/>
        <v>89</v>
      </c>
      <c r="F277">
        <f>IF(C277&gt;0,alpha_c*D277+(1-alpha_c)*F276,F276)</f>
        <v>1.2659243414153567</v>
      </c>
      <c r="G277">
        <f>IF(C277&gt;0, alpha_c*E277+(1-alpha_c)*G276,G276)</f>
        <v>1</v>
      </c>
      <c r="H277">
        <f t="shared" si="20"/>
        <v>1.2659243414153567</v>
      </c>
      <c r="I277">
        <f>(1-alpha_c/2)*(F277/G277)</f>
        <v>1.1393319072738211</v>
      </c>
      <c r="J277" s="4">
        <f t="shared" si="23"/>
        <v>-1.2659243414153567</v>
      </c>
      <c r="K277">
        <f t="shared" si="24"/>
        <v>1.2659243414153567</v>
      </c>
    </row>
    <row r="278" spans="1:11" x14ac:dyDescent="0.2">
      <c r="A278" t="str">
        <v>d_277</v>
      </c>
      <c r="B278" s="2">
        <v>40848</v>
      </c>
      <c r="C278" s="4">
        <v>0</v>
      </c>
      <c r="D278">
        <f t="shared" si="21"/>
        <v>1</v>
      </c>
      <c r="E278">
        <f t="shared" si="22"/>
        <v>90</v>
      </c>
      <c r="F278">
        <f>IF(C278&gt;0,alpha_c*D278+(1-alpha_c)*F277,F277)</f>
        <v>1.2659243414153567</v>
      </c>
      <c r="G278">
        <f>IF(C278&gt;0, alpha_c*E278+(1-alpha_c)*G277,G277)</f>
        <v>1</v>
      </c>
      <c r="H278">
        <f t="shared" si="20"/>
        <v>1.2659243414153567</v>
      </c>
      <c r="I278">
        <f>(1-alpha_c/2)*(F278/G278)</f>
        <v>1.1393319072738211</v>
      </c>
      <c r="J278" s="4">
        <f t="shared" si="23"/>
        <v>-1.2659243414153567</v>
      </c>
      <c r="K278">
        <f t="shared" si="24"/>
        <v>1.2659243414153567</v>
      </c>
    </row>
    <row r="279" spans="1:11" x14ac:dyDescent="0.2">
      <c r="A279" t="str">
        <v>d_278</v>
      </c>
      <c r="B279" s="2">
        <v>40849</v>
      </c>
      <c r="C279" s="4">
        <v>3</v>
      </c>
      <c r="D279">
        <f t="shared" si="21"/>
        <v>3</v>
      </c>
      <c r="E279">
        <f t="shared" si="22"/>
        <v>1</v>
      </c>
      <c r="F279">
        <f>IF(C279&gt;0,alpha_c*D279+(1-alpha_c)*F278,F278)</f>
        <v>1.6127394731322855</v>
      </c>
      <c r="G279">
        <f>IF(C279&gt;0, alpha_c*E279+(1-alpha_c)*G278,G278)</f>
        <v>1</v>
      </c>
      <c r="H279">
        <f t="shared" si="20"/>
        <v>1.6127394731322855</v>
      </c>
      <c r="I279">
        <f>(1-alpha_c/2)*(F279/G279)</f>
        <v>1.451465525819057</v>
      </c>
      <c r="J279" s="4">
        <f t="shared" si="23"/>
        <v>1.3872605268677145</v>
      </c>
      <c r="K279">
        <f t="shared" si="24"/>
        <v>1.3872605268677145</v>
      </c>
    </row>
    <row r="280" spans="1:11" x14ac:dyDescent="0.2">
      <c r="A280" t="str">
        <v>d_279</v>
      </c>
      <c r="B280" s="2">
        <v>40850</v>
      </c>
      <c r="C280" s="4">
        <v>1</v>
      </c>
      <c r="D280">
        <f t="shared" si="21"/>
        <v>1</v>
      </c>
      <c r="E280">
        <f t="shared" si="22"/>
        <v>1</v>
      </c>
      <c r="F280">
        <f>IF(C280&gt;0,alpha_c*D280+(1-alpha_c)*F279,F279)</f>
        <v>1.4901915785058284</v>
      </c>
      <c r="G280">
        <f>IF(C280&gt;0, alpha_c*E280+(1-alpha_c)*G279,G279)</f>
        <v>1</v>
      </c>
      <c r="H280">
        <f t="shared" si="20"/>
        <v>1.4901915785058284</v>
      </c>
      <c r="I280">
        <f>(1-alpha_c/2)*(F280/G280)</f>
        <v>1.3411724206552456</v>
      </c>
      <c r="J280" s="4">
        <f t="shared" si="23"/>
        <v>-0.4901915785058284</v>
      </c>
      <c r="K280">
        <f t="shared" si="24"/>
        <v>0.4901915785058284</v>
      </c>
    </row>
    <row r="281" spans="1:11" x14ac:dyDescent="0.2">
      <c r="A281" t="str">
        <v>d_280</v>
      </c>
      <c r="B281" s="2">
        <v>40851</v>
      </c>
      <c r="C281" s="4">
        <v>4</v>
      </c>
      <c r="D281">
        <f t="shared" si="21"/>
        <v>4</v>
      </c>
      <c r="E281">
        <f t="shared" si="22"/>
        <v>1</v>
      </c>
      <c r="F281">
        <f>IF(C281&gt;0,alpha_c*D281+(1-alpha_c)*F280,F280)</f>
        <v>1.9921532628046628</v>
      </c>
      <c r="G281">
        <f>IF(C281&gt;0, alpha_c*E281+(1-alpha_c)*G280,G280)</f>
        <v>1</v>
      </c>
      <c r="H281">
        <f t="shared" si="20"/>
        <v>1.9921532628046628</v>
      </c>
      <c r="I281">
        <f>(1-alpha_c/2)*(F281/G281)</f>
        <v>1.7929379365241964</v>
      </c>
      <c r="J281" s="4">
        <f t="shared" si="23"/>
        <v>2.0078467371953375</v>
      </c>
      <c r="K281">
        <f t="shared" si="24"/>
        <v>2.0078467371953375</v>
      </c>
    </row>
    <row r="282" spans="1:11" x14ac:dyDescent="0.2">
      <c r="A282" t="str">
        <v>d_281</v>
      </c>
      <c r="B282" s="2">
        <v>40852</v>
      </c>
      <c r="C282" s="4">
        <v>2</v>
      </c>
      <c r="D282">
        <f t="shared" si="21"/>
        <v>2</v>
      </c>
      <c r="E282">
        <f t="shared" si="22"/>
        <v>1</v>
      </c>
      <c r="F282">
        <f>IF(C282&gt;0,alpha_c*D282+(1-alpha_c)*F281,F281)</f>
        <v>1.9937226102437302</v>
      </c>
      <c r="G282">
        <f>IF(C282&gt;0, alpha_c*E282+(1-alpha_c)*G281,G281)</f>
        <v>1</v>
      </c>
      <c r="H282">
        <f t="shared" si="20"/>
        <v>1.9937226102437302</v>
      </c>
      <c r="I282">
        <f>(1-alpha_c/2)*(F282/G282)</f>
        <v>1.7943503492193573</v>
      </c>
      <c r="J282" s="4">
        <f t="shared" si="23"/>
        <v>6.2773897562697911E-3</v>
      </c>
      <c r="K282">
        <f t="shared" si="24"/>
        <v>6.2773897562697911E-3</v>
      </c>
    </row>
    <row r="283" spans="1:11" x14ac:dyDescent="0.2">
      <c r="A283" t="str">
        <v>d_282</v>
      </c>
      <c r="B283" s="2">
        <v>40853</v>
      </c>
      <c r="C283" s="4">
        <v>1</v>
      </c>
      <c r="D283">
        <f t="shared" si="21"/>
        <v>1</v>
      </c>
      <c r="E283">
        <f t="shared" si="22"/>
        <v>1</v>
      </c>
      <c r="F283">
        <f>IF(C283&gt;0,alpha_c*D283+(1-alpha_c)*F282,F282)</f>
        <v>1.7949780881949842</v>
      </c>
      <c r="G283">
        <f>IF(C283&gt;0, alpha_c*E283+(1-alpha_c)*G282,G282)</f>
        <v>1</v>
      </c>
      <c r="H283">
        <f t="shared" si="20"/>
        <v>1.7949780881949842</v>
      </c>
      <c r="I283">
        <f>(1-alpha_c/2)*(F283/G283)</f>
        <v>1.6154802793754859</v>
      </c>
      <c r="J283" s="4">
        <f t="shared" si="23"/>
        <v>-0.79497808819498417</v>
      </c>
      <c r="K283">
        <f t="shared" si="24"/>
        <v>0.79497808819498417</v>
      </c>
    </row>
    <row r="284" spans="1:11" x14ac:dyDescent="0.2">
      <c r="A284" t="str">
        <v>d_283</v>
      </c>
      <c r="B284" s="2">
        <v>40854</v>
      </c>
      <c r="C284" s="4">
        <v>0</v>
      </c>
      <c r="D284">
        <f t="shared" si="21"/>
        <v>1</v>
      </c>
      <c r="E284">
        <f t="shared" si="22"/>
        <v>2</v>
      </c>
      <c r="F284">
        <f>IF(C284&gt;0,alpha_c*D284+(1-alpha_c)*F283,F283)</f>
        <v>1.7949780881949842</v>
      </c>
      <c r="G284">
        <f>IF(C284&gt;0, alpha_c*E284+(1-alpha_c)*G283,G283)</f>
        <v>1</v>
      </c>
      <c r="H284">
        <f t="shared" si="20"/>
        <v>1.7949780881949842</v>
      </c>
      <c r="I284">
        <f>(1-alpha_c/2)*(F284/G284)</f>
        <v>1.6154802793754859</v>
      </c>
      <c r="J284" s="4">
        <f t="shared" si="23"/>
        <v>-1.7949780881949842</v>
      </c>
      <c r="K284">
        <f t="shared" si="24"/>
        <v>1.7949780881949842</v>
      </c>
    </row>
    <row r="285" spans="1:11" x14ac:dyDescent="0.2">
      <c r="A285" t="str">
        <v>d_284</v>
      </c>
      <c r="B285" s="2">
        <v>40855</v>
      </c>
      <c r="C285" s="4">
        <v>2</v>
      </c>
      <c r="D285">
        <f t="shared" si="21"/>
        <v>2</v>
      </c>
      <c r="E285">
        <f t="shared" si="22"/>
        <v>1</v>
      </c>
      <c r="F285">
        <f>IF(C285&gt;0,alpha_c*D285+(1-alpha_c)*F284,F284)</f>
        <v>1.8359824705559875</v>
      </c>
      <c r="G285">
        <f>IF(C285&gt;0, alpha_c*E285+(1-alpha_c)*G284,G284)</f>
        <v>1</v>
      </c>
      <c r="H285">
        <f t="shared" si="20"/>
        <v>1.8359824705559875</v>
      </c>
      <c r="I285">
        <f>(1-alpha_c/2)*(F285/G285)</f>
        <v>1.6523842235003887</v>
      </c>
      <c r="J285" s="4">
        <f t="shared" si="23"/>
        <v>0.16401752944401249</v>
      </c>
      <c r="K285">
        <f t="shared" si="24"/>
        <v>0.16401752944401249</v>
      </c>
    </row>
    <row r="286" spans="1:11" x14ac:dyDescent="0.2">
      <c r="A286" t="str">
        <v>d_285</v>
      </c>
      <c r="B286" s="2">
        <v>40856</v>
      </c>
      <c r="C286" s="4">
        <v>1</v>
      </c>
      <c r="D286">
        <f t="shared" si="21"/>
        <v>1</v>
      </c>
      <c r="E286">
        <f t="shared" si="22"/>
        <v>1</v>
      </c>
      <c r="F286">
        <f>IF(C286&gt;0,alpha_c*D286+(1-alpha_c)*F285,F285)</f>
        <v>1.6687859764447901</v>
      </c>
      <c r="G286">
        <f>IF(C286&gt;0, alpha_c*E286+(1-alpha_c)*G285,G285)</f>
        <v>1</v>
      </c>
      <c r="H286">
        <f t="shared" si="20"/>
        <v>1.6687859764447901</v>
      </c>
      <c r="I286">
        <f>(1-alpha_c/2)*(F286/G286)</f>
        <v>1.5019073788003112</v>
      </c>
      <c r="J286" s="4">
        <f t="shared" si="23"/>
        <v>-0.6687859764447901</v>
      </c>
      <c r="K286">
        <f t="shared" si="24"/>
        <v>0.6687859764447901</v>
      </c>
    </row>
    <row r="287" spans="1:11" x14ac:dyDescent="0.2">
      <c r="A287" t="str">
        <v>d_286</v>
      </c>
      <c r="B287" s="2">
        <v>40857</v>
      </c>
      <c r="C287" s="4">
        <v>0</v>
      </c>
      <c r="D287">
        <f t="shared" si="21"/>
        <v>1</v>
      </c>
      <c r="E287">
        <f t="shared" si="22"/>
        <v>2</v>
      </c>
      <c r="F287">
        <f>IF(C287&gt;0,alpha_c*D287+(1-alpha_c)*F286,F286)</f>
        <v>1.6687859764447901</v>
      </c>
      <c r="G287">
        <f>IF(C287&gt;0, alpha_c*E287+(1-alpha_c)*G286,G286)</f>
        <v>1</v>
      </c>
      <c r="H287">
        <f t="shared" si="20"/>
        <v>1.6687859764447901</v>
      </c>
      <c r="I287">
        <f>(1-alpha_c/2)*(F287/G287)</f>
        <v>1.5019073788003112</v>
      </c>
      <c r="J287" s="4">
        <f t="shared" si="23"/>
        <v>-1.6687859764447901</v>
      </c>
      <c r="K287">
        <f t="shared" si="24"/>
        <v>1.6687859764447901</v>
      </c>
    </row>
    <row r="288" spans="1:11" x14ac:dyDescent="0.2">
      <c r="A288" t="str">
        <v>d_287</v>
      </c>
      <c r="B288" s="2">
        <v>40858</v>
      </c>
      <c r="C288" s="4">
        <v>1</v>
      </c>
      <c r="D288">
        <f t="shared" si="21"/>
        <v>1</v>
      </c>
      <c r="E288">
        <f t="shared" si="22"/>
        <v>1</v>
      </c>
      <c r="F288">
        <f>IF(C288&gt;0,alpha_c*D288+(1-alpha_c)*F287,F287)</f>
        <v>1.5350287811558321</v>
      </c>
      <c r="G288">
        <f>IF(C288&gt;0, alpha_c*E288+(1-alpha_c)*G287,G287)</f>
        <v>1</v>
      </c>
      <c r="H288">
        <f t="shared" si="20"/>
        <v>1.5350287811558321</v>
      </c>
      <c r="I288">
        <f>(1-alpha_c/2)*(F288/G288)</f>
        <v>1.3815259030402489</v>
      </c>
      <c r="J288" s="4">
        <f t="shared" si="23"/>
        <v>-0.53502878115583208</v>
      </c>
      <c r="K288">
        <f t="shared" si="24"/>
        <v>0.53502878115583208</v>
      </c>
    </row>
    <row r="289" spans="1:11" x14ac:dyDescent="0.2">
      <c r="A289" t="str">
        <v>d_288</v>
      </c>
      <c r="B289" s="2">
        <v>40859</v>
      </c>
      <c r="C289" s="4">
        <v>0</v>
      </c>
      <c r="D289">
        <f t="shared" si="21"/>
        <v>1</v>
      </c>
      <c r="E289">
        <f t="shared" si="22"/>
        <v>2</v>
      </c>
      <c r="F289">
        <f>IF(C289&gt;0,alpha_c*D289+(1-alpha_c)*F288,F288)</f>
        <v>1.5350287811558321</v>
      </c>
      <c r="G289">
        <f>IF(C289&gt;0, alpha_c*E289+(1-alpha_c)*G288,G288)</f>
        <v>1</v>
      </c>
      <c r="H289">
        <f t="shared" si="20"/>
        <v>1.5350287811558321</v>
      </c>
      <c r="I289">
        <f>(1-alpha_c/2)*(F289/G289)</f>
        <v>1.3815259030402489</v>
      </c>
      <c r="J289" s="4">
        <f t="shared" si="23"/>
        <v>-1.5350287811558321</v>
      </c>
      <c r="K289">
        <f t="shared" si="24"/>
        <v>1.5350287811558321</v>
      </c>
    </row>
    <row r="290" spans="1:11" x14ac:dyDescent="0.2">
      <c r="A290" t="str">
        <v>d_289</v>
      </c>
      <c r="B290" s="2">
        <v>40860</v>
      </c>
      <c r="C290" s="4">
        <v>6</v>
      </c>
      <c r="D290">
        <f t="shared" si="21"/>
        <v>6</v>
      </c>
      <c r="E290">
        <f t="shared" si="22"/>
        <v>1</v>
      </c>
      <c r="F290">
        <f>IF(C290&gt;0,alpha_c*D290+(1-alpha_c)*F289,F289)</f>
        <v>2.4280230249246659</v>
      </c>
      <c r="G290">
        <f>IF(C290&gt;0, alpha_c*E290+(1-alpha_c)*G289,G289)</f>
        <v>1</v>
      </c>
      <c r="H290">
        <f t="shared" si="20"/>
        <v>2.4280230249246659</v>
      </c>
      <c r="I290">
        <f>(1-alpha_c/2)*(F290/G290)</f>
        <v>2.1852207224321996</v>
      </c>
      <c r="J290" s="4">
        <f t="shared" si="23"/>
        <v>3.5719769750753341</v>
      </c>
      <c r="K290">
        <f t="shared" si="24"/>
        <v>3.5719769750753341</v>
      </c>
    </row>
    <row r="291" spans="1:11" x14ac:dyDescent="0.2">
      <c r="A291" t="str">
        <v>d_290</v>
      </c>
      <c r="B291" s="2">
        <v>40861</v>
      </c>
      <c r="C291" s="4">
        <v>1</v>
      </c>
      <c r="D291">
        <f t="shared" si="21"/>
        <v>1</v>
      </c>
      <c r="E291">
        <f t="shared" si="22"/>
        <v>1</v>
      </c>
      <c r="F291">
        <f>IF(C291&gt;0,alpha_c*D291+(1-alpha_c)*F290,F290)</f>
        <v>2.1424184199397329</v>
      </c>
      <c r="G291">
        <f>IF(C291&gt;0, alpha_c*E291+(1-alpha_c)*G290,G290)</f>
        <v>1</v>
      </c>
      <c r="H291">
        <f t="shared" si="20"/>
        <v>2.1424184199397329</v>
      </c>
      <c r="I291">
        <f>(1-alpha_c/2)*(F291/G291)</f>
        <v>1.9281765779457596</v>
      </c>
      <c r="J291" s="4">
        <f t="shared" si="23"/>
        <v>-1.1424184199397329</v>
      </c>
      <c r="K291">
        <f t="shared" si="24"/>
        <v>1.1424184199397329</v>
      </c>
    </row>
    <row r="292" spans="1:11" x14ac:dyDescent="0.2">
      <c r="A292" t="str">
        <v>d_291</v>
      </c>
      <c r="B292" s="2">
        <v>40862</v>
      </c>
      <c r="C292" s="4">
        <v>0</v>
      </c>
      <c r="D292">
        <f t="shared" si="21"/>
        <v>1</v>
      </c>
      <c r="E292">
        <f t="shared" si="22"/>
        <v>2</v>
      </c>
      <c r="F292">
        <f>IF(C292&gt;0,alpha_c*D292+(1-alpha_c)*F291,F291)</f>
        <v>2.1424184199397329</v>
      </c>
      <c r="G292">
        <f>IF(C292&gt;0, alpha_c*E292+(1-alpha_c)*G291,G291)</f>
        <v>1</v>
      </c>
      <c r="H292">
        <f t="shared" si="20"/>
        <v>2.1424184199397329</v>
      </c>
      <c r="I292">
        <f>(1-alpha_c/2)*(F292/G292)</f>
        <v>1.9281765779457596</v>
      </c>
      <c r="J292" s="4">
        <f t="shared" si="23"/>
        <v>-2.1424184199397329</v>
      </c>
      <c r="K292">
        <f t="shared" si="24"/>
        <v>2.1424184199397329</v>
      </c>
    </row>
    <row r="293" spans="1:11" x14ac:dyDescent="0.2">
      <c r="A293" t="str">
        <v>d_292</v>
      </c>
      <c r="B293" s="2">
        <v>40863</v>
      </c>
      <c r="C293" s="4">
        <v>0</v>
      </c>
      <c r="D293">
        <f t="shared" si="21"/>
        <v>1</v>
      </c>
      <c r="E293">
        <f t="shared" si="22"/>
        <v>3</v>
      </c>
      <c r="F293">
        <f>IF(C293&gt;0,alpha_c*D293+(1-alpha_c)*F292,F292)</f>
        <v>2.1424184199397329</v>
      </c>
      <c r="G293">
        <f>IF(C293&gt;0, alpha_c*E293+(1-alpha_c)*G292,G292)</f>
        <v>1</v>
      </c>
      <c r="H293">
        <f t="shared" si="20"/>
        <v>2.1424184199397329</v>
      </c>
      <c r="I293">
        <f>(1-alpha_c/2)*(F293/G293)</f>
        <v>1.9281765779457596</v>
      </c>
      <c r="J293" s="4">
        <f t="shared" si="23"/>
        <v>-2.1424184199397329</v>
      </c>
      <c r="K293">
        <f t="shared" si="24"/>
        <v>2.1424184199397329</v>
      </c>
    </row>
    <row r="294" spans="1:11" x14ac:dyDescent="0.2">
      <c r="A294" t="str">
        <v>d_293</v>
      </c>
      <c r="B294" s="2">
        <v>40864</v>
      </c>
      <c r="C294" s="4">
        <v>0</v>
      </c>
      <c r="D294">
        <f t="shared" si="21"/>
        <v>1</v>
      </c>
      <c r="E294">
        <f t="shared" si="22"/>
        <v>4</v>
      </c>
      <c r="F294">
        <f>IF(C294&gt;0,alpha_c*D294+(1-alpha_c)*F293,F293)</f>
        <v>2.1424184199397329</v>
      </c>
      <c r="G294">
        <f>IF(C294&gt;0, alpha_c*E294+(1-alpha_c)*G293,G293)</f>
        <v>1</v>
      </c>
      <c r="H294">
        <f t="shared" si="20"/>
        <v>2.1424184199397329</v>
      </c>
      <c r="I294">
        <f>(1-alpha_c/2)*(F294/G294)</f>
        <v>1.9281765779457596</v>
      </c>
      <c r="J294" s="4">
        <f t="shared" si="23"/>
        <v>-2.1424184199397329</v>
      </c>
      <c r="K294">
        <f t="shared" si="24"/>
        <v>2.1424184199397329</v>
      </c>
    </row>
    <row r="295" spans="1:11" x14ac:dyDescent="0.2">
      <c r="A295" t="str">
        <v>d_294</v>
      </c>
      <c r="B295" s="2">
        <v>40865</v>
      </c>
      <c r="C295" s="4">
        <v>1</v>
      </c>
      <c r="D295">
        <f t="shared" si="21"/>
        <v>1</v>
      </c>
      <c r="E295">
        <f t="shared" si="22"/>
        <v>1</v>
      </c>
      <c r="F295">
        <f>IF(C295&gt;0,alpha_c*D295+(1-alpha_c)*F294,F294)</f>
        <v>1.9139347359517864</v>
      </c>
      <c r="G295">
        <f>IF(C295&gt;0, alpha_c*E295+(1-alpha_c)*G294,G294)</f>
        <v>1</v>
      </c>
      <c r="H295">
        <f t="shared" si="20"/>
        <v>1.9139347359517864</v>
      </c>
      <c r="I295">
        <f>(1-alpha_c/2)*(F295/G295)</f>
        <v>1.7225412623566079</v>
      </c>
      <c r="J295" s="4">
        <f t="shared" si="23"/>
        <v>-0.91393473595178643</v>
      </c>
      <c r="K295">
        <f t="shared" si="24"/>
        <v>0.91393473595178643</v>
      </c>
    </row>
    <row r="296" spans="1:11" x14ac:dyDescent="0.2">
      <c r="A296" t="str">
        <v>d_295</v>
      </c>
      <c r="B296" s="2">
        <v>40866</v>
      </c>
      <c r="C296" s="4">
        <v>3</v>
      </c>
      <c r="D296">
        <f t="shared" si="21"/>
        <v>3</v>
      </c>
      <c r="E296">
        <f t="shared" si="22"/>
        <v>1</v>
      </c>
      <c r="F296">
        <f>IF(C296&gt;0,alpha_c*D296+(1-alpha_c)*F295,F295)</f>
        <v>2.1311477887614294</v>
      </c>
      <c r="G296">
        <f>IF(C296&gt;0, alpha_c*E296+(1-alpha_c)*G295,G295)</f>
        <v>1</v>
      </c>
      <c r="H296">
        <f t="shared" si="20"/>
        <v>2.1311477887614294</v>
      </c>
      <c r="I296">
        <f>(1-alpha_c/2)*(F296/G296)</f>
        <v>1.9180330098852865</v>
      </c>
      <c r="J296" s="4">
        <f t="shared" si="23"/>
        <v>0.86885221123857059</v>
      </c>
      <c r="K296">
        <f t="shared" si="24"/>
        <v>0.86885221123857059</v>
      </c>
    </row>
    <row r="297" spans="1:11" x14ac:dyDescent="0.2">
      <c r="A297" t="str">
        <v>d_296</v>
      </c>
      <c r="B297" s="2">
        <v>40867</v>
      </c>
      <c r="C297" s="4">
        <v>4</v>
      </c>
      <c r="D297">
        <f t="shared" si="21"/>
        <v>4</v>
      </c>
      <c r="E297">
        <f t="shared" si="22"/>
        <v>1</v>
      </c>
      <c r="F297">
        <f>IF(C297&gt;0,alpha_c*D297+(1-alpha_c)*F296,F296)</f>
        <v>2.5049182310091433</v>
      </c>
      <c r="G297">
        <f>IF(C297&gt;0, alpha_c*E297+(1-alpha_c)*G296,G296)</f>
        <v>1</v>
      </c>
      <c r="H297">
        <f t="shared" si="20"/>
        <v>2.5049182310091433</v>
      </c>
      <c r="I297">
        <f>(1-alpha_c/2)*(F297/G297)</f>
        <v>2.254426407908229</v>
      </c>
      <c r="J297" s="4">
        <f t="shared" si="23"/>
        <v>1.4950817689908567</v>
      </c>
      <c r="K297">
        <f t="shared" si="24"/>
        <v>1.4950817689908567</v>
      </c>
    </row>
    <row r="298" spans="1:11" x14ac:dyDescent="0.2">
      <c r="A298" t="str">
        <v>d_297</v>
      </c>
      <c r="B298" s="2">
        <v>40868</v>
      </c>
      <c r="C298" s="4">
        <v>0</v>
      </c>
      <c r="D298">
        <f t="shared" si="21"/>
        <v>4</v>
      </c>
      <c r="E298">
        <f t="shared" si="22"/>
        <v>2</v>
      </c>
      <c r="F298">
        <f>IF(C298&gt;0,alpha_c*D298+(1-alpha_c)*F297,F297)</f>
        <v>2.5049182310091433</v>
      </c>
      <c r="G298">
        <f>IF(C298&gt;0, alpha_c*E298+(1-alpha_c)*G297,G297)</f>
        <v>1</v>
      </c>
      <c r="H298">
        <f t="shared" si="20"/>
        <v>2.5049182310091433</v>
      </c>
      <c r="I298">
        <f>(1-alpha_c/2)*(F298/G298)</f>
        <v>2.254426407908229</v>
      </c>
      <c r="J298" s="4">
        <f t="shared" si="23"/>
        <v>-2.5049182310091433</v>
      </c>
      <c r="K298">
        <f t="shared" si="24"/>
        <v>2.5049182310091433</v>
      </c>
    </row>
    <row r="299" spans="1:11" x14ac:dyDescent="0.2">
      <c r="A299" t="str">
        <v>d_298</v>
      </c>
      <c r="B299" s="2">
        <v>40869</v>
      </c>
      <c r="C299" s="4">
        <v>0</v>
      </c>
      <c r="D299">
        <f t="shared" si="21"/>
        <v>4</v>
      </c>
      <c r="E299">
        <f t="shared" si="22"/>
        <v>3</v>
      </c>
      <c r="F299">
        <f>IF(C299&gt;0,alpha_c*D299+(1-alpha_c)*F298,F298)</f>
        <v>2.5049182310091433</v>
      </c>
      <c r="G299">
        <f>IF(C299&gt;0, alpha_c*E299+(1-alpha_c)*G298,G298)</f>
        <v>1</v>
      </c>
      <c r="H299">
        <f t="shared" si="20"/>
        <v>2.5049182310091433</v>
      </c>
      <c r="I299">
        <f>(1-alpha_c/2)*(F299/G299)</f>
        <v>2.254426407908229</v>
      </c>
      <c r="J299" s="4">
        <f t="shared" si="23"/>
        <v>-2.5049182310091433</v>
      </c>
      <c r="K299">
        <f t="shared" si="24"/>
        <v>2.5049182310091433</v>
      </c>
    </row>
    <row r="300" spans="1:11" x14ac:dyDescent="0.2">
      <c r="A300" t="str">
        <v>d_299</v>
      </c>
      <c r="B300" s="2">
        <v>40870</v>
      </c>
      <c r="C300" s="4">
        <v>1</v>
      </c>
      <c r="D300">
        <f t="shared" si="21"/>
        <v>1</v>
      </c>
      <c r="E300">
        <f t="shared" si="22"/>
        <v>1</v>
      </c>
      <c r="F300">
        <f>IF(C300&gt;0,alpha_c*D300+(1-alpha_c)*F299,F299)</f>
        <v>2.2039345848073149</v>
      </c>
      <c r="G300">
        <f>IF(C300&gt;0, alpha_c*E300+(1-alpha_c)*G299,G299)</f>
        <v>1</v>
      </c>
      <c r="H300">
        <f t="shared" si="20"/>
        <v>2.2039345848073149</v>
      </c>
      <c r="I300">
        <f>(1-alpha_c/2)*(F300/G300)</f>
        <v>1.9835411263265834</v>
      </c>
      <c r="J300" s="4">
        <f t="shared" si="23"/>
        <v>-1.2039345848073149</v>
      </c>
      <c r="K300">
        <f t="shared" si="24"/>
        <v>1.2039345848073149</v>
      </c>
    </row>
    <row r="301" spans="1:11" x14ac:dyDescent="0.2">
      <c r="A301" t="str">
        <v>d_300</v>
      </c>
      <c r="B301" s="2">
        <v>40871</v>
      </c>
      <c r="C301" s="4">
        <v>0</v>
      </c>
      <c r="D301">
        <f t="shared" si="21"/>
        <v>1</v>
      </c>
      <c r="E301">
        <f t="shared" si="22"/>
        <v>2</v>
      </c>
      <c r="F301">
        <f>IF(C301&gt;0,alpha_c*D301+(1-alpha_c)*F300,F300)</f>
        <v>2.2039345848073149</v>
      </c>
      <c r="G301">
        <f>IF(C301&gt;0, alpha_c*E301+(1-alpha_c)*G300,G300)</f>
        <v>1</v>
      </c>
      <c r="H301">
        <f t="shared" si="20"/>
        <v>2.2039345848073149</v>
      </c>
      <c r="I301">
        <f>(1-alpha_c/2)*(F301/G301)</f>
        <v>1.9835411263265834</v>
      </c>
      <c r="J301" s="4">
        <f t="shared" si="23"/>
        <v>-2.2039345848073149</v>
      </c>
      <c r="K301">
        <f t="shared" si="24"/>
        <v>2.2039345848073149</v>
      </c>
    </row>
    <row r="302" spans="1:11" x14ac:dyDescent="0.2">
      <c r="A302" t="str">
        <v>d_301</v>
      </c>
      <c r="B302" s="2">
        <v>40872</v>
      </c>
      <c r="C302" s="4">
        <v>2</v>
      </c>
      <c r="D302">
        <f t="shared" si="21"/>
        <v>2</v>
      </c>
      <c r="E302">
        <f t="shared" si="22"/>
        <v>1</v>
      </c>
      <c r="F302">
        <f>IF(C302&gt;0,alpha_c*D302+(1-alpha_c)*F301,F301)</f>
        <v>2.1631476678458519</v>
      </c>
      <c r="G302">
        <f>IF(C302&gt;0, alpha_c*E302+(1-alpha_c)*G301,G301)</f>
        <v>1</v>
      </c>
      <c r="H302">
        <f t="shared" si="20"/>
        <v>2.1631476678458519</v>
      </c>
      <c r="I302">
        <f>(1-alpha_c/2)*(F302/G302)</f>
        <v>1.9468329010612668</v>
      </c>
      <c r="J302" s="4">
        <f t="shared" si="23"/>
        <v>-0.16314766784585188</v>
      </c>
      <c r="K302">
        <f t="shared" si="24"/>
        <v>0.16314766784585188</v>
      </c>
    </row>
    <row r="303" spans="1:11" x14ac:dyDescent="0.2">
      <c r="A303" t="str">
        <v>d_302</v>
      </c>
      <c r="B303" s="2">
        <v>40873</v>
      </c>
      <c r="C303" s="4">
        <v>0</v>
      </c>
      <c r="D303">
        <f t="shared" si="21"/>
        <v>2</v>
      </c>
      <c r="E303">
        <f t="shared" si="22"/>
        <v>2</v>
      </c>
      <c r="F303">
        <f>IF(C303&gt;0,alpha_c*D303+(1-alpha_c)*F302,F302)</f>
        <v>2.1631476678458519</v>
      </c>
      <c r="G303">
        <f>IF(C303&gt;0, alpha_c*E303+(1-alpha_c)*G302,G302)</f>
        <v>1</v>
      </c>
      <c r="H303">
        <f t="shared" si="20"/>
        <v>2.1631476678458519</v>
      </c>
      <c r="I303">
        <f>(1-alpha_c/2)*(F303/G303)</f>
        <v>1.9468329010612668</v>
      </c>
      <c r="J303" s="4">
        <f t="shared" si="23"/>
        <v>-2.1631476678458519</v>
      </c>
      <c r="K303">
        <f t="shared" si="24"/>
        <v>2.1631476678458519</v>
      </c>
    </row>
    <row r="304" spans="1:11" x14ac:dyDescent="0.2">
      <c r="A304" t="str">
        <v>d_303</v>
      </c>
      <c r="B304" s="2">
        <v>40874</v>
      </c>
      <c r="C304" s="4">
        <v>0</v>
      </c>
      <c r="D304">
        <f t="shared" si="21"/>
        <v>2</v>
      </c>
      <c r="E304">
        <f t="shared" si="22"/>
        <v>3</v>
      </c>
      <c r="F304">
        <f>IF(C304&gt;0,alpha_c*D304+(1-alpha_c)*F303,F303)</f>
        <v>2.1631476678458519</v>
      </c>
      <c r="G304">
        <f>IF(C304&gt;0, alpha_c*E304+(1-alpha_c)*G303,G303)</f>
        <v>1</v>
      </c>
      <c r="H304">
        <f t="shared" si="20"/>
        <v>2.1631476678458519</v>
      </c>
      <c r="I304">
        <f>(1-alpha_c/2)*(F304/G304)</f>
        <v>1.9468329010612668</v>
      </c>
      <c r="J304" s="4">
        <f t="shared" si="23"/>
        <v>-2.1631476678458519</v>
      </c>
      <c r="K304">
        <f t="shared" si="24"/>
        <v>2.1631476678458519</v>
      </c>
    </row>
    <row r="305" spans="1:11" x14ac:dyDescent="0.2">
      <c r="A305" t="str">
        <v>d_304</v>
      </c>
      <c r="B305" s="2">
        <v>40875</v>
      </c>
      <c r="C305" s="4">
        <v>1</v>
      </c>
      <c r="D305">
        <f t="shared" si="21"/>
        <v>1</v>
      </c>
      <c r="E305">
        <f t="shared" si="22"/>
        <v>1</v>
      </c>
      <c r="F305">
        <f>IF(C305&gt;0,alpha_c*D305+(1-alpha_c)*F304,F304)</f>
        <v>1.9305181342766815</v>
      </c>
      <c r="G305">
        <f>IF(C305&gt;0, alpha_c*E305+(1-alpha_c)*G304,G304)</f>
        <v>1</v>
      </c>
      <c r="H305">
        <f t="shared" si="20"/>
        <v>1.9305181342766815</v>
      </c>
      <c r="I305">
        <f>(1-alpha_c/2)*(F305/G305)</f>
        <v>1.7374663208490133</v>
      </c>
      <c r="J305" s="4">
        <f t="shared" si="23"/>
        <v>-0.93051813427668151</v>
      </c>
      <c r="K305">
        <f t="shared" si="24"/>
        <v>0.93051813427668151</v>
      </c>
    </row>
    <row r="306" spans="1:11" x14ac:dyDescent="0.2">
      <c r="A306" t="str">
        <v>d_305</v>
      </c>
      <c r="B306" s="2">
        <v>40876</v>
      </c>
      <c r="C306" s="4">
        <v>0</v>
      </c>
      <c r="D306">
        <f t="shared" si="21"/>
        <v>1</v>
      </c>
      <c r="E306">
        <f t="shared" si="22"/>
        <v>2</v>
      </c>
      <c r="F306">
        <f>IF(C306&gt;0,alpha_c*D306+(1-alpha_c)*F305,F305)</f>
        <v>1.9305181342766815</v>
      </c>
      <c r="G306">
        <f>IF(C306&gt;0, alpha_c*E306+(1-alpha_c)*G305,G305)</f>
        <v>1</v>
      </c>
      <c r="H306">
        <f t="shared" si="20"/>
        <v>1.9305181342766815</v>
      </c>
      <c r="I306">
        <f>(1-alpha_c/2)*(F306/G306)</f>
        <v>1.7374663208490133</v>
      </c>
      <c r="J306" s="4">
        <f t="shared" si="23"/>
        <v>-1.9305181342766815</v>
      </c>
      <c r="K306">
        <f t="shared" si="24"/>
        <v>1.9305181342766815</v>
      </c>
    </row>
    <row r="307" spans="1:11" x14ac:dyDescent="0.2">
      <c r="A307" t="str">
        <v>d_306</v>
      </c>
      <c r="B307" s="2">
        <v>40877</v>
      </c>
      <c r="C307" s="4">
        <v>8</v>
      </c>
      <c r="D307">
        <f t="shared" si="21"/>
        <v>8</v>
      </c>
      <c r="E307">
        <f t="shared" si="22"/>
        <v>1</v>
      </c>
      <c r="F307">
        <f>IF(C307&gt;0,alpha_c*D307+(1-alpha_c)*F306,F306)</f>
        <v>3.1444145074213452</v>
      </c>
      <c r="G307">
        <f>IF(C307&gt;0, alpha_c*E307+(1-alpha_c)*G306,G306)</f>
        <v>1</v>
      </c>
      <c r="H307">
        <f t="shared" si="20"/>
        <v>3.1444145074213452</v>
      </c>
      <c r="I307">
        <f>(1-alpha_c/2)*(F307/G307)</f>
        <v>2.829973056679211</v>
      </c>
      <c r="J307" s="4">
        <f t="shared" si="23"/>
        <v>4.8555854925786548</v>
      </c>
      <c r="K307">
        <f t="shared" si="24"/>
        <v>4.8555854925786548</v>
      </c>
    </row>
    <row r="308" spans="1:11" x14ac:dyDescent="0.2">
      <c r="A308" t="str">
        <v>d_307</v>
      </c>
      <c r="B308" s="2">
        <v>40878</v>
      </c>
      <c r="C308" s="4">
        <v>3</v>
      </c>
      <c r="D308">
        <f t="shared" si="21"/>
        <v>3</v>
      </c>
      <c r="E308">
        <f t="shared" si="22"/>
        <v>1</v>
      </c>
      <c r="F308">
        <f>IF(C308&gt;0,alpha_c*D308+(1-alpha_c)*F307,F307)</f>
        <v>3.1155316059370763</v>
      </c>
      <c r="G308">
        <f>IF(C308&gt;0, alpha_c*E308+(1-alpha_c)*G307,G307)</f>
        <v>1</v>
      </c>
      <c r="H308">
        <f t="shared" si="20"/>
        <v>3.1155316059370763</v>
      </c>
      <c r="I308">
        <f>(1-alpha_c/2)*(F308/G308)</f>
        <v>2.8039784453433687</v>
      </c>
      <c r="J308" s="4">
        <f t="shared" si="23"/>
        <v>-0.11553160593707634</v>
      </c>
      <c r="K308">
        <f t="shared" si="24"/>
        <v>0.11553160593707634</v>
      </c>
    </row>
    <row r="309" spans="1:11" x14ac:dyDescent="0.2">
      <c r="A309" t="str">
        <v>d_308</v>
      </c>
      <c r="B309" s="2">
        <v>40879</v>
      </c>
      <c r="C309" s="4">
        <v>1</v>
      </c>
      <c r="D309">
        <f t="shared" si="21"/>
        <v>1</v>
      </c>
      <c r="E309">
        <f t="shared" si="22"/>
        <v>1</v>
      </c>
      <c r="F309">
        <f>IF(C309&gt;0,alpha_c*D309+(1-alpha_c)*F308,F308)</f>
        <v>2.6924252847496613</v>
      </c>
      <c r="G309">
        <f>IF(C309&gt;0, alpha_c*E309+(1-alpha_c)*G308,G308)</f>
        <v>1</v>
      </c>
      <c r="H309">
        <f t="shared" si="20"/>
        <v>2.6924252847496613</v>
      </c>
      <c r="I309">
        <f>(1-alpha_c/2)*(F309/G309)</f>
        <v>2.423182756274695</v>
      </c>
      <c r="J309" s="4">
        <f t="shared" si="23"/>
        <v>-1.6924252847496613</v>
      </c>
      <c r="K309">
        <f t="shared" si="24"/>
        <v>1.6924252847496613</v>
      </c>
    </row>
    <row r="310" spans="1:11" x14ac:dyDescent="0.2">
      <c r="A310" t="str">
        <v>d_309</v>
      </c>
      <c r="B310" s="2">
        <v>40880</v>
      </c>
      <c r="C310" s="4">
        <v>1</v>
      </c>
      <c r="D310">
        <f t="shared" si="21"/>
        <v>1</v>
      </c>
      <c r="E310">
        <f t="shared" si="22"/>
        <v>1</v>
      </c>
      <c r="F310">
        <f>IF(C310&gt;0,alpha_c*D310+(1-alpha_c)*F309,F309)</f>
        <v>2.3539402277997294</v>
      </c>
      <c r="G310">
        <f>IF(C310&gt;0, alpha_c*E310+(1-alpha_c)*G309,G309)</f>
        <v>1</v>
      </c>
      <c r="H310">
        <f t="shared" si="20"/>
        <v>2.3539402277997294</v>
      </c>
      <c r="I310">
        <f>(1-alpha_c/2)*(F310/G310)</f>
        <v>2.1185462050197565</v>
      </c>
      <c r="J310" s="4">
        <f t="shared" si="23"/>
        <v>-1.3539402277997294</v>
      </c>
      <c r="K310">
        <f t="shared" si="24"/>
        <v>1.3539402277997294</v>
      </c>
    </row>
    <row r="311" spans="1:11" x14ac:dyDescent="0.2">
      <c r="A311" t="str">
        <v>d_310</v>
      </c>
      <c r="B311" s="2">
        <v>40881</v>
      </c>
      <c r="C311" s="4">
        <v>5</v>
      </c>
      <c r="D311">
        <f t="shared" si="21"/>
        <v>5</v>
      </c>
      <c r="E311">
        <f t="shared" si="22"/>
        <v>1</v>
      </c>
      <c r="F311">
        <f>IF(C311&gt;0,alpha_c*D311+(1-alpha_c)*F310,F310)</f>
        <v>2.8831521822397836</v>
      </c>
      <c r="G311">
        <f>IF(C311&gt;0, alpha_c*E311+(1-alpha_c)*G310,G310)</f>
        <v>1</v>
      </c>
      <c r="H311">
        <f t="shared" si="20"/>
        <v>2.8831521822397836</v>
      </c>
      <c r="I311">
        <f>(1-alpha_c/2)*(F311/G311)</f>
        <v>2.5948369640158053</v>
      </c>
      <c r="J311" s="4">
        <f t="shared" si="23"/>
        <v>2.1168478177602164</v>
      </c>
      <c r="K311">
        <f t="shared" si="24"/>
        <v>2.1168478177602164</v>
      </c>
    </row>
    <row r="312" spans="1:11" x14ac:dyDescent="0.2">
      <c r="A312" t="str">
        <v>d_311</v>
      </c>
      <c r="B312" s="2">
        <v>40882</v>
      </c>
      <c r="C312" s="4">
        <v>3</v>
      </c>
      <c r="D312">
        <f t="shared" si="21"/>
        <v>3</v>
      </c>
      <c r="E312">
        <f t="shared" si="22"/>
        <v>1</v>
      </c>
      <c r="F312">
        <f>IF(C312&gt;0,alpha_c*D312+(1-alpha_c)*F311,F311)</f>
        <v>2.9065217457918271</v>
      </c>
      <c r="G312">
        <f>IF(C312&gt;0, alpha_c*E312+(1-alpha_c)*G311,G311)</f>
        <v>1</v>
      </c>
      <c r="H312">
        <f t="shared" si="20"/>
        <v>2.9065217457918271</v>
      </c>
      <c r="I312">
        <f>(1-alpha_c/2)*(F312/G312)</f>
        <v>2.6158695712126443</v>
      </c>
      <c r="J312" s="4">
        <f t="shared" si="23"/>
        <v>9.3478254208172906E-2</v>
      </c>
      <c r="K312">
        <f t="shared" si="24"/>
        <v>9.3478254208172906E-2</v>
      </c>
    </row>
    <row r="313" spans="1:11" x14ac:dyDescent="0.2">
      <c r="A313" t="str">
        <v>d_312</v>
      </c>
      <c r="B313" s="2">
        <v>40883</v>
      </c>
      <c r="C313" s="4">
        <v>2</v>
      </c>
      <c r="D313">
        <f t="shared" si="21"/>
        <v>2</v>
      </c>
      <c r="E313">
        <f t="shared" si="22"/>
        <v>1</v>
      </c>
      <c r="F313">
        <f>IF(C313&gt;0,alpha_c*D313+(1-alpha_c)*F312,F312)</f>
        <v>2.7252173966334619</v>
      </c>
      <c r="G313">
        <f>IF(C313&gt;0, alpha_c*E313+(1-alpha_c)*G312,G312)</f>
        <v>1</v>
      </c>
      <c r="H313">
        <f t="shared" si="20"/>
        <v>2.7252173966334619</v>
      </c>
      <c r="I313">
        <f>(1-alpha_c/2)*(F313/G313)</f>
        <v>2.4526956569701159</v>
      </c>
      <c r="J313" s="4">
        <f t="shared" si="23"/>
        <v>-0.72521739663346185</v>
      </c>
      <c r="K313">
        <f t="shared" si="24"/>
        <v>0.72521739663346185</v>
      </c>
    </row>
    <row r="314" spans="1:11" x14ac:dyDescent="0.2">
      <c r="A314" t="str">
        <v>d_313</v>
      </c>
      <c r="B314" s="2">
        <v>40884</v>
      </c>
      <c r="C314" s="4">
        <v>0</v>
      </c>
      <c r="D314">
        <f t="shared" si="21"/>
        <v>2</v>
      </c>
      <c r="E314">
        <f t="shared" si="22"/>
        <v>2</v>
      </c>
      <c r="F314">
        <f>IF(C314&gt;0,alpha_c*D314+(1-alpha_c)*F313,F313)</f>
        <v>2.7252173966334619</v>
      </c>
      <c r="G314">
        <f>IF(C314&gt;0, alpha_c*E314+(1-alpha_c)*G313,G313)</f>
        <v>1</v>
      </c>
      <c r="H314">
        <f t="shared" si="20"/>
        <v>2.7252173966334619</v>
      </c>
      <c r="I314">
        <f>(1-alpha_c/2)*(F314/G314)</f>
        <v>2.4526956569701159</v>
      </c>
      <c r="J314" s="4">
        <f t="shared" si="23"/>
        <v>-2.7252173966334619</v>
      </c>
      <c r="K314">
        <f t="shared" si="24"/>
        <v>2.7252173966334619</v>
      </c>
    </row>
    <row r="315" spans="1:11" x14ac:dyDescent="0.2">
      <c r="A315" t="str">
        <v>d_314</v>
      </c>
      <c r="B315" s="2">
        <v>40885</v>
      </c>
      <c r="C315" s="4">
        <v>1</v>
      </c>
      <c r="D315">
        <f t="shared" si="21"/>
        <v>1</v>
      </c>
      <c r="E315">
        <f t="shared" si="22"/>
        <v>1</v>
      </c>
      <c r="F315">
        <f>IF(C315&gt;0,alpha_c*D315+(1-alpha_c)*F314,F314)</f>
        <v>2.3801739173067697</v>
      </c>
      <c r="G315">
        <f>IF(C315&gt;0, alpha_c*E315+(1-alpha_c)*G314,G314)</f>
        <v>1</v>
      </c>
      <c r="H315">
        <f t="shared" si="20"/>
        <v>2.3801739173067697</v>
      </c>
      <c r="I315">
        <f>(1-alpha_c/2)*(F315/G315)</f>
        <v>2.1421565255760928</v>
      </c>
      <c r="J315" s="4">
        <f t="shared" si="23"/>
        <v>-1.3801739173067697</v>
      </c>
      <c r="K315">
        <f t="shared" si="24"/>
        <v>1.3801739173067697</v>
      </c>
    </row>
    <row r="316" spans="1:11" x14ac:dyDescent="0.2">
      <c r="A316" t="str">
        <v>d_315</v>
      </c>
      <c r="B316" s="2">
        <v>40886</v>
      </c>
      <c r="C316" s="4">
        <v>0</v>
      </c>
      <c r="D316">
        <f t="shared" si="21"/>
        <v>1</v>
      </c>
      <c r="E316">
        <f t="shared" si="22"/>
        <v>2</v>
      </c>
      <c r="F316">
        <f>IF(C316&gt;0,alpha_c*D316+(1-alpha_c)*F315,F315)</f>
        <v>2.3801739173067697</v>
      </c>
      <c r="G316">
        <f>IF(C316&gt;0, alpha_c*E316+(1-alpha_c)*G315,G315)</f>
        <v>1</v>
      </c>
      <c r="H316">
        <f t="shared" si="20"/>
        <v>2.3801739173067697</v>
      </c>
      <c r="I316">
        <f>(1-alpha_c/2)*(F316/G316)</f>
        <v>2.1421565255760928</v>
      </c>
      <c r="J316" s="4">
        <f t="shared" si="23"/>
        <v>-2.3801739173067697</v>
      </c>
      <c r="K316">
        <f t="shared" si="24"/>
        <v>2.3801739173067697</v>
      </c>
    </row>
    <row r="317" spans="1:11" x14ac:dyDescent="0.2">
      <c r="A317" t="str">
        <v>d_316</v>
      </c>
      <c r="B317" s="2">
        <v>40887</v>
      </c>
      <c r="C317" s="4">
        <v>0</v>
      </c>
      <c r="D317">
        <f t="shared" si="21"/>
        <v>1</v>
      </c>
      <c r="E317">
        <f t="shared" si="22"/>
        <v>3</v>
      </c>
      <c r="F317">
        <f>IF(C317&gt;0,alpha_c*D317+(1-alpha_c)*F316,F316)</f>
        <v>2.3801739173067697</v>
      </c>
      <c r="G317">
        <f>IF(C317&gt;0, alpha_c*E317+(1-alpha_c)*G316,G316)</f>
        <v>1</v>
      </c>
      <c r="H317">
        <f t="shared" si="20"/>
        <v>2.3801739173067697</v>
      </c>
      <c r="I317">
        <f>(1-alpha_c/2)*(F317/G317)</f>
        <v>2.1421565255760928</v>
      </c>
      <c r="J317" s="4">
        <f t="shared" si="23"/>
        <v>-2.3801739173067697</v>
      </c>
      <c r="K317">
        <f t="shared" si="24"/>
        <v>2.3801739173067697</v>
      </c>
    </row>
    <row r="318" spans="1:11" x14ac:dyDescent="0.2">
      <c r="A318" t="str">
        <v>d_317</v>
      </c>
      <c r="B318" s="2">
        <v>40888</v>
      </c>
      <c r="C318" s="4">
        <v>2</v>
      </c>
      <c r="D318">
        <f t="shared" si="21"/>
        <v>2</v>
      </c>
      <c r="E318">
        <f t="shared" si="22"/>
        <v>1</v>
      </c>
      <c r="F318">
        <f>IF(C318&gt;0,alpha_c*D318+(1-alpha_c)*F317,F317)</f>
        <v>2.3041391338454158</v>
      </c>
      <c r="G318">
        <f>IF(C318&gt;0, alpha_c*E318+(1-alpha_c)*G317,G317)</f>
        <v>1</v>
      </c>
      <c r="H318">
        <f t="shared" si="20"/>
        <v>2.3041391338454158</v>
      </c>
      <c r="I318">
        <f>(1-alpha_c/2)*(F318/G318)</f>
        <v>2.0737252204608745</v>
      </c>
      <c r="J318" s="4">
        <f t="shared" si="23"/>
        <v>-0.3041391338454158</v>
      </c>
      <c r="K318">
        <f t="shared" si="24"/>
        <v>0.3041391338454158</v>
      </c>
    </row>
    <row r="319" spans="1:11" x14ac:dyDescent="0.2">
      <c r="A319" t="str">
        <v>d_318</v>
      </c>
      <c r="B319" s="2">
        <v>40889</v>
      </c>
      <c r="C319" s="4">
        <v>0</v>
      </c>
      <c r="D319">
        <f t="shared" si="21"/>
        <v>2</v>
      </c>
      <c r="E319">
        <f t="shared" si="22"/>
        <v>2</v>
      </c>
      <c r="F319">
        <f>IF(C319&gt;0,alpha_c*D319+(1-alpha_c)*F318,F318)</f>
        <v>2.3041391338454158</v>
      </c>
      <c r="G319">
        <f>IF(C319&gt;0, alpha_c*E319+(1-alpha_c)*G318,G318)</f>
        <v>1</v>
      </c>
      <c r="H319">
        <f t="shared" si="20"/>
        <v>2.3041391338454158</v>
      </c>
      <c r="I319">
        <f>(1-alpha_c/2)*(F319/G319)</f>
        <v>2.0737252204608745</v>
      </c>
      <c r="J319" s="4">
        <f t="shared" si="23"/>
        <v>-2.3041391338454158</v>
      </c>
      <c r="K319">
        <f t="shared" si="24"/>
        <v>2.3041391338454158</v>
      </c>
    </row>
    <row r="320" spans="1:11" x14ac:dyDescent="0.2">
      <c r="A320" t="str">
        <v>d_319</v>
      </c>
      <c r="B320" s="2">
        <v>40890</v>
      </c>
      <c r="C320" s="4">
        <v>1</v>
      </c>
      <c r="D320">
        <f t="shared" si="21"/>
        <v>1</v>
      </c>
      <c r="E320">
        <f t="shared" si="22"/>
        <v>1</v>
      </c>
      <c r="F320">
        <f>IF(C320&gt;0,alpha_c*D320+(1-alpha_c)*F319,F319)</f>
        <v>2.0433113070763329</v>
      </c>
      <c r="G320">
        <f>IF(C320&gt;0, alpha_c*E320+(1-alpha_c)*G319,G319)</f>
        <v>1</v>
      </c>
      <c r="H320">
        <f t="shared" si="20"/>
        <v>2.0433113070763329</v>
      </c>
      <c r="I320">
        <f>(1-alpha_c/2)*(F320/G320)</f>
        <v>1.8389801763686997</v>
      </c>
      <c r="J320" s="4">
        <f t="shared" si="23"/>
        <v>-1.0433113070763329</v>
      </c>
      <c r="K320">
        <f t="shared" si="24"/>
        <v>1.0433113070763329</v>
      </c>
    </row>
    <row r="321" spans="1:11" x14ac:dyDescent="0.2">
      <c r="A321" t="str">
        <v>d_320</v>
      </c>
      <c r="B321" s="2">
        <v>40891</v>
      </c>
      <c r="C321" s="4">
        <v>0</v>
      </c>
      <c r="D321">
        <f t="shared" si="21"/>
        <v>1</v>
      </c>
      <c r="E321">
        <f t="shared" si="22"/>
        <v>2</v>
      </c>
      <c r="F321">
        <f>IF(C321&gt;0,alpha_c*D321+(1-alpha_c)*F320,F320)</f>
        <v>2.0433113070763329</v>
      </c>
      <c r="G321">
        <f>IF(C321&gt;0, alpha_c*E321+(1-alpha_c)*G320,G320)</f>
        <v>1</v>
      </c>
      <c r="H321">
        <f t="shared" si="20"/>
        <v>2.0433113070763329</v>
      </c>
      <c r="I321">
        <f>(1-alpha_c/2)*(F321/G321)</f>
        <v>1.8389801763686997</v>
      </c>
      <c r="J321" s="4">
        <f t="shared" si="23"/>
        <v>-2.0433113070763329</v>
      </c>
      <c r="K321">
        <f t="shared" si="24"/>
        <v>2.0433113070763329</v>
      </c>
    </row>
    <row r="322" spans="1:11" x14ac:dyDescent="0.2">
      <c r="A322" t="str">
        <v>d_321</v>
      </c>
      <c r="B322" s="2">
        <v>40892</v>
      </c>
      <c r="C322" s="4">
        <v>1</v>
      </c>
      <c r="D322">
        <f t="shared" si="21"/>
        <v>1</v>
      </c>
      <c r="E322">
        <f t="shared" si="22"/>
        <v>1</v>
      </c>
      <c r="F322">
        <f>IF(C322&gt;0,alpha_c*D322+(1-alpha_c)*F321,F321)</f>
        <v>1.8346490456610665</v>
      </c>
      <c r="G322">
        <f>IF(C322&gt;0, alpha_c*E322+(1-alpha_c)*G321,G321)</f>
        <v>1</v>
      </c>
      <c r="H322">
        <f t="shared" si="20"/>
        <v>1.8346490456610665</v>
      </c>
      <c r="I322">
        <f>(1-alpha_c/2)*(F322/G322)</f>
        <v>1.6511841410949599</v>
      </c>
      <c r="J322" s="4">
        <f t="shared" si="23"/>
        <v>-0.83464904566106646</v>
      </c>
      <c r="K322">
        <f t="shared" si="24"/>
        <v>0.83464904566106646</v>
      </c>
    </row>
    <row r="323" spans="1:11" x14ac:dyDescent="0.2">
      <c r="A323" t="str">
        <v>d_322</v>
      </c>
      <c r="B323" s="2">
        <v>40893</v>
      </c>
      <c r="C323" s="4">
        <v>2</v>
      </c>
      <c r="D323">
        <f t="shared" si="21"/>
        <v>2</v>
      </c>
      <c r="E323">
        <f t="shared" si="22"/>
        <v>1</v>
      </c>
      <c r="F323">
        <f>IF(C323&gt;0,alpha_c*D323+(1-alpha_c)*F322,F322)</f>
        <v>1.8677192365288531</v>
      </c>
      <c r="G323">
        <f>IF(C323&gt;0, alpha_c*E323+(1-alpha_c)*G322,G322)</f>
        <v>1</v>
      </c>
      <c r="H323">
        <f t="shared" ref="H323:H366" si="25">F323/G323</f>
        <v>1.8677192365288531</v>
      </c>
      <c r="I323">
        <f>(1-alpha_c/2)*(F323/G323)</f>
        <v>1.6809473128759678</v>
      </c>
      <c r="J323" s="4">
        <f t="shared" si="23"/>
        <v>0.13228076347114692</v>
      </c>
      <c r="K323">
        <f t="shared" si="24"/>
        <v>0.13228076347114692</v>
      </c>
    </row>
    <row r="324" spans="1:11" x14ac:dyDescent="0.2">
      <c r="A324" t="str">
        <v>d_323</v>
      </c>
      <c r="B324" s="2">
        <v>40894</v>
      </c>
      <c r="C324" s="4">
        <v>2</v>
      </c>
      <c r="D324">
        <f t="shared" ref="D324:D366" si="26">IF(C324&gt;0,C324,D323)</f>
        <v>2</v>
      </c>
      <c r="E324">
        <f t="shared" ref="E324:E366" si="27">IF(C324&gt;0,1,E323+1)</f>
        <v>1</v>
      </c>
      <c r="F324">
        <f>IF(C324&gt;0,alpha_c*D324+(1-alpha_c)*F323,F323)</f>
        <v>1.8941753892230824</v>
      </c>
      <c r="G324">
        <f>IF(C324&gt;0, alpha_c*E324+(1-alpha_c)*G323,G323)</f>
        <v>1</v>
      </c>
      <c r="H324">
        <f t="shared" si="25"/>
        <v>1.8941753892230824</v>
      </c>
      <c r="I324">
        <f>(1-alpha_c/2)*(F324/G324)</f>
        <v>1.7047578503007741</v>
      </c>
      <c r="J324" s="4">
        <f t="shared" ref="J324:J366" si="28">C324-H324</f>
        <v>0.10582461077691763</v>
      </c>
      <c r="K324">
        <f t="shared" ref="K324:K366" si="29">ABS(J324)</f>
        <v>0.10582461077691763</v>
      </c>
    </row>
    <row r="325" spans="1:11" x14ac:dyDescent="0.2">
      <c r="A325" t="str">
        <v>d_324</v>
      </c>
      <c r="B325" s="2">
        <v>40895</v>
      </c>
      <c r="C325" s="4">
        <v>6</v>
      </c>
      <c r="D325">
        <f t="shared" si="26"/>
        <v>6</v>
      </c>
      <c r="E325">
        <f t="shared" si="27"/>
        <v>1</v>
      </c>
      <c r="F325">
        <f>IF(C325&gt;0,alpha_c*D325+(1-alpha_c)*F324,F324)</f>
        <v>2.7153403113784664</v>
      </c>
      <c r="G325">
        <f>IF(C325&gt;0, alpha_c*E325+(1-alpha_c)*G324,G324)</f>
        <v>1</v>
      </c>
      <c r="H325">
        <f t="shared" si="25"/>
        <v>2.7153403113784664</v>
      </c>
      <c r="I325">
        <f>(1-alpha_c/2)*(F325/G325)</f>
        <v>2.44380628024062</v>
      </c>
      <c r="J325" s="4">
        <f t="shared" si="28"/>
        <v>3.2846596886215336</v>
      </c>
      <c r="K325">
        <f t="shared" si="29"/>
        <v>3.2846596886215336</v>
      </c>
    </row>
    <row r="326" spans="1:11" x14ac:dyDescent="0.2">
      <c r="A326" t="str">
        <v>d_325</v>
      </c>
      <c r="B326" s="2">
        <v>40896</v>
      </c>
      <c r="C326" s="4">
        <v>2</v>
      </c>
      <c r="D326">
        <f t="shared" si="26"/>
        <v>2</v>
      </c>
      <c r="E326">
        <f t="shared" si="27"/>
        <v>1</v>
      </c>
      <c r="F326">
        <f>IF(C326&gt;0,alpha_c*D326+(1-alpha_c)*F325,F325)</f>
        <v>2.572272249102773</v>
      </c>
      <c r="G326">
        <f>IF(C326&gt;0, alpha_c*E326+(1-alpha_c)*G325,G325)</f>
        <v>1</v>
      </c>
      <c r="H326">
        <f t="shared" si="25"/>
        <v>2.572272249102773</v>
      </c>
      <c r="I326">
        <f>(1-alpha_c/2)*(F326/G326)</f>
        <v>2.3150450241924956</v>
      </c>
      <c r="J326" s="4">
        <f t="shared" si="28"/>
        <v>-0.57227224910277297</v>
      </c>
      <c r="K326">
        <f t="shared" si="29"/>
        <v>0.57227224910277297</v>
      </c>
    </row>
    <row r="327" spans="1:11" x14ac:dyDescent="0.2">
      <c r="A327" t="str">
        <v>d_326</v>
      </c>
      <c r="B327" s="2">
        <v>40897</v>
      </c>
      <c r="C327" s="4">
        <v>3</v>
      </c>
      <c r="D327">
        <f t="shared" si="26"/>
        <v>3</v>
      </c>
      <c r="E327">
        <f t="shared" si="27"/>
        <v>1</v>
      </c>
      <c r="F327">
        <f>IF(C327&gt;0,alpha_c*D327+(1-alpha_c)*F326,F326)</f>
        <v>2.6578177992822187</v>
      </c>
      <c r="G327">
        <f>IF(C327&gt;0, alpha_c*E327+(1-alpha_c)*G326,G326)</f>
        <v>1</v>
      </c>
      <c r="H327">
        <f t="shared" si="25"/>
        <v>2.6578177992822187</v>
      </c>
      <c r="I327">
        <f>(1-alpha_c/2)*(F327/G327)</f>
        <v>2.3920360193539971</v>
      </c>
      <c r="J327" s="4">
        <f t="shared" si="28"/>
        <v>0.34218220071778127</v>
      </c>
      <c r="K327">
        <f t="shared" si="29"/>
        <v>0.34218220071778127</v>
      </c>
    </row>
    <row r="328" spans="1:11" x14ac:dyDescent="0.2">
      <c r="A328" t="str">
        <v>d_327</v>
      </c>
      <c r="B328" s="2">
        <v>40898</v>
      </c>
      <c r="C328" s="4">
        <v>5</v>
      </c>
      <c r="D328">
        <f t="shared" si="26"/>
        <v>5</v>
      </c>
      <c r="E328">
        <f t="shared" si="27"/>
        <v>1</v>
      </c>
      <c r="F328">
        <f>IF(C328&gt;0,alpha_c*D328+(1-alpha_c)*F327,F327)</f>
        <v>3.1262542394257751</v>
      </c>
      <c r="G328">
        <f>IF(C328&gt;0, alpha_c*E328+(1-alpha_c)*G327,G327)</f>
        <v>1</v>
      </c>
      <c r="H328">
        <f t="shared" si="25"/>
        <v>3.1262542394257751</v>
      </c>
      <c r="I328">
        <f>(1-alpha_c/2)*(F328/G328)</f>
        <v>2.8136288154831974</v>
      </c>
      <c r="J328" s="4">
        <f t="shared" si="28"/>
        <v>1.8737457605742249</v>
      </c>
      <c r="K328">
        <f t="shared" si="29"/>
        <v>1.8737457605742249</v>
      </c>
    </row>
    <row r="329" spans="1:11" x14ac:dyDescent="0.2">
      <c r="A329" t="str">
        <v>d_328</v>
      </c>
      <c r="B329" s="2">
        <v>40899</v>
      </c>
      <c r="C329" s="4">
        <v>3</v>
      </c>
      <c r="D329">
        <f t="shared" si="26"/>
        <v>3</v>
      </c>
      <c r="E329">
        <f t="shared" si="27"/>
        <v>1</v>
      </c>
      <c r="F329">
        <f>IF(C329&gt;0,alpha_c*D329+(1-alpha_c)*F328,F328)</f>
        <v>3.1010033915406203</v>
      </c>
      <c r="G329">
        <f>IF(C329&gt;0, alpha_c*E329+(1-alpha_c)*G328,G328)</f>
        <v>1</v>
      </c>
      <c r="H329">
        <f t="shared" si="25"/>
        <v>3.1010033915406203</v>
      </c>
      <c r="I329">
        <f>(1-alpha_c/2)*(F329/G329)</f>
        <v>2.7909030523865583</v>
      </c>
      <c r="J329" s="4">
        <f t="shared" si="28"/>
        <v>-0.10100339154062032</v>
      </c>
      <c r="K329">
        <f t="shared" si="29"/>
        <v>0.10100339154062032</v>
      </c>
    </row>
    <row r="330" spans="1:11" x14ac:dyDescent="0.2">
      <c r="A330" t="str">
        <v>d_329</v>
      </c>
      <c r="B330" s="2">
        <v>40900</v>
      </c>
      <c r="C330" s="4">
        <v>5</v>
      </c>
      <c r="D330">
        <f t="shared" si="26"/>
        <v>5</v>
      </c>
      <c r="E330">
        <f t="shared" si="27"/>
        <v>1</v>
      </c>
      <c r="F330">
        <f>IF(C330&gt;0,alpha_c*D330+(1-alpha_c)*F329,F329)</f>
        <v>3.4808027132324963</v>
      </c>
      <c r="G330">
        <f>IF(C330&gt;0, alpha_c*E330+(1-alpha_c)*G329,G329)</f>
        <v>1</v>
      </c>
      <c r="H330">
        <f t="shared" si="25"/>
        <v>3.4808027132324963</v>
      </c>
      <c r="I330">
        <f>(1-alpha_c/2)*(F330/G330)</f>
        <v>3.1327224419092468</v>
      </c>
      <c r="J330" s="4">
        <f t="shared" si="28"/>
        <v>1.5191972867675037</v>
      </c>
      <c r="K330">
        <f t="shared" si="29"/>
        <v>1.5191972867675037</v>
      </c>
    </row>
    <row r="331" spans="1:11" x14ac:dyDescent="0.2">
      <c r="A331" t="str">
        <v>d_330</v>
      </c>
      <c r="B331" s="2">
        <v>40901</v>
      </c>
      <c r="C331" s="4">
        <v>1</v>
      </c>
      <c r="D331">
        <f t="shared" si="26"/>
        <v>1</v>
      </c>
      <c r="E331">
        <f t="shared" si="27"/>
        <v>1</v>
      </c>
      <c r="F331">
        <f>IF(C331&gt;0,alpha_c*D331+(1-alpha_c)*F330,F330)</f>
        <v>2.9846421705859973</v>
      </c>
      <c r="G331">
        <f>IF(C331&gt;0, alpha_c*E331+(1-alpha_c)*G330,G330)</f>
        <v>1</v>
      </c>
      <c r="H331">
        <f t="shared" si="25"/>
        <v>2.9846421705859973</v>
      </c>
      <c r="I331">
        <f>(1-alpha_c/2)*(F331/G331)</f>
        <v>2.6861779535273977</v>
      </c>
      <c r="J331" s="4">
        <f t="shared" si="28"/>
        <v>-1.9846421705859973</v>
      </c>
      <c r="K331">
        <f t="shared" si="29"/>
        <v>1.9846421705859973</v>
      </c>
    </row>
    <row r="332" spans="1:11" x14ac:dyDescent="0.2">
      <c r="A332" t="str">
        <v>d_331</v>
      </c>
      <c r="B332" s="2">
        <v>40902</v>
      </c>
      <c r="C332" s="4">
        <v>0</v>
      </c>
      <c r="D332">
        <f t="shared" si="26"/>
        <v>1</v>
      </c>
      <c r="E332">
        <f t="shared" si="27"/>
        <v>2</v>
      </c>
      <c r="F332">
        <f>IF(C332&gt;0,alpha_c*D332+(1-alpha_c)*F331,F331)</f>
        <v>2.9846421705859973</v>
      </c>
      <c r="G332">
        <f>IF(C332&gt;0, alpha_c*E332+(1-alpha_c)*G331,G331)</f>
        <v>1</v>
      </c>
      <c r="H332">
        <f t="shared" si="25"/>
        <v>2.9846421705859973</v>
      </c>
      <c r="I332">
        <f>(1-alpha_c/2)*(F332/G332)</f>
        <v>2.6861779535273977</v>
      </c>
      <c r="J332" s="4">
        <f t="shared" si="28"/>
        <v>-2.9846421705859973</v>
      </c>
      <c r="K332">
        <f t="shared" si="29"/>
        <v>2.9846421705859973</v>
      </c>
    </row>
    <row r="333" spans="1:11" x14ac:dyDescent="0.2">
      <c r="A333" t="str">
        <v>d_332</v>
      </c>
      <c r="B333" s="2">
        <v>40903</v>
      </c>
      <c r="C333" s="4">
        <v>1</v>
      </c>
      <c r="D333">
        <f t="shared" si="26"/>
        <v>1</v>
      </c>
      <c r="E333">
        <f t="shared" si="27"/>
        <v>1</v>
      </c>
      <c r="F333">
        <f>IF(C333&gt;0,alpha_c*D333+(1-alpha_c)*F332,F332)</f>
        <v>2.5877137364687983</v>
      </c>
      <c r="G333">
        <f>IF(C333&gt;0, alpha_c*E333+(1-alpha_c)*G332,G332)</f>
        <v>1</v>
      </c>
      <c r="H333">
        <f t="shared" si="25"/>
        <v>2.5877137364687983</v>
      </c>
      <c r="I333">
        <f>(1-alpha_c/2)*(F333/G333)</f>
        <v>2.3289423628219184</v>
      </c>
      <c r="J333" s="4">
        <f t="shared" si="28"/>
        <v>-1.5877137364687983</v>
      </c>
      <c r="K333">
        <f t="shared" si="29"/>
        <v>1.5877137364687983</v>
      </c>
    </row>
    <row r="334" spans="1:11" x14ac:dyDescent="0.2">
      <c r="A334" t="str">
        <v>d_333</v>
      </c>
      <c r="B334" s="2">
        <v>40904</v>
      </c>
      <c r="C334" s="4">
        <v>1</v>
      </c>
      <c r="D334">
        <f t="shared" si="26"/>
        <v>1</v>
      </c>
      <c r="E334">
        <f t="shared" si="27"/>
        <v>1</v>
      </c>
      <c r="F334">
        <f>IF(C334&gt;0,alpha_c*D334+(1-alpha_c)*F333,F333)</f>
        <v>2.270170989175039</v>
      </c>
      <c r="G334">
        <f>IF(C334&gt;0, alpha_c*E334+(1-alpha_c)*G333,G333)</f>
        <v>1</v>
      </c>
      <c r="H334">
        <f t="shared" si="25"/>
        <v>2.270170989175039</v>
      </c>
      <c r="I334">
        <f>(1-alpha_c/2)*(F334/G334)</f>
        <v>2.043153890257535</v>
      </c>
      <c r="J334" s="4">
        <f t="shared" si="28"/>
        <v>-1.270170989175039</v>
      </c>
      <c r="K334">
        <f t="shared" si="29"/>
        <v>1.270170989175039</v>
      </c>
    </row>
    <row r="335" spans="1:11" x14ac:dyDescent="0.2">
      <c r="A335" t="str">
        <v>d_334</v>
      </c>
      <c r="B335" s="2">
        <v>40905</v>
      </c>
      <c r="C335" s="4">
        <v>1</v>
      </c>
      <c r="D335">
        <f t="shared" si="26"/>
        <v>1</v>
      </c>
      <c r="E335">
        <f t="shared" si="27"/>
        <v>1</v>
      </c>
      <c r="F335">
        <f>IF(C335&gt;0,alpha_c*D335+(1-alpha_c)*F334,F334)</f>
        <v>2.0161367913400312</v>
      </c>
      <c r="G335">
        <f>IF(C335&gt;0, alpha_c*E335+(1-alpha_c)*G334,G334)</f>
        <v>1</v>
      </c>
      <c r="H335">
        <f t="shared" si="25"/>
        <v>2.0161367913400312</v>
      </c>
      <c r="I335">
        <f>(1-alpha_c/2)*(F335/G335)</f>
        <v>1.8145231122060281</v>
      </c>
      <c r="J335" s="4">
        <f t="shared" si="28"/>
        <v>-1.0161367913400312</v>
      </c>
      <c r="K335">
        <f t="shared" si="29"/>
        <v>1.0161367913400312</v>
      </c>
    </row>
    <row r="336" spans="1:11" x14ac:dyDescent="0.2">
      <c r="A336" t="str">
        <v>d_335</v>
      </c>
      <c r="B336" s="2">
        <v>40906</v>
      </c>
      <c r="C336" s="4">
        <v>0</v>
      </c>
      <c r="D336">
        <f t="shared" si="26"/>
        <v>1</v>
      </c>
      <c r="E336">
        <f t="shared" si="27"/>
        <v>2</v>
      </c>
      <c r="F336">
        <f>IF(C336&gt;0,alpha_c*D336+(1-alpha_c)*F335,F335)</f>
        <v>2.0161367913400312</v>
      </c>
      <c r="G336">
        <f>IF(C336&gt;0, alpha_c*E336+(1-alpha_c)*G335,G335)</f>
        <v>1</v>
      </c>
      <c r="H336">
        <f t="shared" si="25"/>
        <v>2.0161367913400312</v>
      </c>
      <c r="I336">
        <f>(1-alpha_c/2)*(F336/G336)</f>
        <v>1.8145231122060281</v>
      </c>
      <c r="J336" s="4">
        <f t="shared" si="28"/>
        <v>-2.0161367913400312</v>
      </c>
      <c r="K336">
        <f t="shared" si="29"/>
        <v>2.0161367913400312</v>
      </c>
    </row>
    <row r="337" spans="1:11" x14ac:dyDescent="0.2">
      <c r="A337" t="str">
        <v>d_336</v>
      </c>
      <c r="B337" s="2">
        <v>40907</v>
      </c>
      <c r="C337" s="4">
        <v>0</v>
      </c>
      <c r="D337">
        <f t="shared" si="26"/>
        <v>1</v>
      </c>
      <c r="E337">
        <f t="shared" si="27"/>
        <v>3</v>
      </c>
      <c r="F337">
        <f>IF(C337&gt;0,alpha_c*D337+(1-alpha_c)*F336,F336)</f>
        <v>2.0161367913400312</v>
      </c>
      <c r="G337">
        <f>IF(C337&gt;0, alpha_c*E337+(1-alpha_c)*G336,G336)</f>
        <v>1</v>
      </c>
      <c r="H337">
        <f t="shared" si="25"/>
        <v>2.0161367913400312</v>
      </c>
      <c r="I337">
        <f>(1-alpha_c/2)*(F337/G337)</f>
        <v>1.8145231122060281</v>
      </c>
      <c r="J337" s="4">
        <f t="shared" si="28"/>
        <v>-2.0161367913400312</v>
      </c>
      <c r="K337">
        <f t="shared" si="29"/>
        <v>2.0161367913400312</v>
      </c>
    </row>
    <row r="338" spans="1:11" x14ac:dyDescent="0.2">
      <c r="A338" t="str">
        <v>d_337</v>
      </c>
      <c r="B338" s="2">
        <v>40908</v>
      </c>
      <c r="C338" s="4">
        <v>2</v>
      </c>
      <c r="D338">
        <f t="shared" si="26"/>
        <v>2</v>
      </c>
      <c r="E338">
        <f t="shared" si="27"/>
        <v>1</v>
      </c>
      <c r="F338">
        <f>IF(C338&gt;0,alpha_c*D338+(1-alpha_c)*F337,F337)</f>
        <v>2.012909433072025</v>
      </c>
      <c r="G338">
        <f>IF(C338&gt;0, alpha_c*E338+(1-alpha_c)*G337,G337)</f>
        <v>1</v>
      </c>
      <c r="H338">
        <f t="shared" si="25"/>
        <v>2.012909433072025</v>
      </c>
      <c r="I338">
        <f>(1-alpha_c/2)*(F338/G338)</f>
        <v>1.8116184897648224</v>
      </c>
      <c r="J338" s="4">
        <f t="shared" si="28"/>
        <v>-1.2909433072024967E-2</v>
      </c>
      <c r="K338">
        <f t="shared" si="29"/>
        <v>1.2909433072024967E-2</v>
      </c>
    </row>
    <row r="339" spans="1:11" x14ac:dyDescent="0.2">
      <c r="A339" t="str">
        <v>d_338</v>
      </c>
      <c r="B339" s="2">
        <v>40909</v>
      </c>
      <c r="C339" s="4">
        <v>2</v>
      </c>
      <c r="D339">
        <f t="shared" si="26"/>
        <v>2</v>
      </c>
      <c r="E339">
        <f t="shared" si="27"/>
        <v>1</v>
      </c>
      <c r="F339">
        <f>IF(C339&gt;0,alpha_c*D339+(1-alpha_c)*F338,F338)</f>
        <v>2.0103275464576202</v>
      </c>
      <c r="G339">
        <f>IF(C339&gt;0, alpha_c*E339+(1-alpha_c)*G338,G338)</f>
        <v>1</v>
      </c>
      <c r="H339">
        <f t="shared" si="25"/>
        <v>2.0103275464576202</v>
      </c>
      <c r="I339">
        <f>(1-alpha_c/2)*(F339/G339)</f>
        <v>1.8092947918118583</v>
      </c>
      <c r="J339" s="4">
        <f t="shared" si="28"/>
        <v>-1.032754645762024E-2</v>
      </c>
      <c r="K339">
        <f t="shared" si="29"/>
        <v>1.032754645762024E-2</v>
      </c>
    </row>
    <row r="340" spans="1:11" x14ac:dyDescent="0.2">
      <c r="A340" t="str">
        <v>d_339</v>
      </c>
      <c r="B340" s="2">
        <v>40910</v>
      </c>
      <c r="C340" s="4">
        <v>0</v>
      </c>
      <c r="D340">
        <f t="shared" si="26"/>
        <v>2</v>
      </c>
      <c r="E340">
        <f t="shared" si="27"/>
        <v>2</v>
      </c>
      <c r="F340">
        <f>IF(C340&gt;0,alpha_c*D340+(1-alpha_c)*F339,F339)</f>
        <v>2.0103275464576202</v>
      </c>
      <c r="G340">
        <f>IF(C340&gt;0, alpha_c*E340+(1-alpha_c)*G339,G339)</f>
        <v>1</v>
      </c>
      <c r="H340">
        <f t="shared" si="25"/>
        <v>2.0103275464576202</v>
      </c>
      <c r="I340">
        <f>(1-alpha_c/2)*(F340/G340)</f>
        <v>1.8092947918118583</v>
      </c>
      <c r="J340" s="4">
        <f t="shared" si="28"/>
        <v>-2.0103275464576202</v>
      </c>
      <c r="K340">
        <f t="shared" si="29"/>
        <v>2.0103275464576202</v>
      </c>
    </row>
    <row r="341" spans="1:11" x14ac:dyDescent="0.2">
      <c r="A341" t="str">
        <v>d_340</v>
      </c>
      <c r="B341" s="2">
        <v>40911</v>
      </c>
      <c r="C341" s="4">
        <v>0</v>
      </c>
      <c r="D341">
        <f t="shared" si="26"/>
        <v>2</v>
      </c>
      <c r="E341">
        <f t="shared" si="27"/>
        <v>3</v>
      </c>
      <c r="F341">
        <f>IF(C341&gt;0,alpha_c*D341+(1-alpha_c)*F340,F340)</f>
        <v>2.0103275464576202</v>
      </c>
      <c r="G341">
        <f>IF(C341&gt;0, alpha_c*E341+(1-alpha_c)*G340,G340)</f>
        <v>1</v>
      </c>
      <c r="H341">
        <f t="shared" si="25"/>
        <v>2.0103275464576202</v>
      </c>
      <c r="I341">
        <f>(1-alpha_c/2)*(F341/G341)</f>
        <v>1.8092947918118583</v>
      </c>
      <c r="J341" s="4">
        <f t="shared" si="28"/>
        <v>-2.0103275464576202</v>
      </c>
      <c r="K341">
        <f t="shared" si="29"/>
        <v>2.0103275464576202</v>
      </c>
    </row>
    <row r="342" spans="1:11" x14ac:dyDescent="0.2">
      <c r="A342" t="str">
        <v>d_341</v>
      </c>
      <c r="B342" s="2">
        <v>40912</v>
      </c>
      <c r="C342" s="4">
        <v>1</v>
      </c>
      <c r="D342">
        <f t="shared" si="26"/>
        <v>1</v>
      </c>
      <c r="E342">
        <f t="shared" si="27"/>
        <v>1</v>
      </c>
      <c r="F342">
        <f>IF(C342&gt;0,alpha_c*D342+(1-alpha_c)*F341,F341)</f>
        <v>1.8082620371660962</v>
      </c>
      <c r="G342">
        <f>IF(C342&gt;0, alpha_c*E342+(1-alpha_c)*G341,G341)</f>
        <v>1</v>
      </c>
      <c r="H342">
        <f t="shared" si="25"/>
        <v>1.8082620371660962</v>
      </c>
      <c r="I342">
        <f>(1-alpha_c/2)*(F342/G342)</f>
        <v>1.6274358334494867</v>
      </c>
      <c r="J342" s="4">
        <f t="shared" si="28"/>
        <v>-0.80826203716609624</v>
      </c>
      <c r="K342">
        <f t="shared" si="29"/>
        <v>0.80826203716609624</v>
      </c>
    </row>
    <row r="343" spans="1:11" x14ac:dyDescent="0.2">
      <c r="A343" t="str">
        <v>d_342</v>
      </c>
      <c r="B343" s="2">
        <v>40913</v>
      </c>
      <c r="C343" s="4">
        <v>1</v>
      </c>
      <c r="D343">
        <f t="shared" si="26"/>
        <v>1</v>
      </c>
      <c r="E343">
        <f t="shared" si="27"/>
        <v>1</v>
      </c>
      <c r="F343">
        <f>IF(C343&gt;0,alpha_c*D343+(1-alpha_c)*F342,F342)</f>
        <v>1.6466096297328769</v>
      </c>
      <c r="G343">
        <f>IF(C343&gt;0, alpha_c*E343+(1-alpha_c)*G342,G342)</f>
        <v>1</v>
      </c>
      <c r="H343">
        <f t="shared" si="25"/>
        <v>1.6466096297328769</v>
      </c>
      <c r="I343">
        <f>(1-alpha_c/2)*(F343/G343)</f>
        <v>1.4819486667595894</v>
      </c>
      <c r="J343" s="4">
        <f t="shared" si="28"/>
        <v>-0.64660962973287694</v>
      </c>
      <c r="K343">
        <f t="shared" si="29"/>
        <v>0.64660962973287694</v>
      </c>
    </row>
    <row r="344" spans="1:11" x14ac:dyDescent="0.2">
      <c r="A344" t="str">
        <v>d_343</v>
      </c>
      <c r="B344" s="2">
        <v>40914</v>
      </c>
      <c r="C344" s="4">
        <v>0</v>
      </c>
      <c r="D344">
        <f t="shared" si="26"/>
        <v>1</v>
      </c>
      <c r="E344">
        <f t="shared" si="27"/>
        <v>2</v>
      </c>
      <c r="F344">
        <f>IF(C344&gt;0,alpha_c*D344+(1-alpha_c)*F343,F343)</f>
        <v>1.6466096297328769</v>
      </c>
      <c r="G344">
        <f>IF(C344&gt;0, alpha_c*E344+(1-alpha_c)*G343,G343)</f>
        <v>1</v>
      </c>
      <c r="H344">
        <f t="shared" si="25"/>
        <v>1.6466096297328769</v>
      </c>
      <c r="I344">
        <f>(1-alpha_c/2)*(F344/G344)</f>
        <v>1.4819486667595894</v>
      </c>
      <c r="J344" s="4">
        <f t="shared" si="28"/>
        <v>-1.6466096297328769</v>
      </c>
      <c r="K344">
        <f t="shared" si="29"/>
        <v>1.6466096297328769</v>
      </c>
    </row>
    <row r="345" spans="1:11" x14ac:dyDescent="0.2">
      <c r="A345" t="str">
        <v>d_344</v>
      </c>
      <c r="B345" s="2">
        <v>40915</v>
      </c>
      <c r="C345" s="4">
        <v>1</v>
      </c>
      <c r="D345">
        <f t="shared" si="26"/>
        <v>1</v>
      </c>
      <c r="E345">
        <f t="shared" si="27"/>
        <v>1</v>
      </c>
      <c r="F345">
        <f>IF(C345&gt;0,alpha_c*D345+(1-alpha_c)*F344,F344)</f>
        <v>1.5172877037863015</v>
      </c>
      <c r="G345">
        <f>IF(C345&gt;0, alpha_c*E345+(1-alpha_c)*G344,G344)</f>
        <v>1</v>
      </c>
      <c r="H345">
        <f t="shared" si="25"/>
        <v>1.5172877037863015</v>
      </c>
      <c r="I345">
        <f>(1-alpha_c/2)*(F345/G345)</f>
        <v>1.3655589334076714</v>
      </c>
      <c r="J345" s="4">
        <f t="shared" si="28"/>
        <v>-0.51728770378630151</v>
      </c>
      <c r="K345">
        <f t="shared" si="29"/>
        <v>0.51728770378630151</v>
      </c>
    </row>
    <row r="346" spans="1:11" x14ac:dyDescent="0.2">
      <c r="A346" t="str">
        <v>d_345</v>
      </c>
      <c r="B346" s="2">
        <v>40916</v>
      </c>
      <c r="C346" s="4">
        <v>0</v>
      </c>
      <c r="D346">
        <f t="shared" si="26"/>
        <v>1</v>
      </c>
      <c r="E346">
        <f t="shared" si="27"/>
        <v>2</v>
      </c>
      <c r="F346">
        <f>IF(C346&gt;0,alpha_c*D346+(1-alpha_c)*F345,F345)</f>
        <v>1.5172877037863015</v>
      </c>
      <c r="G346">
        <f>IF(C346&gt;0, alpha_c*E346+(1-alpha_c)*G345,G345)</f>
        <v>1</v>
      </c>
      <c r="H346">
        <f t="shared" si="25"/>
        <v>1.5172877037863015</v>
      </c>
      <c r="I346">
        <f>(1-alpha_c/2)*(F346/G346)</f>
        <v>1.3655589334076714</v>
      </c>
      <c r="J346" s="4">
        <f t="shared" si="28"/>
        <v>-1.5172877037863015</v>
      </c>
      <c r="K346">
        <f t="shared" si="29"/>
        <v>1.5172877037863015</v>
      </c>
    </row>
    <row r="347" spans="1:11" x14ac:dyDescent="0.2">
      <c r="A347" t="str">
        <v>d_346</v>
      </c>
      <c r="B347" s="2">
        <v>40917</v>
      </c>
      <c r="C347" s="4">
        <v>0</v>
      </c>
      <c r="D347">
        <f t="shared" si="26"/>
        <v>1</v>
      </c>
      <c r="E347">
        <f t="shared" si="27"/>
        <v>3</v>
      </c>
      <c r="F347">
        <f>IF(C347&gt;0,alpha_c*D347+(1-alpha_c)*F346,F346)</f>
        <v>1.5172877037863015</v>
      </c>
      <c r="G347">
        <f>IF(C347&gt;0, alpha_c*E347+(1-alpha_c)*G346,G346)</f>
        <v>1</v>
      </c>
      <c r="H347">
        <f t="shared" si="25"/>
        <v>1.5172877037863015</v>
      </c>
      <c r="I347">
        <f>(1-alpha_c/2)*(F347/G347)</f>
        <v>1.3655589334076714</v>
      </c>
      <c r="J347" s="4">
        <f t="shared" si="28"/>
        <v>-1.5172877037863015</v>
      </c>
      <c r="K347">
        <f t="shared" si="29"/>
        <v>1.5172877037863015</v>
      </c>
    </row>
    <row r="348" spans="1:11" x14ac:dyDescent="0.2">
      <c r="A348" t="str">
        <v>d_347</v>
      </c>
      <c r="B348" s="2">
        <v>40918</v>
      </c>
      <c r="C348" s="4">
        <v>0</v>
      </c>
      <c r="D348">
        <f t="shared" si="26"/>
        <v>1</v>
      </c>
      <c r="E348">
        <f t="shared" si="27"/>
        <v>4</v>
      </c>
      <c r="F348">
        <f>IF(C348&gt;0,alpha_c*D348+(1-alpha_c)*F347,F347)</f>
        <v>1.5172877037863015</v>
      </c>
      <c r="G348">
        <f>IF(C348&gt;0, alpha_c*E348+(1-alpha_c)*G347,G347)</f>
        <v>1</v>
      </c>
      <c r="H348">
        <f t="shared" si="25"/>
        <v>1.5172877037863015</v>
      </c>
      <c r="I348">
        <f>(1-alpha_c/2)*(F348/G348)</f>
        <v>1.3655589334076714</v>
      </c>
      <c r="J348" s="4">
        <f t="shared" si="28"/>
        <v>-1.5172877037863015</v>
      </c>
      <c r="K348">
        <f t="shared" si="29"/>
        <v>1.5172877037863015</v>
      </c>
    </row>
    <row r="349" spans="1:11" x14ac:dyDescent="0.2">
      <c r="A349" t="str">
        <v>d_348</v>
      </c>
      <c r="B349" s="2">
        <v>40919</v>
      </c>
      <c r="C349" s="4">
        <v>2</v>
      </c>
      <c r="D349">
        <f t="shared" si="26"/>
        <v>2</v>
      </c>
      <c r="E349">
        <f t="shared" si="27"/>
        <v>1</v>
      </c>
      <c r="F349">
        <f>IF(C349&gt;0,alpha_c*D349+(1-alpha_c)*F348,F348)</f>
        <v>1.6138301630290415</v>
      </c>
      <c r="G349">
        <f>IF(C349&gt;0, alpha_c*E349+(1-alpha_c)*G348,G348)</f>
        <v>1</v>
      </c>
      <c r="H349">
        <f t="shared" si="25"/>
        <v>1.6138301630290415</v>
      </c>
      <c r="I349">
        <f>(1-alpha_c/2)*(F349/G349)</f>
        <v>1.4524471467261373</v>
      </c>
      <c r="J349" s="4">
        <f t="shared" si="28"/>
        <v>0.38616983697095852</v>
      </c>
      <c r="K349">
        <f t="shared" si="29"/>
        <v>0.38616983697095852</v>
      </c>
    </row>
    <row r="350" spans="1:11" x14ac:dyDescent="0.2">
      <c r="A350" t="str">
        <v>d_349</v>
      </c>
      <c r="B350" s="2">
        <v>40920</v>
      </c>
      <c r="C350" s="4">
        <v>0</v>
      </c>
      <c r="D350">
        <f t="shared" si="26"/>
        <v>2</v>
      </c>
      <c r="E350">
        <f t="shared" si="27"/>
        <v>2</v>
      </c>
      <c r="F350">
        <f>IF(C350&gt;0,alpha_c*D350+(1-alpha_c)*F349,F349)</f>
        <v>1.6138301630290415</v>
      </c>
      <c r="G350">
        <f>IF(C350&gt;0, alpha_c*E350+(1-alpha_c)*G349,G349)</f>
        <v>1</v>
      </c>
      <c r="H350">
        <f t="shared" si="25"/>
        <v>1.6138301630290415</v>
      </c>
      <c r="I350">
        <f>(1-alpha_c/2)*(F350/G350)</f>
        <v>1.4524471467261373</v>
      </c>
      <c r="J350" s="4">
        <f t="shared" si="28"/>
        <v>-1.6138301630290415</v>
      </c>
      <c r="K350">
        <f t="shared" si="29"/>
        <v>1.6138301630290415</v>
      </c>
    </row>
    <row r="351" spans="1:11" x14ac:dyDescent="0.2">
      <c r="A351" t="str">
        <v>d_350</v>
      </c>
      <c r="B351" s="2">
        <v>40921</v>
      </c>
      <c r="C351" s="4">
        <v>1</v>
      </c>
      <c r="D351">
        <f t="shared" si="26"/>
        <v>1</v>
      </c>
      <c r="E351">
        <f t="shared" si="27"/>
        <v>1</v>
      </c>
      <c r="F351">
        <f>IF(C351&gt;0,alpha_c*D351+(1-alpha_c)*F350,F350)</f>
        <v>1.4910641304232333</v>
      </c>
      <c r="G351">
        <f>IF(C351&gt;0, alpha_c*E351+(1-alpha_c)*G350,G350)</f>
        <v>1</v>
      </c>
      <c r="H351">
        <f t="shared" si="25"/>
        <v>1.4910641304232333</v>
      </c>
      <c r="I351">
        <f>(1-alpha_c/2)*(F351/G351)</f>
        <v>1.3419577173809101</v>
      </c>
      <c r="J351" s="4">
        <f t="shared" si="28"/>
        <v>-0.49106413042323327</v>
      </c>
      <c r="K351">
        <f t="shared" si="29"/>
        <v>0.49106413042323327</v>
      </c>
    </row>
    <row r="352" spans="1:11" x14ac:dyDescent="0.2">
      <c r="A352" t="str">
        <v>d_351</v>
      </c>
      <c r="B352" s="2">
        <v>40922</v>
      </c>
      <c r="C352" s="4">
        <v>0</v>
      </c>
      <c r="D352">
        <f t="shared" si="26"/>
        <v>1</v>
      </c>
      <c r="E352">
        <f t="shared" si="27"/>
        <v>2</v>
      </c>
      <c r="F352">
        <f>IF(C352&gt;0,alpha_c*D352+(1-alpha_c)*F351,F351)</f>
        <v>1.4910641304232333</v>
      </c>
      <c r="G352">
        <f>IF(C352&gt;0, alpha_c*E352+(1-alpha_c)*G351,G351)</f>
        <v>1</v>
      </c>
      <c r="H352">
        <f t="shared" si="25"/>
        <v>1.4910641304232333</v>
      </c>
      <c r="I352">
        <f>(1-alpha_c/2)*(F352/G352)</f>
        <v>1.3419577173809101</v>
      </c>
      <c r="J352" s="4">
        <f t="shared" si="28"/>
        <v>-1.4910641304232333</v>
      </c>
      <c r="K352">
        <f t="shared" si="29"/>
        <v>1.4910641304232333</v>
      </c>
    </row>
    <row r="353" spans="1:11" x14ac:dyDescent="0.2">
      <c r="A353" t="str">
        <v>d_352</v>
      </c>
      <c r="B353" s="2">
        <v>40923</v>
      </c>
      <c r="C353" s="4">
        <v>1</v>
      </c>
      <c r="D353">
        <f t="shared" si="26"/>
        <v>1</v>
      </c>
      <c r="E353">
        <f t="shared" si="27"/>
        <v>1</v>
      </c>
      <c r="F353">
        <f>IF(C353&gt;0,alpha_c*D353+(1-alpha_c)*F352,F352)</f>
        <v>1.3928513043385866</v>
      </c>
      <c r="G353">
        <f>IF(C353&gt;0, alpha_c*E353+(1-alpha_c)*G352,G352)</f>
        <v>1</v>
      </c>
      <c r="H353">
        <f t="shared" si="25"/>
        <v>1.3928513043385866</v>
      </c>
      <c r="I353">
        <f>(1-alpha_c/2)*(F353/G353)</f>
        <v>1.2535661739047279</v>
      </c>
      <c r="J353" s="4">
        <f t="shared" si="28"/>
        <v>-0.39285130433858662</v>
      </c>
      <c r="K353">
        <f t="shared" si="29"/>
        <v>0.39285130433858662</v>
      </c>
    </row>
    <row r="354" spans="1:11" x14ac:dyDescent="0.2">
      <c r="A354" t="str">
        <v>d_353</v>
      </c>
      <c r="B354" s="2">
        <v>40924</v>
      </c>
      <c r="C354" s="4">
        <v>1</v>
      </c>
      <c r="D354">
        <f t="shared" si="26"/>
        <v>1</v>
      </c>
      <c r="E354">
        <f t="shared" si="27"/>
        <v>1</v>
      </c>
      <c r="F354">
        <f>IF(C354&gt;0,alpha_c*D354+(1-alpha_c)*F353,F353)</f>
        <v>1.3142810434708694</v>
      </c>
      <c r="G354">
        <f>IF(C354&gt;0, alpha_c*E354+(1-alpha_c)*G353,G353)</f>
        <v>1</v>
      </c>
      <c r="H354">
        <f t="shared" si="25"/>
        <v>1.3142810434708694</v>
      </c>
      <c r="I354">
        <f>(1-alpha_c/2)*(F354/G354)</f>
        <v>1.1828529391237825</v>
      </c>
      <c r="J354" s="4">
        <f t="shared" si="28"/>
        <v>-0.31428104347086938</v>
      </c>
      <c r="K354">
        <f t="shared" si="29"/>
        <v>0.31428104347086938</v>
      </c>
    </row>
    <row r="355" spans="1:11" x14ac:dyDescent="0.2">
      <c r="A355" t="str">
        <v>d_354</v>
      </c>
      <c r="B355" s="2">
        <v>40925</v>
      </c>
      <c r="C355" s="4">
        <v>1</v>
      </c>
      <c r="D355">
        <f t="shared" si="26"/>
        <v>1</v>
      </c>
      <c r="E355">
        <f t="shared" si="27"/>
        <v>1</v>
      </c>
      <c r="F355">
        <f>IF(C355&gt;0,alpha_c*D355+(1-alpha_c)*F354,F354)</f>
        <v>1.2514248347766954</v>
      </c>
      <c r="G355">
        <f>IF(C355&gt;0, alpha_c*E355+(1-alpha_c)*G354,G354)</f>
        <v>1</v>
      </c>
      <c r="H355">
        <f t="shared" si="25"/>
        <v>1.2514248347766954</v>
      </c>
      <c r="I355">
        <f>(1-alpha_c/2)*(F355/G355)</f>
        <v>1.1262823512990259</v>
      </c>
      <c r="J355" s="4">
        <f t="shared" si="28"/>
        <v>-0.25142483477669542</v>
      </c>
      <c r="K355">
        <f t="shared" si="29"/>
        <v>0.25142483477669542</v>
      </c>
    </row>
    <row r="356" spans="1:11" x14ac:dyDescent="0.2">
      <c r="A356" t="str">
        <v>d_355</v>
      </c>
      <c r="B356" s="2">
        <v>40926</v>
      </c>
      <c r="C356" s="4">
        <v>0</v>
      </c>
      <c r="D356">
        <f t="shared" si="26"/>
        <v>1</v>
      </c>
      <c r="E356">
        <f t="shared" si="27"/>
        <v>2</v>
      </c>
      <c r="F356">
        <f>IF(C356&gt;0,alpha_c*D356+(1-alpha_c)*F355,F355)</f>
        <v>1.2514248347766954</v>
      </c>
      <c r="G356">
        <f>IF(C356&gt;0, alpha_c*E356+(1-alpha_c)*G355,G355)</f>
        <v>1</v>
      </c>
      <c r="H356">
        <f t="shared" si="25"/>
        <v>1.2514248347766954</v>
      </c>
      <c r="I356">
        <f>(1-alpha_c/2)*(F356/G356)</f>
        <v>1.1262823512990259</v>
      </c>
      <c r="J356" s="4">
        <f t="shared" si="28"/>
        <v>-1.2514248347766954</v>
      </c>
      <c r="K356">
        <f t="shared" si="29"/>
        <v>1.2514248347766954</v>
      </c>
    </row>
    <row r="357" spans="1:11" x14ac:dyDescent="0.2">
      <c r="A357" t="str">
        <v>d_356</v>
      </c>
      <c r="B357" s="2">
        <v>40927</v>
      </c>
      <c r="C357" s="4">
        <v>0</v>
      </c>
      <c r="D357">
        <f t="shared" si="26"/>
        <v>1</v>
      </c>
      <c r="E357">
        <f t="shared" si="27"/>
        <v>3</v>
      </c>
      <c r="F357">
        <f>IF(C357&gt;0,alpha_c*D357+(1-alpha_c)*F356,F356)</f>
        <v>1.2514248347766954</v>
      </c>
      <c r="G357">
        <f>IF(C357&gt;0, alpha_c*E357+(1-alpha_c)*G356,G356)</f>
        <v>1</v>
      </c>
      <c r="H357">
        <f t="shared" si="25"/>
        <v>1.2514248347766954</v>
      </c>
      <c r="I357">
        <f>(1-alpha_c/2)*(F357/G357)</f>
        <v>1.1262823512990259</v>
      </c>
      <c r="J357" s="4">
        <f t="shared" si="28"/>
        <v>-1.2514248347766954</v>
      </c>
      <c r="K357">
        <f t="shared" si="29"/>
        <v>1.2514248347766954</v>
      </c>
    </row>
    <row r="358" spans="1:11" x14ac:dyDescent="0.2">
      <c r="A358" t="str">
        <v>d_357</v>
      </c>
      <c r="B358" s="2">
        <v>40928</v>
      </c>
      <c r="C358" s="4">
        <v>4</v>
      </c>
      <c r="D358">
        <f t="shared" si="26"/>
        <v>4</v>
      </c>
      <c r="E358">
        <f t="shared" si="27"/>
        <v>1</v>
      </c>
      <c r="F358">
        <f>IF(C358&gt;0,alpha_c*D358+(1-alpha_c)*F357,F357)</f>
        <v>1.8011398678213564</v>
      </c>
      <c r="G358">
        <f>IF(C358&gt;0, alpha_c*E358+(1-alpha_c)*G357,G357)</f>
        <v>1</v>
      </c>
      <c r="H358">
        <f t="shared" si="25"/>
        <v>1.8011398678213564</v>
      </c>
      <c r="I358">
        <f>(1-alpha_c/2)*(F358/G358)</f>
        <v>1.6210258810392209</v>
      </c>
      <c r="J358" s="4">
        <f t="shared" si="28"/>
        <v>2.1988601321786438</v>
      </c>
      <c r="K358">
        <f t="shared" si="29"/>
        <v>2.1988601321786438</v>
      </c>
    </row>
    <row r="359" spans="1:11" x14ac:dyDescent="0.2">
      <c r="A359" t="str">
        <v>d_358</v>
      </c>
      <c r="B359" s="2">
        <v>40929</v>
      </c>
      <c r="C359" s="4">
        <v>1</v>
      </c>
      <c r="D359">
        <f t="shared" si="26"/>
        <v>1</v>
      </c>
      <c r="E359">
        <f t="shared" si="27"/>
        <v>1</v>
      </c>
      <c r="F359">
        <f>IF(C359&gt;0,alpha_c*D359+(1-alpha_c)*F358,F358)</f>
        <v>1.6409118942570851</v>
      </c>
      <c r="G359">
        <f>IF(C359&gt;0, alpha_c*E359+(1-alpha_c)*G358,G358)</f>
        <v>1</v>
      </c>
      <c r="H359">
        <f t="shared" si="25"/>
        <v>1.6409118942570851</v>
      </c>
      <c r="I359">
        <f>(1-alpha_c/2)*(F359/G359)</f>
        <v>1.4768207048313766</v>
      </c>
      <c r="J359" s="4">
        <f t="shared" si="28"/>
        <v>-0.64091189425708506</v>
      </c>
      <c r="K359">
        <f t="shared" si="29"/>
        <v>0.64091189425708506</v>
      </c>
    </row>
    <row r="360" spans="1:11" x14ac:dyDescent="0.2">
      <c r="A360" t="str">
        <v>d_359</v>
      </c>
      <c r="B360" s="2">
        <v>40930</v>
      </c>
      <c r="C360" s="4">
        <v>1</v>
      </c>
      <c r="D360">
        <f t="shared" si="26"/>
        <v>1</v>
      </c>
      <c r="E360">
        <f t="shared" si="27"/>
        <v>1</v>
      </c>
      <c r="F360">
        <f>IF(C360&gt;0,alpha_c*D360+(1-alpha_c)*F359,F359)</f>
        <v>1.5127295154056681</v>
      </c>
      <c r="G360">
        <f>IF(C360&gt;0, alpha_c*E360+(1-alpha_c)*G359,G359)</f>
        <v>1</v>
      </c>
      <c r="H360">
        <f t="shared" si="25"/>
        <v>1.5127295154056681</v>
      </c>
      <c r="I360">
        <f>(1-alpha_c/2)*(F360/G360)</f>
        <v>1.3614565638651013</v>
      </c>
      <c r="J360" s="4">
        <f t="shared" si="28"/>
        <v>-0.51272951540566813</v>
      </c>
      <c r="K360">
        <f t="shared" si="29"/>
        <v>0.51272951540566813</v>
      </c>
    </row>
    <row r="361" spans="1:11" x14ac:dyDescent="0.2">
      <c r="A361" t="str">
        <v>d_360</v>
      </c>
      <c r="B361" s="2">
        <v>40931</v>
      </c>
      <c r="C361" s="4">
        <v>0</v>
      </c>
      <c r="D361">
        <f t="shared" si="26"/>
        <v>1</v>
      </c>
      <c r="E361">
        <f t="shared" si="27"/>
        <v>2</v>
      </c>
      <c r="F361">
        <f>IF(C361&gt;0,alpha_c*D361+(1-alpha_c)*F360,F360)</f>
        <v>1.5127295154056681</v>
      </c>
      <c r="G361">
        <f>IF(C361&gt;0, alpha_c*E361+(1-alpha_c)*G360,G360)</f>
        <v>1</v>
      </c>
      <c r="H361">
        <f t="shared" si="25"/>
        <v>1.5127295154056681</v>
      </c>
      <c r="I361">
        <f>(1-alpha_c/2)*(F361/G361)</f>
        <v>1.3614565638651013</v>
      </c>
      <c r="J361" s="4">
        <f t="shared" si="28"/>
        <v>-1.5127295154056681</v>
      </c>
      <c r="K361">
        <f t="shared" si="29"/>
        <v>1.5127295154056681</v>
      </c>
    </row>
    <row r="362" spans="1:11" x14ac:dyDescent="0.2">
      <c r="A362" t="str">
        <v>d_361</v>
      </c>
      <c r="B362" s="2">
        <v>40932</v>
      </c>
      <c r="C362" s="4">
        <v>0</v>
      </c>
      <c r="D362">
        <f t="shared" si="26"/>
        <v>1</v>
      </c>
      <c r="E362">
        <f t="shared" si="27"/>
        <v>3</v>
      </c>
      <c r="F362">
        <f>IF(C362&gt;0,alpha_c*D362+(1-alpha_c)*F361,F361)</f>
        <v>1.5127295154056681</v>
      </c>
      <c r="G362">
        <f>IF(C362&gt;0, alpha_c*E362+(1-alpha_c)*G361,G361)</f>
        <v>1</v>
      </c>
      <c r="H362">
        <f t="shared" si="25"/>
        <v>1.5127295154056681</v>
      </c>
      <c r="I362">
        <f>(1-alpha_c/2)*(F362/G362)</f>
        <v>1.3614565638651013</v>
      </c>
      <c r="J362" s="4">
        <f t="shared" si="28"/>
        <v>-1.5127295154056681</v>
      </c>
      <c r="K362">
        <f t="shared" si="29"/>
        <v>1.5127295154056681</v>
      </c>
    </row>
    <row r="363" spans="1:11" x14ac:dyDescent="0.2">
      <c r="A363" t="str">
        <v>d_362</v>
      </c>
      <c r="B363" s="2">
        <v>40933</v>
      </c>
      <c r="C363" s="4">
        <v>0</v>
      </c>
      <c r="D363">
        <f t="shared" si="26"/>
        <v>1</v>
      </c>
      <c r="E363">
        <f t="shared" si="27"/>
        <v>4</v>
      </c>
      <c r="F363">
        <f>IF(C363&gt;0,alpha_c*D363+(1-alpha_c)*F362,F362)</f>
        <v>1.5127295154056681</v>
      </c>
      <c r="G363">
        <f>IF(C363&gt;0, alpha_c*E363+(1-alpha_c)*G362,G362)</f>
        <v>1</v>
      </c>
      <c r="H363">
        <f t="shared" si="25"/>
        <v>1.5127295154056681</v>
      </c>
      <c r="I363">
        <f>(1-alpha_c/2)*(F363/G363)</f>
        <v>1.3614565638651013</v>
      </c>
      <c r="J363" s="4">
        <f t="shared" si="28"/>
        <v>-1.5127295154056681</v>
      </c>
      <c r="K363">
        <f t="shared" si="29"/>
        <v>1.5127295154056681</v>
      </c>
    </row>
    <row r="364" spans="1:11" x14ac:dyDescent="0.2">
      <c r="A364" t="str">
        <v>d_363</v>
      </c>
      <c r="B364" s="2">
        <v>40934</v>
      </c>
      <c r="C364" s="4">
        <v>0</v>
      </c>
      <c r="D364">
        <f t="shared" si="26"/>
        <v>1</v>
      </c>
      <c r="E364">
        <f t="shared" si="27"/>
        <v>5</v>
      </c>
      <c r="F364">
        <f>IF(C364&gt;0,alpha_c*D364+(1-alpha_c)*F363,F363)</f>
        <v>1.5127295154056681</v>
      </c>
      <c r="G364">
        <f>IF(C364&gt;0, alpha_c*E364+(1-alpha_c)*G363,G363)</f>
        <v>1</v>
      </c>
      <c r="H364">
        <f t="shared" si="25"/>
        <v>1.5127295154056681</v>
      </c>
      <c r="I364">
        <f>(1-alpha_c/2)*(F364/G364)</f>
        <v>1.3614565638651013</v>
      </c>
      <c r="J364" s="4">
        <f t="shared" si="28"/>
        <v>-1.5127295154056681</v>
      </c>
      <c r="K364">
        <f t="shared" si="29"/>
        <v>1.5127295154056681</v>
      </c>
    </row>
    <row r="365" spans="1:11" x14ac:dyDescent="0.2">
      <c r="A365" t="str">
        <v>d_364</v>
      </c>
      <c r="B365" s="2">
        <v>40935</v>
      </c>
      <c r="C365" s="4">
        <v>0</v>
      </c>
      <c r="D365">
        <f t="shared" si="26"/>
        <v>1</v>
      </c>
      <c r="E365">
        <f t="shared" si="27"/>
        <v>6</v>
      </c>
      <c r="F365">
        <f>IF(C365&gt;0,alpha_c*D365+(1-alpha_c)*F364,F364)</f>
        <v>1.5127295154056681</v>
      </c>
      <c r="G365">
        <f>IF(C365&gt;0, alpha_c*E365+(1-alpha_c)*G364,G364)</f>
        <v>1</v>
      </c>
      <c r="H365">
        <f t="shared" si="25"/>
        <v>1.5127295154056681</v>
      </c>
      <c r="I365">
        <f>(1-alpha_c/2)*(F365/G365)</f>
        <v>1.3614565638651013</v>
      </c>
      <c r="J365" s="4">
        <f t="shared" si="28"/>
        <v>-1.5127295154056681</v>
      </c>
      <c r="K365">
        <f t="shared" si="29"/>
        <v>1.5127295154056681</v>
      </c>
    </row>
    <row r="366" spans="1:11" x14ac:dyDescent="0.2">
      <c r="A366" t="str">
        <v>d_365</v>
      </c>
      <c r="B366" s="2">
        <v>40936</v>
      </c>
      <c r="C366" s="4">
        <v>2</v>
      </c>
      <c r="D366">
        <f t="shared" si="26"/>
        <v>2</v>
      </c>
      <c r="E366">
        <f t="shared" si="27"/>
        <v>1</v>
      </c>
      <c r="F366">
        <f>IF(C366&gt;0,alpha_c*D366+(1-alpha_c)*F365,F365)</f>
        <v>1.6101836123245348</v>
      </c>
      <c r="G366">
        <f>IF(C366&gt;0, alpha_c*E366+(1-alpha_c)*G365,G365)</f>
        <v>1</v>
      </c>
      <c r="H366">
        <f t="shared" si="25"/>
        <v>1.6101836123245348</v>
      </c>
      <c r="I366">
        <f>(1-alpha_c/2)*(F366/G366)</f>
        <v>1.4491652510920814</v>
      </c>
      <c r="J366" s="4">
        <f t="shared" si="28"/>
        <v>0.38981638767546523</v>
      </c>
      <c r="K366">
        <f t="shared" si="29"/>
        <v>0.38981638767546523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0B1D1-9714-D546-834C-35B0A6153499}">
  <dimension ref="S1:W10"/>
  <sheetViews>
    <sheetView tabSelected="1" topLeftCell="C1" workbookViewId="0">
      <selection activeCell="N15" sqref="N15"/>
    </sheetView>
  </sheetViews>
  <sheetFormatPr baseColWidth="10" defaultRowHeight="16" x14ac:dyDescent="0.2"/>
  <cols>
    <col min="19" max="19" width="14.1640625" customWidth="1"/>
    <col min="20" max="20" width="16.5" customWidth="1"/>
  </cols>
  <sheetData>
    <row r="1" spans="19:23" x14ac:dyDescent="0.2">
      <c r="S1" t="s">
        <v>429</v>
      </c>
      <c r="T1" t="s">
        <v>430</v>
      </c>
      <c r="U1" t="s">
        <v>431</v>
      </c>
      <c r="V1" t="s">
        <v>432</v>
      </c>
      <c r="W1" t="s">
        <v>433</v>
      </c>
    </row>
    <row r="2" spans="19:23" x14ac:dyDescent="0.2">
      <c r="S2" t="s">
        <v>11</v>
      </c>
      <c r="T2">
        <f>AVERAGEIFS(InputData!H2:H301,InputData!C2:C301,"Saturday")</f>
        <v>1.069767441860465</v>
      </c>
      <c r="U2">
        <f>T2/T10</f>
        <v>1.3152878383530306</v>
      </c>
    </row>
    <row r="3" spans="19:23" x14ac:dyDescent="0.2">
      <c r="S3" t="s">
        <v>14</v>
      </c>
      <c r="T3">
        <f>AVERAGEIFS(InputData!H2:H301,InputData!C2:C301,"Sunday")</f>
        <v>1.0232558139534884</v>
      </c>
      <c r="U3">
        <f>T3/T10</f>
        <v>1.2581014105985513</v>
      </c>
    </row>
    <row r="4" spans="19:23" x14ac:dyDescent="0.2">
      <c r="S4" t="s">
        <v>16</v>
      </c>
      <c r="T4">
        <f>AVERAGEIFS(InputData!H2:H301,InputData!C2:C301,"Monday")</f>
        <v>0.60465116279069764</v>
      </c>
      <c r="U4">
        <f>T4/T10</f>
        <v>0.7434235608082348</v>
      </c>
    </row>
    <row r="5" spans="19:23" x14ac:dyDescent="0.2">
      <c r="S5" t="s">
        <v>18</v>
      </c>
      <c r="T5">
        <f>AVERAGEIFS(InputData!H2:H301,InputData!C2:C301,"Tuesday")</f>
        <v>0.58139534883720934</v>
      </c>
      <c r="U5">
        <f>T5/T10</f>
        <v>0.71483034693099512</v>
      </c>
    </row>
    <row r="6" spans="19:23" x14ac:dyDescent="0.2">
      <c r="S6" t="s">
        <v>20</v>
      </c>
      <c r="T6">
        <f>AVERAGEIFS(InputData!H2:H301,InputData!C2:C301,"Wednesday")</f>
        <v>0.72093023255813948</v>
      </c>
      <c r="U6">
        <f>T6/T10</f>
        <v>0.88638963019443373</v>
      </c>
    </row>
    <row r="7" spans="19:23" x14ac:dyDescent="0.2">
      <c r="S7" t="s">
        <v>22</v>
      </c>
      <c r="T7">
        <f>AVERAGEIFS(InputData!H2:H301,InputData!C2:C301,"Thursday")</f>
        <v>0.67441860465116277</v>
      </c>
      <c r="U7">
        <f>T7/T10</f>
        <v>0.82920320243995416</v>
      </c>
    </row>
    <row r="8" spans="19:23" x14ac:dyDescent="0.2">
      <c r="S8" t="s">
        <v>24</v>
      </c>
      <c r="T8">
        <f>AVERAGEIFS(InputData!H2:H301,InputData!C2:C301,"Friday")</f>
        <v>1.0238095238095237</v>
      </c>
      <c r="U8">
        <f>T8/T10</f>
        <v>1.2587822014051522</v>
      </c>
    </row>
    <row r="10" spans="19:23" x14ac:dyDescent="0.2">
      <c r="S10" t="s">
        <v>434</v>
      </c>
      <c r="T10">
        <f>AVERAGE(InputData!H2:H301)</f>
        <v>0.81333333333333335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InputData</vt:lpstr>
      <vt:lpstr>MovingAverages</vt:lpstr>
      <vt:lpstr>Simple Exponential Smoothing</vt:lpstr>
      <vt:lpstr>Croston &amp; SBA Method</vt:lpstr>
      <vt:lpstr>SeasonalSES(Holt Winters lite)</vt:lpstr>
      <vt:lpstr>alpha_c</vt:lpstr>
      <vt:lpstr>alpha1</vt:lpstr>
      <vt:lpstr>alpha2</vt:lpstr>
      <vt:lpstr>alpha3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Niraj Chudali</dc:creator>
  <cp:lastModifiedBy>Niraj Chudali</cp:lastModifiedBy>
  <dcterms:created xsi:type="dcterms:W3CDTF">2026-06-15T01:48:39Z</dcterms:created>
  <dcterms:modified xsi:type="dcterms:W3CDTF">2026-06-16T02:52:35Z</dcterms:modified>
</cp:coreProperties>
</file>
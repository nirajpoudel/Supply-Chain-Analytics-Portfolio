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raj/Desktop/Supply Chain Analytics Portfolio/Project 1 - Sales Forecasting/"/>
    </mc:Choice>
  </mc:AlternateContent>
  <xr:revisionPtr revIDLastSave="0" documentId="13_ncr:1_{B7936FF8-E3C5-1545-862C-0E5A3168371A}" xr6:coauthVersionLast="47" xr6:coauthVersionMax="47" xr10:uidLastSave="{00000000-0000-0000-0000-000000000000}"/>
  <bookViews>
    <workbookView xWindow="680" yWindow="740" windowWidth="28040" windowHeight="17160" activeTab="2" xr2:uid="{B23510DF-DA71-774A-989E-40E978129852}"/>
  </bookViews>
  <sheets>
    <sheet name="InputData" sheetId="1" r:id="rId1"/>
    <sheet name="MovingAverages" sheetId="2" r:id="rId2"/>
    <sheet name="Simple Exponential Smooth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74" i="2" l="1" a="1"/>
  <c r="D374" i="2" a="1"/>
  <c r="C374" i="2" a="1"/>
  <c r="E373" i="2" a="1"/>
  <c r="D373" i="2" a="1"/>
  <c r="C373" i="2" a="1"/>
  <c r="E372" i="2" a="1"/>
  <c r="D372" i="2" a="1"/>
  <c r="C372" i="2" a="1"/>
  <c r="C371" i="2" a="1"/>
  <c r="E371" i="2" a="1"/>
  <c r="D371" i="2" a="1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0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8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16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8" i="2"/>
  <c r="E2" i="2" a="1"/>
  <c r="D2" i="2" a="1"/>
  <c r="C2" i="2" a="1"/>
  <c r="B2" i="2" a="1"/>
  <c r="A2" i="2" a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<sst xmlns="http://schemas.openxmlformats.org/spreadsheetml/2006/main" count="1134" uniqueCount="414">
  <si>
    <t>d</t>
  </si>
  <si>
    <t>date</t>
  </si>
  <si>
    <t>weekday</t>
  </si>
  <si>
    <t>wday</t>
  </si>
  <si>
    <t>month</t>
  </si>
  <si>
    <t>event_type_1</t>
  </si>
  <si>
    <t>snap_CA</t>
  </si>
  <si>
    <t>SKU1_Sales</t>
  </si>
  <si>
    <t>SKU2_Sales</t>
  </si>
  <si>
    <t>SKU3_Sales</t>
  </si>
  <si>
    <t>d_1</t>
  </si>
  <si>
    <t>Saturday</t>
  </si>
  <si>
    <t/>
  </si>
  <si>
    <t>d_2</t>
  </si>
  <si>
    <t>Sunday</t>
  </si>
  <si>
    <t>d_3</t>
  </si>
  <si>
    <t>Monday</t>
  </si>
  <si>
    <t>d_4</t>
  </si>
  <si>
    <t>Tuesday</t>
  </si>
  <si>
    <t>d_5</t>
  </si>
  <si>
    <t>Wednesday</t>
  </si>
  <si>
    <t>d_6</t>
  </si>
  <si>
    <t>Thursday</t>
  </si>
  <si>
    <t>d_7</t>
  </si>
  <si>
    <t>Friday</t>
  </si>
  <si>
    <t>d_8</t>
  </si>
  <si>
    <t>d_9</t>
  </si>
  <si>
    <t>Sporting</t>
  </si>
  <si>
    <t>d_10</t>
  </si>
  <si>
    <t>d_11</t>
  </si>
  <si>
    <t>d_12</t>
  </si>
  <si>
    <t>d_13</t>
  </si>
  <si>
    <t>d_14</t>
  </si>
  <si>
    <t>d_15</t>
  </si>
  <si>
    <t>d_16</t>
  </si>
  <si>
    <t>d_17</t>
  </si>
  <si>
    <t>Cultural</t>
  </si>
  <si>
    <t>d_18</t>
  </si>
  <si>
    <t>d_19</t>
  </si>
  <si>
    <t>d_20</t>
  </si>
  <si>
    <t>d_21</t>
  </si>
  <si>
    <t>d_22</t>
  </si>
  <si>
    <t>d_23</t>
  </si>
  <si>
    <t>d_24</t>
  </si>
  <si>
    <t>National</t>
  </si>
  <si>
    <t>d_25</t>
  </si>
  <si>
    <t>d_26</t>
  </si>
  <si>
    <t>d_27</t>
  </si>
  <si>
    <t>d_28</t>
  </si>
  <si>
    <t>d_29</t>
  </si>
  <si>
    <t>d_30</t>
  </si>
  <si>
    <t>d_31</t>
  </si>
  <si>
    <t>d_32</t>
  </si>
  <si>
    <t>d_33</t>
  </si>
  <si>
    <t>d_34</t>
  </si>
  <si>
    <t>d_35</t>
  </si>
  <si>
    <t>d_36</t>
  </si>
  <si>
    <t>d_37</t>
  </si>
  <si>
    <t>d_38</t>
  </si>
  <si>
    <t>d_39</t>
  </si>
  <si>
    <t>d_40</t>
  </si>
  <si>
    <t>Religious</t>
  </si>
  <si>
    <t>d_41</t>
  </si>
  <si>
    <t>d_42</t>
  </si>
  <si>
    <t>d_43</t>
  </si>
  <si>
    <t>d_44</t>
  </si>
  <si>
    <t>d_45</t>
  </si>
  <si>
    <t>d_46</t>
  </si>
  <si>
    <t>d_47</t>
  </si>
  <si>
    <t>d_48</t>
  </si>
  <si>
    <t>d_49</t>
  </si>
  <si>
    <t>d_50</t>
  </si>
  <si>
    <t>d_51</t>
  </si>
  <si>
    <t>d_52</t>
  </si>
  <si>
    <t>d_53</t>
  </si>
  <si>
    <t>d_54</t>
  </si>
  <si>
    <t>d_55</t>
  </si>
  <si>
    <t>d_56</t>
  </si>
  <si>
    <t>d_57</t>
  </si>
  <si>
    <t>d_58</t>
  </si>
  <si>
    <t>d_59</t>
  </si>
  <si>
    <t>d_60</t>
  </si>
  <si>
    <t>d_61</t>
  </si>
  <si>
    <t>d_62</t>
  </si>
  <si>
    <t>d_63</t>
  </si>
  <si>
    <t>d_64</t>
  </si>
  <si>
    <t>d_65</t>
  </si>
  <si>
    <t>d_66</t>
  </si>
  <si>
    <t>d_67</t>
  </si>
  <si>
    <t>d_68</t>
  </si>
  <si>
    <t>d_69</t>
  </si>
  <si>
    <t>d_70</t>
  </si>
  <si>
    <t>d_71</t>
  </si>
  <si>
    <t>d_72</t>
  </si>
  <si>
    <t>d_73</t>
  </si>
  <si>
    <t>d_74</t>
  </si>
  <si>
    <t>d_75</t>
  </si>
  <si>
    <t>d_76</t>
  </si>
  <si>
    <t>d_77</t>
  </si>
  <si>
    <t>d_78</t>
  </si>
  <si>
    <t>d_79</t>
  </si>
  <si>
    <t>d_80</t>
  </si>
  <si>
    <t>d_81</t>
  </si>
  <si>
    <t>d_82</t>
  </si>
  <si>
    <t>d_83</t>
  </si>
  <si>
    <t>d_84</t>
  </si>
  <si>
    <t>d_85</t>
  </si>
  <si>
    <t>d_86</t>
  </si>
  <si>
    <t>d_87</t>
  </si>
  <si>
    <t>d_88</t>
  </si>
  <si>
    <t>d_89</t>
  </si>
  <si>
    <t>d_90</t>
  </si>
  <si>
    <t>d_91</t>
  </si>
  <si>
    <t>d_92</t>
  </si>
  <si>
    <t>d_93</t>
  </si>
  <si>
    <t>d_94</t>
  </si>
  <si>
    <t>d_95</t>
  </si>
  <si>
    <t>d_96</t>
  </si>
  <si>
    <t>d_97</t>
  </si>
  <si>
    <t>d_98</t>
  </si>
  <si>
    <t>d_99</t>
  </si>
  <si>
    <t>d_100</t>
  </si>
  <si>
    <t>d_101</t>
  </si>
  <si>
    <t>d_102</t>
  </si>
  <si>
    <t>d_103</t>
  </si>
  <si>
    <t>d_104</t>
  </si>
  <si>
    <t>d_105</t>
  </si>
  <si>
    <t>d_106</t>
  </si>
  <si>
    <t>d_107</t>
  </si>
  <si>
    <t>d_108</t>
  </si>
  <si>
    <t>d_109</t>
  </si>
  <si>
    <t>d_110</t>
  </si>
  <si>
    <t>d_111</t>
  </si>
  <si>
    <t>d_112</t>
  </si>
  <si>
    <t>d_113</t>
  </si>
  <si>
    <t>d_114</t>
  </si>
  <si>
    <t>d_115</t>
  </si>
  <si>
    <t>d_116</t>
  </si>
  <si>
    <t>d_117</t>
  </si>
  <si>
    <t>d_118</t>
  </si>
  <si>
    <t>d_119</t>
  </si>
  <si>
    <t>d_120</t>
  </si>
  <si>
    <t>d_121</t>
  </si>
  <si>
    <t>d_122</t>
  </si>
  <si>
    <t>d_123</t>
  </si>
  <si>
    <t>d_124</t>
  </si>
  <si>
    <t>d_125</t>
  </si>
  <si>
    <t>d_126</t>
  </si>
  <si>
    <t>d_127</t>
  </si>
  <si>
    <t>d_128</t>
  </si>
  <si>
    <t>d_129</t>
  </si>
  <si>
    <t>d_130</t>
  </si>
  <si>
    <t>d_131</t>
  </si>
  <si>
    <t>d_132</t>
  </si>
  <si>
    <t>d_133</t>
  </si>
  <si>
    <t>d_134</t>
  </si>
  <si>
    <t>d_135</t>
  </si>
  <si>
    <t>d_136</t>
  </si>
  <si>
    <t>d_137</t>
  </si>
  <si>
    <t>d_138</t>
  </si>
  <si>
    <t>d_139</t>
  </si>
  <si>
    <t>d_140</t>
  </si>
  <si>
    <t>d_141</t>
  </si>
  <si>
    <t>d_142</t>
  </si>
  <si>
    <t>d_143</t>
  </si>
  <si>
    <t>d_144</t>
  </si>
  <si>
    <t>d_145</t>
  </si>
  <si>
    <t>d_146</t>
  </si>
  <si>
    <t>d_147</t>
  </si>
  <si>
    <t>d_148</t>
  </si>
  <si>
    <t>d_149</t>
  </si>
  <si>
    <t>d_150</t>
  </si>
  <si>
    <t>d_151</t>
  </si>
  <si>
    <t>d_152</t>
  </si>
  <si>
    <t>d_153</t>
  </si>
  <si>
    <t>d_154</t>
  </si>
  <si>
    <t>d_155</t>
  </si>
  <si>
    <t>d_156</t>
  </si>
  <si>
    <t>d_157</t>
  </si>
  <si>
    <t>d_158</t>
  </si>
  <si>
    <t>d_159</t>
  </si>
  <si>
    <t>d_160</t>
  </si>
  <si>
    <t>d_161</t>
  </si>
  <si>
    <t>d_162</t>
  </si>
  <si>
    <t>d_163</t>
  </si>
  <si>
    <t>d_164</t>
  </si>
  <si>
    <t>d_165</t>
  </si>
  <si>
    <t>d_166</t>
  </si>
  <si>
    <t>d_167</t>
  </si>
  <si>
    <t>d_168</t>
  </si>
  <si>
    <t>d_169</t>
  </si>
  <si>
    <t>d_170</t>
  </si>
  <si>
    <t>d_171</t>
  </si>
  <si>
    <t>d_172</t>
  </si>
  <si>
    <t>d_173</t>
  </si>
  <si>
    <t>d_174</t>
  </si>
  <si>
    <t>d_175</t>
  </si>
  <si>
    <t>d_176</t>
  </si>
  <si>
    <t>d_177</t>
  </si>
  <si>
    <t>d_178</t>
  </si>
  <si>
    <t>d_179</t>
  </si>
  <si>
    <t>d_180</t>
  </si>
  <si>
    <t>d_181</t>
  </si>
  <si>
    <t>d_182</t>
  </si>
  <si>
    <t>d_183</t>
  </si>
  <si>
    <t>d_184</t>
  </si>
  <si>
    <t>d_185</t>
  </si>
  <si>
    <t>d_186</t>
  </si>
  <si>
    <t>d_187</t>
  </si>
  <si>
    <t>d_188</t>
  </si>
  <si>
    <t>d_189</t>
  </si>
  <si>
    <t>d_190</t>
  </si>
  <si>
    <t>d_191</t>
  </si>
  <si>
    <t>d_192</t>
  </si>
  <si>
    <t>d_193</t>
  </si>
  <si>
    <t>d_194</t>
  </si>
  <si>
    <t>d_195</t>
  </si>
  <si>
    <t>d_196</t>
  </si>
  <si>
    <t>d_197</t>
  </si>
  <si>
    <t>d_198</t>
  </si>
  <si>
    <t>d_199</t>
  </si>
  <si>
    <t>d_200</t>
  </si>
  <si>
    <t>d_201</t>
  </si>
  <si>
    <t>d_202</t>
  </si>
  <si>
    <t>d_203</t>
  </si>
  <si>
    <t>d_204</t>
  </si>
  <si>
    <t>d_205</t>
  </si>
  <si>
    <t>d_206</t>
  </si>
  <si>
    <t>d_207</t>
  </si>
  <si>
    <t>d_208</t>
  </si>
  <si>
    <t>d_209</t>
  </si>
  <si>
    <t>d_210</t>
  </si>
  <si>
    <t>d_211</t>
  </si>
  <si>
    <t>d_212</t>
  </si>
  <si>
    <t>d_213</t>
  </si>
  <si>
    <t>d_214</t>
  </si>
  <si>
    <t>d_215</t>
  </si>
  <si>
    <t>d_216</t>
  </si>
  <si>
    <t>d_217</t>
  </si>
  <si>
    <t>d_218</t>
  </si>
  <si>
    <t>d_219</t>
  </si>
  <si>
    <t>d_220</t>
  </si>
  <si>
    <t>d_221</t>
  </si>
  <si>
    <t>d_222</t>
  </si>
  <si>
    <t>d_223</t>
  </si>
  <si>
    <t>d_224</t>
  </si>
  <si>
    <t>d_225</t>
  </si>
  <si>
    <t>d_226</t>
  </si>
  <si>
    <t>d_227</t>
  </si>
  <si>
    <t>d_228</t>
  </si>
  <si>
    <t>d_229</t>
  </si>
  <si>
    <t>d_230</t>
  </si>
  <si>
    <t>d_231</t>
  </si>
  <si>
    <t>d_232</t>
  </si>
  <si>
    <t>d_233</t>
  </si>
  <si>
    <t>d_234</t>
  </si>
  <si>
    <t>d_235</t>
  </si>
  <si>
    <t>d_236</t>
  </si>
  <si>
    <t>d_237</t>
  </si>
  <si>
    <t>d_238</t>
  </si>
  <si>
    <t>d_239</t>
  </si>
  <si>
    <t>d_240</t>
  </si>
  <si>
    <t>d_241</t>
  </si>
  <si>
    <t>d_242</t>
  </si>
  <si>
    <t>d_243</t>
  </si>
  <si>
    <t>d_244</t>
  </si>
  <si>
    <t>d_245</t>
  </si>
  <si>
    <t>d_246</t>
  </si>
  <si>
    <t>d_247</t>
  </si>
  <si>
    <t>d_248</t>
  </si>
  <si>
    <t>d_249</t>
  </si>
  <si>
    <t>d_250</t>
  </si>
  <si>
    <t>d_251</t>
  </si>
  <si>
    <t>d_252</t>
  </si>
  <si>
    <t>d_253</t>
  </si>
  <si>
    <t>d_254</t>
  </si>
  <si>
    <t>d_255</t>
  </si>
  <si>
    <t>d_256</t>
  </si>
  <si>
    <t>d_257</t>
  </si>
  <si>
    <t>d_258</t>
  </si>
  <si>
    <t>d_259</t>
  </si>
  <si>
    <t>d_260</t>
  </si>
  <si>
    <t>d_261</t>
  </si>
  <si>
    <t>d_262</t>
  </si>
  <si>
    <t>d_263</t>
  </si>
  <si>
    <t>d_264</t>
  </si>
  <si>
    <t>d_265</t>
  </si>
  <si>
    <t>d_266</t>
  </si>
  <si>
    <t>d_267</t>
  </si>
  <si>
    <t>d_268</t>
  </si>
  <si>
    <t>d_269</t>
  </si>
  <si>
    <t>d_270</t>
  </si>
  <si>
    <t>d_271</t>
  </si>
  <si>
    <t>d_272</t>
  </si>
  <si>
    <t>d_273</t>
  </si>
  <si>
    <t>d_274</t>
  </si>
  <si>
    <t>d_275</t>
  </si>
  <si>
    <t>d_276</t>
  </si>
  <si>
    <t>d_277</t>
  </si>
  <si>
    <t>d_278</t>
  </si>
  <si>
    <t>d_279</t>
  </si>
  <si>
    <t>d_280</t>
  </si>
  <si>
    <t>d_281</t>
  </si>
  <si>
    <t>d_282</t>
  </si>
  <si>
    <t>d_283</t>
  </si>
  <si>
    <t>d_284</t>
  </si>
  <si>
    <t>d_285</t>
  </si>
  <si>
    <t>d_286</t>
  </si>
  <si>
    <t>d_287</t>
  </si>
  <si>
    <t>d_288</t>
  </si>
  <si>
    <t>d_289</t>
  </si>
  <si>
    <t>d_290</t>
  </si>
  <si>
    <t>d_291</t>
  </si>
  <si>
    <t>d_292</t>
  </si>
  <si>
    <t>d_293</t>
  </si>
  <si>
    <t>d_294</t>
  </si>
  <si>
    <t>d_295</t>
  </si>
  <si>
    <t>d_296</t>
  </si>
  <si>
    <t>d_297</t>
  </si>
  <si>
    <t>d_298</t>
  </si>
  <si>
    <t>d_299</t>
  </si>
  <si>
    <t>d_300</t>
  </si>
  <si>
    <t>d_301</t>
  </si>
  <si>
    <t>d_302</t>
  </si>
  <si>
    <t>d_303</t>
  </si>
  <si>
    <t>d_304</t>
  </si>
  <si>
    <t>d_305</t>
  </si>
  <si>
    <t>d_306</t>
  </si>
  <si>
    <t>d_307</t>
  </si>
  <si>
    <t>d_308</t>
  </si>
  <si>
    <t>d_309</t>
  </si>
  <si>
    <t>d_310</t>
  </si>
  <si>
    <t>d_311</t>
  </si>
  <si>
    <t>d_312</t>
  </si>
  <si>
    <t>d_313</t>
  </si>
  <si>
    <t>d_314</t>
  </si>
  <si>
    <t>d_315</t>
  </si>
  <si>
    <t>d_316</t>
  </si>
  <si>
    <t>d_317</t>
  </si>
  <si>
    <t>d_318</t>
  </si>
  <si>
    <t>d_319</t>
  </si>
  <si>
    <t>d_320</t>
  </si>
  <si>
    <t>d_321</t>
  </si>
  <si>
    <t>d_322</t>
  </si>
  <si>
    <t>d_323</t>
  </si>
  <si>
    <t>d_324</t>
  </si>
  <si>
    <t>d_325</t>
  </si>
  <si>
    <t>d_326</t>
  </si>
  <si>
    <t>d_327</t>
  </si>
  <si>
    <t>d_328</t>
  </si>
  <si>
    <t>d_329</t>
  </si>
  <si>
    <t>d_330</t>
  </si>
  <si>
    <t>d_331</t>
  </si>
  <si>
    <t>d_332</t>
  </si>
  <si>
    <t>d_333</t>
  </si>
  <si>
    <t>d_334</t>
  </si>
  <si>
    <t>d_335</t>
  </si>
  <si>
    <t>d_336</t>
  </si>
  <si>
    <t>d_337</t>
  </si>
  <si>
    <t>d_338</t>
  </si>
  <si>
    <t>d_339</t>
  </si>
  <si>
    <t>d_340</t>
  </si>
  <si>
    <t>d_341</t>
  </si>
  <si>
    <t>d_342</t>
  </si>
  <si>
    <t>d_343</t>
  </si>
  <si>
    <t>d_344</t>
  </si>
  <si>
    <t>d_345</t>
  </si>
  <si>
    <t>d_346</t>
  </si>
  <si>
    <t>d_347</t>
  </si>
  <si>
    <t>d_348</t>
  </si>
  <si>
    <t>d_349</t>
  </si>
  <si>
    <t>d_350</t>
  </si>
  <si>
    <t>d_351</t>
  </si>
  <si>
    <t>d_352</t>
  </si>
  <si>
    <t>d_353</t>
  </si>
  <si>
    <t>d_354</t>
  </si>
  <si>
    <t>d_355</t>
  </si>
  <si>
    <t>d_356</t>
  </si>
  <si>
    <t>d_357</t>
  </si>
  <si>
    <t>d_358</t>
  </si>
  <si>
    <t>d_359</t>
  </si>
  <si>
    <t>d_360</t>
  </si>
  <si>
    <t>d_361</t>
  </si>
  <si>
    <t>d_362</t>
  </si>
  <si>
    <t>d_363</t>
  </si>
  <si>
    <t>d_364</t>
  </si>
  <si>
    <t>d_365</t>
  </si>
  <si>
    <t>Train_Val_Flag</t>
  </si>
  <si>
    <t>SKU1_Actual</t>
  </si>
  <si>
    <t>SKU2_Actual</t>
  </si>
  <si>
    <t>SKU3_Actual</t>
  </si>
  <si>
    <t>SKU1_7MA</t>
  </si>
  <si>
    <t>SKU2_7MA</t>
  </si>
  <si>
    <t>SKU3_7MA</t>
  </si>
  <si>
    <t>SKU1_14MA</t>
  </si>
  <si>
    <t>SKU2_14MA</t>
  </si>
  <si>
    <t>SKU3_14MA</t>
  </si>
  <si>
    <t>SKU1_28MA</t>
  </si>
  <si>
    <t>SKU2_28MA</t>
  </si>
  <si>
    <t>SKU3_28MA</t>
  </si>
  <si>
    <t>Metric</t>
  </si>
  <si>
    <t>7MA_SKU1</t>
  </si>
  <si>
    <t>14MA_SKU2</t>
  </si>
  <si>
    <t>28MA_SKU1</t>
  </si>
  <si>
    <t>14MA_SKU1</t>
  </si>
  <si>
    <t>MAE</t>
  </si>
  <si>
    <t>RMSE</t>
  </si>
  <si>
    <t>MAPE</t>
  </si>
  <si>
    <t>BIAS</t>
  </si>
  <si>
    <t>7MA_SKU2</t>
  </si>
  <si>
    <t>28MA_SKU2</t>
  </si>
  <si>
    <t>7MA_SKU3</t>
  </si>
  <si>
    <t>14MA_SKU3</t>
  </si>
  <si>
    <t>28MA_SKU3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</si>
</sst>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30" formatCode="@"/>
    </dxf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94813-5DFB-0148-9E6D-F8E5B7A0DDF2}" name="Table2" displayName="Table2" ref="A1:K366" totalsRowShown="0" headerRowDxfId="3">
  <autoFilter ref="A1:K366" xr:uid="{EB194813-5DFB-0148-9E6D-F8E5B7A0DDF2}"/>
  <tableColumns count="11">
    <tableColumn id="1" xr3:uid="{D3F4CA90-4B3D-9E46-BEBE-7A1D4D94B32E}" name="d"/>
    <tableColumn id="2" xr3:uid="{39610352-F918-7841-87AA-079EB1331F0B}" name="date" dataDxfId="2"/>
    <tableColumn id="4" xr3:uid="{1B357B0E-EDAD-7244-B171-5797599382CE}" name="weekday" dataDxfId="1"/>
    <tableColumn id="5" xr3:uid="{BB84EC6A-7A69-5747-9A87-BEC32AF22C7D}" name="wday"/>
    <tableColumn id="6" xr3:uid="{E854B7C8-0327-CB47-98BA-40293EBB3775}" name="month"/>
    <tableColumn id="9" xr3:uid="{9EF1C199-4462-A74F-9EF9-BE21BFC8E537}" name="event_type_1"/>
    <tableColumn id="12" xr3:uid="{3B178B19-6C26-A24A-BD71-DA67D14E8789}" name="snap_CA"/>
    <tableColumn id="13" xr3:uid="{72A1FD5A-E6FB-F444-B410-348432A709A2}" name="SKU1_Sales"/>
    <tableColumn id="14" xr3:uid="{DB9E0BCF-277E-114F-A785-41034A0BEF12}" name="SKU2_Sales"/>
    <tableColumn id="15" xr3:uid="{51513610-E43C-EC43-9776-7B4D3824F8DF}" name="SKU3_Sales"/>
    <tableColumn id="3" xr3:uid="{360048B6-1FB3-484D-AD9A-AB0DF028C525}" name="Train_Val_Flag" dataDxfId="0">
      <calculatedColumnFormula>IF(ROW()-1&lt;=300,"Train","Validation")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4251-FEB2-E445-8A10-53039E8CD1AA}">
  <dimension ref="A1:K366"/>
  <sheetViews>
    <sheetView topLeftCell="A329" workbookViewId="0">
      <selection activeCell="H3" sqref="H2:H366"/>
    </sheetView>
  </sheetViews>
  <sheetFormatPr baseColWidth="10" defaultRowHeight="16" x14ac:dyDescent="0.2"/>
  <cols>
    <col min="11" max="11" width="13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387</v>
      </c>
    </row>
    <row r="2" spans="1:11" x14ac:dyDescent="0.2">
      <c r="A2" t="s">
        <v>10</v>
      </c>
      <c r="B2" s="2">
        <v>40572</v>
      </c>
      <c r="C2" s="3" t="s">
        <v>11</v>
      </c>
      <c r="D2">
        <v>1</v>
      </c>
      <c r="E2">
        <v>1</v>
      </c>
      <c r="F2" t="s">
        <v>12</v>
      </c>
      <c r="G2">
        <v>0</v>
      </c>
      <c r="H2">
        <v>3</v>
      </c>
      <c r="I2">
        <v>0</v>
      </c>
      <c r="J2">
        <v>0</v>
      </c>
      <c r="K2" t="str">
        <f t="shared" ref="K2:K65" si="0">IF(ROW()-1&lt;=300,"Train","Validation")</f>
        <v>Train</v>
      </c>
    </row>
    <row r="3" spans="1:11" x14ac:dyDescent="0.2">
      <c r="A3" t="s">
        <v>13</v>
      </c>
      <c r="B3" s="2">
        <v>40573</v>
      </c>
      <c r="C3" s="3" t="s">
        <v>14</v>
      </c>
      <c r="D3">
        <v>2</v>
      </c>
      <c r="E3">
        <v>1</v>
      </c>
      <c r="F3" t="s">
        <v>12</v>
      </c>
      <c r="G3">
        <v>0</v>
      </c>
      <c r="H3">
        <v>0</v>
      </c>
      <c r="I3">
        <v>1</v>
      </c>
      <c r="J3">
        <v>0</v>
      </c>
      <c r="K3" t="str">
        <f t="shared" si="0"/>
        <v>Train</v>
      </c>
    </row>
    <row r="4" spans="1:11" x14ac:dyDescent="0.2">
      <c r="A4" t="s">
        <v>15</v>
      </c>
      <c r="B4" s="2">
        <v>40574</v>
      </c>
      <c r="C4" s="3" t="s">
        <v>16</v>
      </c>
      <c r="D4">
        <v>3</v>
      </c>
      <c r="E4">
        <v>1</v>
      </c>
      <c r="F4" t="s">
        <v>12</v>
      </c>
      <c r="G4">
        <v>0</v>
      </c>
      <c r="H4">
        <v>0</v>
      </c>
      <c r="I4">
        <v>0</v>
      </c>
      <c r="J4">
        <v>0</v>
      </c>
      <c r="K4" t="str">
        <f t="shared" si="0"/>
        <v>Train</v>
      </c>
    </row>
    <row r="5" spans="1:11" x14ac:dyDescent="0.2">
      <c r="A5" t="s">
        <v>17</v>
      </c>
      <c r="B5" s="2">
        <v>40575</v>
      </c>
      <c r="C5" s="3" t="s">
        <v>18</v>
      </c>
      <c r="D5">
        <v>4</v>
      </c>
      <c r="E5">
        <v>2</v>
      </c>
      <c r="F5" t="s">
        <v>12</v>
      </c>
      <c r="G5">
        <v>1</v>
      </c>
      <c r="H5">
        <v>1</v>
      </c>
      <c r="I5">
        <v>1</v>
      </c>
      <c r="J5">
        <v>0</v>
      </c>
      <c r="K5" t="str">
        <f t="shared" si="0"/>
        <v>Train</v>
      </c>
    </row>
    <row r="6" spans="1:11" x14ac:dyDescent="0.2">
      <c r="A6" t="s">
        <v>19</v>
      </c>
      <c r="B6" s="2">
        <v>40576</v>
      </c>
      <c r="C6" s="3" t="s">
        <v>20</v>
      </c>
      <c r="D6">
        <v>5</v>
      </c>
      <c r="E6">
        <v>2</v>
      </c>
      <c r="F6" t="s">
        <v>12</v>
      </c>
      <c r="G6">
        <v>1</v>
      </c>
      <c r="H6">
        <v>4</v>
      </c>
      <c r="I6">
        <v>1</v>
      </c>
      <c r="J6">
        <v>1</v>
      </c>
      <c r="K6" t="str">
        <f t="shared" si="0"/>
        <v>Train</v>
      </c>
    </row>
    <row r="7" spans="1:11" x14ac:dyDescent="0.2">
      <c r="A7" t="s">
        <v>21</v>
      </c>
      <c r="B7" s="2">
        <v>40577</v>
      </c>
      <c r="C7" s="3" t="s">
        <v>22</v>
      </c>
      <c r="D7">
        <v>6</v>
      </c>
      <c r="E7">
        <v>2</v>
      </c>
      <c r="F7" t="s">
        <v>12</v>
      </c>
      <c r="G7">
        <v>1</v>
      </c>
      <c r="H7">
        <v>2</v>
      </c>
      <c r="I7">
        <v>1</v>
      </c>
      <c r="J7">
        <v>3</v>
      </c>
      <c r="K7" t="str">
        <f t="shared" si="0"/>
        <v>Train</v>
      </c>
    </row>
    <row r="8" spans="1:11" x14ac:dyDescent="0.2">
      <c r="A8" t="s">
        <v>23</v>
      </c>
      <c r="B8" s="2">
        <v>40578</v>
      </c>
      <c r="C8" s="3" t="s">
        <v>24</v>
      </c>
      <c r="D8">
        <v>7</v>
      </c>
      <c r="E8">
        <v>2</v>
      </c>
      <c r="F8" t="s">
        <v>12</v>
      </c>
      <c r="G8">
        <v>1</v>
      </c>
      <c r="H8">
        <v>0</v>
      </c>
      <c r="I8">
        <v>0</v>
      </c>
      <c r="J8">
        <v>1</v>
      </c>
      <c r="K8" t="str">
        <f t="shared" si="0"/>
        <v>Train</v>
      </c>
    </row>
    <row r="9" spans="1:11" x14ac:dyDescent="0.2">
      <c r="A9" t="s">
        <v>25</v>
      </c>
      <c r="B9" s="2">
        <v>40579</v>
      </c>
      <c r="C9" s="3" t="s">
        <v>11</v>
      </c>
      <c r="D9">
        <v>1</v>
      </c>
      <c r="E9">
        <v>2</v>
      </c>
      <c r="F9" t="s">
        <v>12</v>
      </c>
      <c r="G9">
        <v>1</v>
      </c>
      <c r="H9">
        <v>2</v>
      </c>
      <c r="I9">
        <v>0</v>
      </c>
      <c r="J9">
        <v>1</v>
      </c>
      <c r="K9" t="str">
        <f t="shared" si="0"/>
        <v>Train</v>
      </c>
    </row>
    <row r="10" spans="1:11" x14ac:dyDescent="0.2">
      <c r="A10" t="s">
        <v>26</v>
      </c>
      <c r="B10" s="2">
        <v>40580</v>
      </c>
      <c r="C10" s="3" t="s">
        <v>14</v>
      </c>
      <c r="D10">
        <v>2</v>
      </c>
      <c r="E10">
        <v>2</v>
      </c>
      <c r="F10" t="s">
        <v>27</v>
      </c>
      <c r="G10">
        <v>1</v>
      </c>
      <c r="H10">
        <v>0</v>
      </c>
      <c r="I10">
        <v>0</v>
      </c>
      <c r="J10">
        <v>1</v>
      </c>
      <c r="K10" t="str">
        <f t="shared" si="0"/>
        <v>Train</v>
      </c>
    </row>
    <row r="11" spans="1:11" x14ac:dyDescent="0.2">
      <c r="A11" t="s">
        <v>28</v>
      </c>
      <c r="B11" s="2">
        <v>40581</v>
      </c>
      <c r="C11" s="3" t="s">
        <v>16</v>
      </c>
      <c r="D11">
        <v>3</v>
      </c>
      <c r="E11">
        <v>2</v>
      </c>
      <c r="F11" t="s">
        <v>12</v>
      </c>
      <c r="G11">
        <v>1</v>
      </c>
      <c r="H11">
        <v>0</v>
      </c>
      <c r="I11">
        <v>0</v>
      </c>
      <c r="J11">
        <v>0</v>
      </c>
      <c r="K11" t="str">
        <f t="shared" si="0"/>
        <v>Train</v>
      </c>
    </row>
    <row r="12" spans="1:11" x14ac:dyDescent="0.2">
      <c r="A12" t="s">
        <v>29</v>
      </c>
      <c r="B12" s="2">
        <v>40582</v>
      </c>
      <c r="C12" s="3" t="s">
        <v>18</v>
      </c>
      <c r="D12">
        <v>4</v>
      </c>
      <c r="E12">
        <v>2</v>
      </c>
      <c r="F12" t="s">
        <v>12</v>
      </c>
      <c r="G12">
        <v>1</v>
      </c>
      <c r="H12">
        <v>0</v>
      </c>
      <c r="I12">
        <v>1</v>
      </c>
      <c r="J12">
        <v>1</v>
      </c>
      <c r="K12" t="str">
        <f t="shared" si="0"/>
        <v>Train</v>
      </c>
    </row>
    <row r="13" spans="1:11" x14ac:dyDescent="0.2">
      <c r="A13" t="s">
        <v>30</v>
      </c>
      <c r="B13" s="2">
        <v>40583</v>
      </c>
      <c r="C13" s="3" t="s">
        <v>20</v>
      </c>
      <c r="D13">
        <v>5</v>
      </c>
      <c r="E13">
        <v>2</v>
      </c>
      <c r="F13" t="s">
        <v>12</v>
      </c>
      <c r="G13">
        <v>1</v>
      </c>
      <c r="H13">
        <v>0</v>
      </c>
      <c r="I13">
        <v>1</v>
      </c>
      <c r="J13">
        <v>0</v>
      </c>
      <c r="K13" t="str">
        <f t="shared" si="0"/>
        <v>Train</v>
      </c>
    </row>
    <row r="14" spans="1:11" x14ac:dyDescent="0.2">
      <c r="A14" t="s">
        <v>31</v>
      </c>
      <c r="B14" s="2">
        <v>40584</v>
      </c>
      <c r="C14" s="3" t="s">
        <v>22</v>
      </c>
      <c r="D14">
        <v>6</v>
      </c>
      <c r="E14">
        <v>2</v>
      </c>
      <c r="F14" t="s">
        <v>12</v>
      </c>
      <c r="G14">
        <v>1</v>
      </c>
      <c r="H14">
        <v>3</v>
      </c>
      <c r="I14">
        <v>0</v>
      </c>
      <c r="J14">
        <v>0</v>
      </c>
      <c r="K14" t="str">
        <f t="shared" si="0"/>
        <v>Train</v>
      </c>
    </row>
    <row r="15" spans="1:11" x14ac:dyDescent="0.2">
      <c r="A15" t="s">
        <v>32</v>
      </c>
      <c r="B15" s="2">
        <v>40585</v>
      </c>
      <c r="C15" s="3" t="s">
        <v>24</v>
      </c>
      <c r="D15">
        <v>7</v>
      </c>
      <c r="E15">
        <v>2</v>
      </c>
      <c r="F15" t="s">
        <v>12</v>
      </c>
      <c r="G15">
        <v>0</v>
      </c>
      <c r="H15">
        <v>1</v>
      </c>
      <c r="I15">
        <v>2</v>
      </c>
      <c r="J15">
        <v>2</v>
      </c>
      <c r="K15" t="str">
        <f t="shared" si="0"/>
        <v>Train</v>
      </c>
    </row>
    <row r="16" spans="1:11" x14ac:dyDescent="0.2">
      <c r="A16" t="s">
        <v>33</v>
      </c>
      <c r="B16" s="2">
        <v>40586</v>
      </c>
      <c r="C16" s="3" t="s">
        <v>11</v>
      </c>
      <c r="D16">
        <v>1</v>
      </c>
      <c r="E16">
        <v>2</v>
      </c>
      <c r="F16" t="s">
        <v>12</v>
      </c>
      <c r="G16">
        <v>0</v>
      </c>
      <c r="H16">
        <v>3</v>
      </c>
      <c r="I16">
        <v>0</v>
      </c>
      <c r="J16">
        <v>1</v>
      </c>
      <c r="K16" t="str">
        <f t="shared" si="0"/>
        <v>Train</v>
      </c>
    </row>
    <row r="17" spans="1:11" x14ac:dyDescent="0.2">
      <c r="A17" t="s">
        <v>34</v>
      </c>
      <c r="B17" s="2">
        <v>40587</v>
      </c>
      <c r="C17" s="3" t="s">
        <v>14</v>
      </c>
      <c r="D17">
        <v>2</v>
      </c>
      <c r="E17">
        <v>2</v>
      </c>
      <c r="F17" t="s">
        <v>12</v>
      </c>
      <c r="G17">
        <v>0</v>
      </c>
      <c r="H17">
        <v>0</v>
      </c>
      <c r="I17">
        <v>1</v>
      </c>
      <c r="J17">
        <v>1</v>
      </c>
      <c r="K17" t="str">
        <f t="shared" si="0"/>
        <v>Train</v>
      </c>
    </row>
    <row r="18" spans="1:11" x14ac:dyDescent="0.2">
      <c r="A18" t="s">
        <v>35</v>
      </c>
      <c r="B18" s="2">
        <v>40588</v>
      </c>
      <c r="C18" s="3" t="s">
        <v>16</v>
      </c>
      <c r="D18">
        <v>3</v>
      </c>
      <c r="E18">
        <v>2</v>
      </c>
      <c r="F18" t="s">
        <v>36</v>
      </c>
      <c r="G18">
        <v>0</v>
      </c>
      <c r="H18">
        <v>2</v>
      </c>
      <c r="I18">
        <v>0</v>
      </c>
      <c r="J18">
        <v>1</v>
      </c>
      <c r="K18" t="str">
        <f t="shared" si="0"/>
        <v>Train</v>
      </c>
    </row>
    <row r="19" spans="1:11" x14ac:dyDescent="0.2">
      <c r="A19" t="s">
        <v>37</v>
      </c>
      <c r="B19" s="2">
        <v>40589</v>
      </c>
      <c r="C19" s="3" t="s">
        <v>18</v>
      </c>
      <c r="D19">
        <v>4</v>
      </c>
      <c r="E19">
        <v>2</v>
      </c>
      <c r="F19" t="s">
        <v>12</v>
      </c>
      <c r="G19">
        <v>0</v>
      </c>
      <c r="H19">
        <v>1</v>
      </c>
      <c r="I19">
        <v>0</v>
      </c>
      <c r="J19">
        <v>0</v>
      </c>
      <c r="K19" t="str">
        <f t="shared" si="0"/>
        <v>Train</v>
      </c>
    </row>
    <row r="20" spans="1:11" x14ac:dyDescent="0.2">
      <c r="A20" t="s">
        <v>38</v>
      </c>
      <c r="B20" s="2">
        <v>40590</v>
      </c>
      <c r="C20" s="3" t="s">
        <v>20</v>
      </c>
      <c r="D20">
        <v>5</v>
      </c>
      <c r="E20">
        <v>2</v>
      </c>
      <c r="F20" t="s">
        <v>12</v>
      </c>
      <c r="G20">
        <v>0</v>
      </c>
      <c r="H20">
        <v>2</v>
      </c>
      <c r="I20">
        <v>0</v>
      </c>
      <c r="J20">
        <v>0</v>
      </c>
      <c r="K20" t="str">
        <f t="shared" si="0"/>
        <v>Train</v>
      </c>
    </row>
    <row r="21" spans="1:11" x14ac:dyDescent="0.2">
      <c r="A21" t="s">
        <v>39</v>
      </c>
      <c r="B21" s="2">
        <v>40591</v>
      </c>
      <c r="C21" s="3" t="s">
        <v>22</v>
      </c>
      <c r="D21">
        <v>6</v>
      </c>
      <c r="E21">
        <v>2</v>
      </c>
      <c r="F21" t="s">
        <v>12</v>
      </c>
      <c r="G21">
        <v>0</v>
      </c>
      <c r="H21">
        <v>0</v>
      </c>
      <c r="I21">
        <v>0</v>
      </c>
      <c r="J21">
        <v>1</v>
      </c>
      <c r="K21" t="str">
        <f t="shared" si="0"/>
        <v>Train</v>
      </c>
    </row>
    <row r="22" spans="1:11" x14ac:dyDescent="0.2">
      <c r="A22" t="s">
        <v>40</v>
      </c>
      <c r="B22" s="2">
        <v>40592</v>
      </c>
      <c r="C22" s="3" t="s">
        <v>24</v>
      </c>
      <c r="D22">
        <v>7</v>
      </c>
      <c r="E22">
        <v>2</v>
      </c>
      <c r="F22" t="s">
        <v>12</v>
      </c>
      <c r="G22">
        <v>0</v>
      </c>
      <c r="H22">
        <v>2</v>
      </c>
      <c r="I22">
        <v>0</v>
      </c>
      <c r="J22">
        <v>0</v>
      </c>
      <c r="K22" t="str">
        <f t="shared" si="0"/>
        <v>Train</v>
      </c>
    </row>
    <row r="23" spans="1:11" x14ac:dyDescent="0.2">
      <c r="A23" t="s">
        <v>41</v>
      </c>
      <c r="B23" s="2">
        <v>40593</v>
      </c>
      <c r="C23" s="3" t="s">
        <v>11</v>
      </c>
      <c r="D23">
        <v>1</v>
      </c>
      <c r="E23">
        <v>2</v>
      </c>
      <c r="F23" t="s">
        <v>12</v>
      </c>
      <c r="G23">
        <v>0</v>
      </c>
      <c r="H23">
        <v>1</v>
      </c>
      <c r="I23">
        <v>0</v>
      </c>
      <c r="J23">
        <v>2</v>
      </c>
      <c r="K23" t="str">
        <f t="shared" si="0"/>
        <v>Train</v>
      </c>
    </row>
    <row r="24" spans="1:11" x14ac:dyDescent="0.2">
      <c r="A24" t="s">
        <v>42</v>
      </c>
      <c r="B24" s="2">
        <v>40594</v>
      </c>
      <c r="C24" s="3" t="s">
        <v>14</v>
      </c>
      <c r="D24">
        <v>2</v>
      </c>
      <c r="E24">
        <v>2</v>
      </c>
      <c r="F24" t="s">
        <v>12</v>
      </c>
      <c r="G24">
        <v>0</v>
      </c>
      <c r="H24">
        <v>2</v>
      </c>
      <c r="I24">
        <v>0</v>
      </c>
      <c r="J24">
        <v>4</v>
      </c>
      <c r="K24" t="str">
        <f t="shared" si="0"/>
        <v>Train</v>
      </c>
    </row>
    <row r="25" spans="1:11" x14ac:dyDescent="0.2">
      <c r="A25" t="s">
        <v>43</v>
      </c>
      <c r="B25" s="2">
        <v>40595</v>
      </c>
      <c r="C25" s="3" t="s">
        <v>16</v>
      </c>
      <c r="D25">
        <v>3</v>
      </c>
      <c r="E25">
        <v>2</v>
      </c>
      <c r="F25" t="s">
        <v>44</v>
      </c>
      <c r="G25">
        <v>0</v>
      </c>
      <c r="H25">
        <v>0</v>
      </c>
      <c r="I25">
        <v>0</v>
      </c>
      <c r="J25">
        <v>1</v>
      </c>
      <c r="K25" t="str">
        <f t="shared" si="0"/>
        <v>Train</v>
      </c>
    </row>
    <row r="26" spans="1:11" x14ac:dyDescent="0.2">
      <c r="A26" t="s">
        <v>45</v>
      </c>
      <c r="B26" s="2">
        <v>40596</v>
      </c>
      <c r="C26" s="3" t="s">
        <v>18</v>
      </c>
      <c r="D26">
        <v>4</v>
      </c>
      <c r="E26">
        <v>2</v>
      </c>
      <c r="F26" t="s">
        <v>12</v>
      </c>
      <c r="G26">
        <v>0</v>
      </c>
      <c r="H26">
        <v>2</v>
      </c>
      <c r="I26">
        <v>0</v>
      </c>
      <c r="J26">
        <v>1</v>
      </c>
      <c r="K26" t="str">
        <f t="shared" si="0"/>
        <v>Train</v>
      </c>
    </row>
    <row r="27" spans="1:11" x14ac:dyDescent="0.2">
      <c r="A27" t="s">
        <v>46</v>
      </c>
      <c r="B27" s="2">
        <v>40597</v>
      </c>
      <c r="C27" s="3" t="s">
        <v>20</v>
      </c>
      <c r="D27">
        <v>5</v>
      </c>
      <c r="E27">
        <v>2</v>
      </c>
      <c r="F27" t="s">
        <v>12</v>
      </c>
      <c r="G27">
        <v>0</v>
      </c>
      <c r="H27">
        <v>2</v>
      </c>
      <c r="I27">
        <v>0</v>
      </c>
      <c r="J27">
        <v>2</v>
      </c>
      <c r="K27" t="str">
        <f t="shared" si="0"/>
        <v>Train</v>
      </c>
    </row>
    <row r="28" spans="1:11" x14ac:dyDescent="0.2">
      <c r="A28" t="s">
        <v>47</v>
      </c>
      <c r="B28" s="2">
        <v>40598</v>
      </c>
      <c r="C28" s="3" t="s">
        <v>22</v>
      </c>
      <c r="D28">
        <v>6</v>
      </c>
      <c r="E28">
        <v>2</v>
      </c>
      <c r="F28" t="s">
        <v>12</v>
      </c>
      <c r="G28">
        <v>0</v>
      </c>
      <c r="H28">
        <v>2</v>
      </c>
      <c r="I28">
        <v>0</v>
      </c>
      <c r="J28">
        <v>1</v>
      </c>
      <c r="K28" t="str">
        <f t="shared" si="0"/>
        <v>Train</v>
      </c>
    </row>
    <row r="29" spans="1:11" x14ac:dyDescent="0.2">
      <c r="A29" t="s">
        <v>48</v>
      </c>
      <c r="B29" s="2">
        <v>40599</v>
      </c>
      <c r="C29" s="3" t="s">
        <v>24</v>
      </c>
      <c r="D29">
        <v>7</v>
      </c>
      <c r="E29">
        <v>2</v>
      </c>
      <c r="F29" t="s">
        <v>12</v>
      </c>
      <c r="G29">
        <v>0</v>
      </c>
      <c r="H29">
        <v>4</v>
      </c>
      <c r="I29">
        <v>0</v>
      </c>
      <c r="J29">
        <v>0</v>
      </c>
      <c r="K29" t="str">
        <f t="shared" si="0"/>
        <v>Train</v>
      </c>
    </row>
    <row r="30" spans="1:11" x14ac:dyDescent="0.2">
      <c r="A30" t="s">
        <v>49</v>
      </c>
      <c r="B30" s="2">
        <v>40600</v>
      </c>
      <c r="C30" s="3" t="s">
        <v>11</v>
      </c>
      <c r="D30">
        <v>1</v>
      </c>
      <c r="E30">
        <v>2</v>
      </c>
      <c r="F30" t="s">
        <v>12</v>
      </c>
      <c r="G30">
        <v>0</v>
      </c>
      <c r="H30">
        <v>2</v>
      </c>
      <c r="I30">
        <v>1</v>
      </c>
      <c r="J30">
        <v>1</v>
      </c>
      <c r="K30" t="str">
        <f t="shared" si="0"/>
        <v>Train</v>
      </c>
    </row>
    <row r="31" spans="1:11" x14ac:dyDescent="0.2">
      <c r="A31" t="s">
        <v>50</v>
      </c>
      <c r="B31" s="2">
        <v>40601</v>
      </c>
      <c r="C31" s="3" t="s">
        <v>14</v>
      </c>
      <c r="D31">
        <v>2</v>
      </c>
      <c r="E31">
        <v>2</v>
      </c>
      <c r="F31" t="s">
        <v>12</v>
      </c>
      <c r="G31">
        <v>0</v>
      </c>
      <c r="H31">
        <v>2</v>
      </c>
      <c r="I31">
        <v>0</v>
      </c>
      <c r="J31">
        <v>0</v>
      </c>
      <c r="K31" t="str">
        <f t="shared" si="0"/>
        <v>Train</v>
      </c>
    </row>
    <row r="32" spans="1:11" x14ac:dyDescent="0.2">
      <c r="A32" t="s">
        <v>51</v>
      </c>
      <c r="B32" s="2">
        <v>40602</v>
      </c>
      <c r="C32" s="3" t="s">
        <v>16</v>
      </c>
      <c r="D32">
        <v>3</v>
      </c>
      <c r="E32">
        <v>2</v>
      </c>
      <c r="F32" t="s">
        <v>12</v>
      </c>
      <c r="G32">
        <v>0</v>
      </c>
      <c r="H32">
        <v>0</v>
      </c>
      <c r="I32">
        <v>0</v>
      </c>
      <c r="J32">
        <v>1</v>
      </c>
      <c r="K32" t="str">
        <f t="shared" si="0"/>
        <v>Train</v>
      </c>
    </row>
    <row r="33" spans="1:11" x14ac:dyDescent="0.2">
      <c r="A33" t="s">
        <v>52</v>
      </c>
      <c r="B33" s="2">
        <v>40603</v>
      </c>
      <c r="C33" s="3" t="s">
        <v>18</v>
      </c>
      <c r="D33">
        <v>4</v>
      </c>
      <c r="E33">
        <v>3</v>
      </c>
      <c r="F33" t="s">
        <v>12</v>
      </c>
      <c r="G33">
        <v>1</v>
      </c>
      <c r="H33">
        <v>2</v>
      </c>
      <c r="I33">
        <v>1</v>
      </c>
      <c r="J33">
        <v>0</v>
      </c>
      <c r="K33" t="str">
        <f t="shared" si="0"/>
        <v>Train</v>
      </c>
    </row>
    <row r="34" spans="1:11" x14ac:dyDescent="0.2">
      <c r="A34" t="s">
        <v>53</v>
      </c>
      <c r="B34" s="2">
        <v>40604</v>
      </c>
      <c r="C34" s="3" t="s">
        <v>20</v>
      </c>
      <c r="D34">
        <v>5</v>
      </c>
      <c r="E34">
        <v>3</v>
      </c>
      <c r="F34" t="s">
        <v>12</v>
      </c>
      <c r="G34">
        <v>1</v>
      </c>
      <c r="H34">
        <v>1</v>
      </c>
      <c r="I34">
        <v>1</v>
      </c>
      <c r="J34">
        <v>1</v>
      </c>
      <c r="K34" t="str">
        <f t="shared" si="0"/>
        <v>Train</v>
      </c>
    </row>
    <row r="35" spans="1:11" x14ac:dyDescent="0.2">
      <c r="A35" t="s">
        <v>54</v>
      </c>
      <c r="B35" s="2">
        <v>40605</v>
      </c>
      <c r="C35" s="3" t="s">
        <v>22</v>
      </c>
      <c r="D35">
        <v>6</v>
      </c>
      <c r="E35">
        <v>3</v>
      </c>
      <c r="F35" t="s">
        <v>12</v>
      </c>
      <c r="G35">
        <v>1</v>
      </c>
      <c r="H35">
        <v>7</v>
      </c>
      <c r="I35">
        <v>0</v>
      </c>
      <c r="J35">
        <v>1</v>
      </c>
      <c r="K35" t="str">
        <f t="shared" si="0"/>
        <v>Train</v>
      </c>
    </row>
    <row r="36" spans="1:11" x14ac:dyDescent="0.2">
      <c r="A36" t="s">
        <v>55</v>
      </c>
      <c r="B36" s="2">
        <v>40606</v>
      </c>
      <c r="C36" s="3" t="s">
        <v>24</v>
      </c>
      <c r="D36">
        <v>7</v>
      </c>
      <c r="E36">
        <v>3</v>
      </c>
      <c r="F36" t="s">
        <v>12</v>
      </c>
      <c r="G36">
        <v>1</v>
      </c>
      <c r="H36">
        <v>1</v>
      </c>
      <c r="I36">
        <v>1</v>
      </c>
      <c r="J36">
        <v>2</v>
      </c>
      <c r="K36" t="str">
        <f t="shared" si="0"/>
        <v>Train</v>
      </c>
    </row>
    <row r="37" spans="1:11" x14ac:dyDescent="0.2">
      <c r="A37" t="s">
        <v>56</v>
      </c>
      <c r="B37" s="2">
        <v>40607</v>
      </c>
      <c r="C37" s="3" t="s">
        <v>11</v>
      </c>
      <c r="D37">
        <v>1</v>
      </c>
      <c r="E37">
        <v>3</v>
      </c>
      <c r="F37" t="s">
        <v>12</v>
      </c>
      <c r="G37">
        <v>1</v>
      </c>
      <c r="H37">
        <v>2</v>
      </c>
      <c r="I37">
        <v>1</v>
      </c>
      <c r="J37">
        <v>3</v>
      </c>
      <c r="K37" t="str">
        <f t="shared" si="0"/>
        <v>Train</v>
      </c>
    </row>
    <row r="38" spans="1:11" x14ac:dyDescent="0.2">
      <c r="A38" t="s">
        <v>57</v>
      </c>
      <c r="B38" s="2">
        <v>40608</v>
      </c>
      <c r="C38" s="3" t="s">
        <v>14</v>
      </c>
      <c r="D38">
        <v>2</v>
      </c>
      <c r="E38">
        <v>3</v>
      </c>
      <c r="F38" t="s">
        <v>12</v>
      </c>
      <c r="G38">
        <v>1</v>
      </c>
      <c r="H38">
        <v>3</v>
      </c>
      <c r="I38">
        <v>3</v>
      </c>
      <c r="J38">
        <v>1</v>
      </c>
      <c r="K38" t="str">
        <f t="shared" si="0"/>
        <v>Train</v>
      </c>
    </row>
    <row r="39" spans="1:11" x14ac:dyDescent="0.2">
      <c r="A39" t="s">
        <v>58</v>
      </c>
      <c r="B39" s="2">
        <v>40609</v>
      </c>
      <c r="C39" s="3" t="s">
        <v>16</v>
      </c>
      <c r="D39">
        <v>3</v>
      </c>
      <c r="E39">
        <v>3</v>
      </c>
      <c r="F39" t="s">
        <v>12</v>
      </c>
      <c r="G39">
        <v>1</v>
      </c>
      <c r="H39">
        <v>0</v>
      </c>
      <c r="I39">
        <v>0</v>
      </c>
      <c r="J39">
        <v>0</v>
      </c>
      <c r="K39" t="str">
        <f t="shared" si="0"/>
        <v>Train</v>
      </c>
    </row>
    <row r="40" spans="1:11" x14ac:dyDescent="0.2">
      <c r="A40" t="s">
        <v>59</v>
      </c>
      <c r="B40" s="2">
        <v>40610</v>
      </c>
      <c r="C40" s="3" t="s">
        <v>18</v>
      </c>
      <c r="D40">
        <v>4</v>
      </c>
      <c r="E40">
        <v>3</v>
      </c>
      <c r="F40" t="s">
        <v>12</v>
      </c>
      <c r="G40">
        <v>1</v>
      </c>
      <c r="H40">
        <v>1</v>
      </c>
      <c r="I40">
        <v>0</v>
      </c>
      <c r="J40">
        <v>0</v>
      </c>
      <c r="K40" t="str">
        <f t="shared" si="0"/>
        <v>Train</v>
      </c>
    </row>
    <row r="41" spans="1:11" x14ac:dyDescent="0.2">
      <c r="A41" t="s">
        <v>60</v>
      </c>
      <c r="B41" s="2">
        <v>40611</v>
      </c>
      <c r="C41" s="3" t="s">
        <v>20</v>
      </c>
      <c r="D41">
        <v>5</v>
      </c>
      <c r="E41">
        <v>3</v>
      </c>
      <c r="F41" t="s">
        <v>61</v>
      </c>
      <c r="G41">
        <v>1</v>
      </c>
      <c r="H41">
        <v>2</v>
      </c>
      <c r="I41">
        <v>0</v>
      </c>
      <c r="J41">
        <v>0</v>
      </c>
      <c r="K41" t="str">
        <f t="shared" si="0"/>
        <v>Train</v>
      </c>
    </row>
    <row r="42" spans="1:11" x14ac:dyDescent="0.2">
      <c r="A42" t="s">
        <v>62</v>
      </c>
      <c r="B42" s="2">
        <v>40612</v>
      </c>
      <c r="C42" s="3" t="s">
        <v>22</v>
      </c>
      <c r="D42">
        <v>6</v>
      </c>
      <c r="E42">
        <v>3</v>
      </c>
      <c r="F42" t="s">
        <v>12</v>
      </c>
      <c r="G42">
        <v>1</v>
      </c>
      <c r="H42">
        <v>3</v>
      </c>
      <c r="I42">
        <v>0</v>
      </c>
      <c r="J42">
        <v>2</v>
      </c>
      <c r="K42" t="str">
        <f t="shared" si="0"/>
        <v>Train</v>
      </c>
    </row>
    <row r="43" spans="1:11" x14ac:dyDescent="0.2">
      <c r="A43" t="s">
        <v>63</v>
      </c>
      <c r="B43" s="2">
        <v>40613</v>
      </c>
      <c r="C43" s="3" t="s">
        <v>24</v>
      </c>
      <c r="D43">
        <v>7</v>
      </c>
      <c r="E43">
        <v>3</v>
      </c>
      <c r="F43" t="s">
        <v>12</v>
      </c>
      <c r="G43">
        <v>0</v>
      </c>
      <c r="H43">
        <v>0</v>
      </c>
      <c r="I43">
        <v>0</v>
      </c>
      <c r="J43">
        <v>0</v>
      </c>
      <c r="K43" t="str">
        <f t="shared" si="0"/>
        <v>Train</v>
      </c>
    </row>
    <row r="44" spans="1:11" x14ac:dyDescent="0.2">
      <c r="A44" t="s">
        <v>64</v>
      </c>
      <c r="B44" s="2">
        <v>40614</v>
      </c>
      <c r="C44" s="3" t="s">
        <v>11</v>
      </c>
      <c r="D44">
        <v>1</v>
      </c>
      <c r="E44">
        <v>3</v>
      </c>
      <c r="F44" t="s">
        <v>12</v>
      </c>
      <c r="G44">
        <v>0</v>
      </c>
      <c r="H44">
        <v>1</v>
      </c>
      <c r="I44">
        <v>0</v>
      </c>
      <c r="J44">
        <v>0</v>
      </c>
      <c r="K44" t="str">
        <f t="shared" si="0"/>
        <v>Train</v>
      </c>
    </row>
    <row r="45" spans="1:11" x14ac:dyDescent="0.2">
      <c r="A45" t="s">
        <v>65</v>
      </c>
      <c r="B45" s="2">
        <v>40615</v>
      </c>
      <c r="C45" s="3" t="s">
        <v>14</v>
      </c>
      <c r="D45">
        <v>2</v>
      </c>
      <c r="E45">
        <v>3</v>
      </c>
      <c r="F45" t="s">
        <v>12</v>
      </c>
      <c r="G45">
        <v>0</v>
      </c>
      <c r="H45">
        <v>5</v>
      </c>
      <c r="I45">
        <v>0</v>
      </c>
      <c r="J45">
        <v>0</v>
      </c>
      <c r="K45" t="str">
        <f t="shared" si="0"/>
        <v>Train</v>
      </c>
    </row>
    <row r="46" spans="1:11" x14ac:dyDescent="0.2">
      <c r="A46" t="s">
        <v>66</v>
      </c>
      <c r="B46" s="2">
        <v>40616</v>
      </c>
      <c r="C46" s="3" t="s">
        <v>16</v>
      </c>
      <c r="D46">
        <v>3</v>
      </c>
      <c r="E46">
        <v>3</v>
      </c>
      <c r="F46" t="s">
        <v>12</v>
      </c>
      <c r="G46">
        <v>0</v>
      </c>
      <c r="H46">
        <v>0</v>
      </c>
      <c r="I46">
        <v>0</v>
      </c>
      <c r="J46">
        <v>0</v>
      </c>
      <c r="K46" t="str">
        <f t="shared" si="0"/>
        <v>Train</v>
      </c>
    </row>
    <row r="47" spans="1:11" x14ac:dyDescent="0.2">
      <c r="A47" t="s">
        <v>67</v>
      </c>
      <c r="B47" s="2">
        <v>40617</v>
      </c>
      <c r="C47" s="3" t="s">
        <v>18</v>
      </c>
      <c r="D47">
        <v>4</v>
      </c>
      <c r="E47">
        <v>3</v>
      </c>
      <c r="F47" t="s">
        <v>12</v>
      </c>
      <c r="G47">
        <v>0</v>
      </c>
      <c r="H47">
        <v>0</v>
      </c>
      <c r="I47">
        <v>0</v>
      </c>
      <c r="J47">
        <v>2</v>
      </c>
      <c r="K47" t="str">
        <f t="shared" si="0"/>
        <v>Train</v>
      </c>
    </row>
    <row r="48" spans="1:11" x14ac:dyDescent="0.2">
      <c r="A48" t="s">
        <v>68</v>
      </c>
      <c r="B48" s="2">
        <v>40618</v>
      </c>
      <c r="C48" s="3" t="s">
        <v>20</v>
      </c>
      <c r="D48">
        <v>5</v>
      </c>
      <c r="E48">
        <v>3</v>
      </c>
      <c r="F48" t="s">
        <v>61</v>
      </c>
      <c r="G48">
        <v>0</v>
      </c>
      <c r="H48">
        <v>1</v>
      </c>
      <c r="I48">
        <v>0</v>
      </c>
      <c r="J48">
        <v>2</v>
      </c>
      <c r="K48" t="str">
        <f t="shared" si="0"/>
        <v>Train</v>
      </c>
    </row>
    <row r="49" spans="1:11" x14ac:dyDescent="0.2">
      <c r="A49" t="s">
        <v>69</v>
      </c>
      <c r="B49" s="2">
        <v>40619</v>
      </c>
      <c r="C49" s="3" t="s">
        <v>22</v>
      </c>
      <c r="D49">
        <v>6</v>
      </c>
      <c r="E49">
        <v>3</v>
      </c>
      <c r="F49" t="s">
        <v>36</v>
      </c>
      <c r="G49">
        <v>0</v>
      </c>
      <c r="H49">
        <v>0</v>
      </c>
      <c r="I49">
        <v>0</v>
      </c>
      <c r="J49">
        <v>1</v>
      </c>
      <c r="K49" t="str">
        <f t="shared" si="0"/>
        <v>Train</v>
      </c>
    </row>
    <row r="50" spans="1:11" x14ac:dyDescent="0.2">
      <c r="A50" t="s">
        <v>70</v>
      </c>
      <c r="B50" s="2">
        <v>40620</v>
      </c>
      <c r="C50" s="3" t="s">
        <v>24</v>
      </c>
      <c r="D50">
        <v>7</v>
      </c>
      <c r="E50">
        <v>3</v>
      </c>
      <c r="F50" t="s">
        <v>12</v>
      </c>
      <c r="G50">
        <v>0</v>
      </c>
      <c r="H50">
        <v>0</v>
      </c>
      <c r="I50">
        <v>2</v>
      </c>
      <c r="J50">
        <v>0</v>
      </c>
      <c r="K50" t="str">
        <f t="shared" si="0"/>
        <v>Train</v>
      </c>
    </row>
    <row r="51" spans="1:11" x14ac:dyDescent="0.2">
      <c r="A51" t="s">
        <v>71</v>
      </c>
      <c r="B51" s="2">
        <v>40621</v>
      </c>
      <c r="C51" s="3" t="s">
        <v>11</v>
      </c>
      <c r="D51">
        <v>1</v>
      </c>
      <c r="E51">
        <v>3</v>
      </c>
      <c r="F51" t="s">
        <v>12</v>
      </c>
      <c r="G51">
        <v>0</v>
      </c>
      <c r="H51">
        <v>1</v>
      </c>
      <c r="I51">
        <v>1</v>
      </c>
      <c r="J51">
        <v>3</v>
      </c>
      <c r="K51" t="str">
        <f t="shared" si="0"/>
        <v>Train</v>
      </c>
    </row>
    <row r="52" spans="1:11" x14ac:dyDescent="0.2">
      <c r="A52" t="s">
        <v>72</v>
      </c>
      <c r="B52" s="2">
        <v>40622</v>
      </c>
      <c r="C52" s="3" t="s">
        <v>14</v>
      </c>
      <c r="D52">
        <v>2</v>
      </c>
      <c r="E52">
        <v>3</v>
      </c>
      <c r="F52" t="s">
        <v>61</v>
      </c>
      <c r="G52">
        <v>0</v>
      </c>
      <c r="H52">
        <v>1</v>
      </c>
      <c r="I52">
        <v>0</v>
      </c>
      <c r="J52">
        <v>2</v>
      </c>
      <c r="K52" t="str">
        <f t="shared" si="0"/>
        <v>Train</v>
      </c>
    </row>
    <row r="53" spans="1:11" x14ac:dyDescent="0.2">
      <c r="A53" t="s">
        <v>73</v>
      </c>
      <c r="B53" s="2">
        <v>40623</v>
      </c>
      <c r="C53" s="3" t="s">
        <v>16</v>
      </c>
      <c r="D53">
        <v>3</v>
      </c>
      <c r="E53">
        <v>3</v>
      </c>
      <c r="F53" t="s">
        <v>12</v>
      </c>
      <c r="G53">
        <v>0</v>
      </c>
      <c r="H53">
        <v>1</v>
      </c>
      <c r="I53">
        <v>1</v>
      </c>
      <c r="J53">
        <v>1</v>
      </c>
      <c r="K53" t="str">
        <f t="shared" si="0"/>
        <v>Train</v>
      </c>
    </row>
    <row r="54" spans="1:11" x14ac:dyDescent="0.2">
      <c r="A54" t="s">
        <v>74</v>
      </c>
      <c r="B54" s="2">
        <v>40624</v>
      </c>
      <c r="C54" s="3" t="s">
        <v>18</v>
      </c>
      <c r="D54">
        <v>4</v>
      </c>
      <c r="E54">
        <v>3</v>
      </c>
      <c r="F54" t="s">
        <v>12</v>
      </c>
      <c r="G54">
        <v>0</v>
      </c>
      <c r="H54">
        <v>1</v>
      </c>
      <c r="I54">
        <v>0</v>
      </c>
      <c r="J54">
        <v>0</v>
      </c>
      <c r="K54" t="str">
        <f t="shared" si="0"/>
        <v>Train</v>
      </c>
    </row>
    <row r="55" spans="1:11" x14ac:dyDescent="0.2">
      <c r="A55" t="s">
        <v>75</v>
      </c>
      <c r="B55" s="2">
        <v>40625</v>
      </c>
      <c r="C55" s="3" t="s">
        <v>20</v>
      </c>
      <c r="D55">
        <v>5</v>
      </c>
      <c r="E55">
        <v>3</v>
      </c>
      <c r="F55" t="s">
        <v>12</v>
      </c>
      <c r="G55">
        <v>0</v>
      </c>
      <c r="H55">
        <v>1</v>
      </c>
      <c r="I55">
        <v>0</v>
      </c>
      <c r="J55">
        <v>0</v>
      </c>
      <c r="K55" t="str">
        <f t="shared" si="0"/>
        <v>Train</v>
      </c>
    </row>
    <row r="56" spans="1:11" x14ac:dyDescent="0.2">
      <c r="A56" t="s">
        <v>76</v>
      </c>
      <c r="B56" s="2">
        <v>40626</v>
      </c>
      <c r="C56" s="3" t="s">
        <v>22</v>
      </c>
      <c r="D56">
        <v>6</v>
      </c>
      <c r="E56">
        <v>3</v>
      </c>
      <c r="F56" t="s">
        <v>12</v>
      </c>
      <c r="G56">
        <v>0</v>
      </c>
      <c r="H56">
        <v>0</v>
      </c>
      <c r="I56">
        <v>0</v>
      </c>
      <c r="J56">
        <v>0</v>
      </c>
      <c r="K56" t="str">
        <f t="shared" si="0"/>
        <v>Train</v>
      </c>
    </row>
    <row r="57" spans="1:11" x14ac:dyDescent="0.2">
      <c r="A57" t="s">
        <v>77</v>
      </c>
      <c r="B57" s="2">
        <v>40627</v>
      </c>
      <c r="C57" s="3" t="s">
        <v>24</v>
      </c>
      <c r="D57">
        <v>7</v>
      </c>
      <c r="E57">
        <v>3</v>
      </c>
      <c r="F57" t="s">
        <v>12</v>
      </c>
      <c r="G57">
        <v>0</v>
      </c>
      <c r="H57">
        <v>1</v>
      </c>
      <c r="I57">
        <v>0</v>
      </c>
      <c r="J57">
        <v>1</v>
      </c>
      <c r="K57" t="str">
        <f t="shared" si="0"/>
        <v>Train</v>
      </c>
    </row>
    <row r="58" spans="1:11" x14ac:dyDescent="0.2">
      <c r="A58" t="s">
        <v>78</v>
      </c>
      <c r="B58" s="2">
        <v>40628</v>
      </c>
      <c r="C58" s="3" t="s">
        <v>11</v>
      </c>
      <c r="D58">
        <v>1</v>
      </c>
      <c r="E58">
        <v>3</v>
      </c>
      <c r="F58" t="s">
        <v>12</v>
      </c>
      <c r="G58">
        <v>0</v>
      </c>
      <c r="H58">
        <v>2</v>
      </c>
      <c r="I58">
        <v>0</v>
      </c>
      <c r="J58">
        <v>0</v>
      </c>
      <c r="K58" t="str">
        <f t="shared" si="0"/>
        <v>Train</v>
      </c>
    </row>
    <row r="59" spans="1:11" x14ac:dyDescent="0.2">
      <c r="A59" t="s">
        <v>79</v>
      </c>
      <c r="B59" s="2">
        <v>40629</v>
      </c>
      <c r="C59" s="3" t="s">
        <v>14</v>
      </c>
      <c r="D59">
        <v>2</v>
      </c>
      <c r="E59">
        <v>3</v>
      </c>
      <c r="F59" t="s">
        <v>12</v>
      </c>
      <c r="G59">
        <v>0</v>
      </c>
      <c r="H59">
        <v>2</v>
      </c>
      <c r="I59">
        <v>1</v>
      </c>
      <c r="J59">
        <v>3</v>
      </c>
      <c r="K59" t="str">
        <f t="shared" si="0"/>
        <v>Train</v>
      </c>
    </row>
    <row r="60" spans="1:11" x14ac:dyDescent="0.2">
      <c r="A60" t="s">
        <v>80</v>
      </c>
      <c r="B60" s="2">
        <v>40630</v>
      </c>
      <c r="C60" s="3" t="s">
        <v>16</v>
      </c>
      <c r="D60">
        <v>3</v>
      </c>
      <c r="E60">
        <v>3</v>
      </c>
      <c r="F60" t="s">
        <v>12</v>
      </c>
      <c r="G60">
        <v>0</v>
      </c>
      <c r="H60">
        <v>0</v>
      </c>
      <c r="I60">
        <v>2</v>
      </c>
      <c r="J60">
        <v>0</v>
      </c>
      <c r="K60" t="str">
        <f t="shared" si="0"/>
        <v>Train</v>
      </c>
    </row>
    <row r="61" spans="1:11" x14ac:dyDescent="0.2">
      <c r="A61" t="s">
        <v>81</v>
      </c>
      <c r="B61" s="2">
        <v>40631</v>
      </c>
      <c r="C61" s="3" t="s">
        <v>18</v>
      </c>
      <c r="D61">
        <v>4</v>
      </c>
      <c r="E61">
        <v>3</v>
      </c>
      <c r="F61" t="s">
        <v>12</v>
      </c>
      <c r="G61">
        <v>0</v>
      </c>
      <c r="H61">
        <v>1</v>
      </c>
      <c r="I61">
        <v>0</v>
      </c>
      <c r="J61">
        <v>2</v>
      </c>
      <c r="K61" t="str">
        <f t="shared" si="0"/>
        <v>Train</v>
      </c>
    </row>
    <row r="62" spans="1:11" x14ac:dyDescent="0.2">
      <c r="A62" t="s">
        <v>82</v>
      </c>
      <c r="B62" s="2">
        <v>40632</v>
      </c>
      <c r="C62" s="3" t="s">
        <v>20</v>
      </c>
      <c r="D62">
        <v>5</v>
      </c>
      <c r="E62">
        <v>3</v>
      </c>
      <c r="F62" t="s">
        <v>12</v>
      </c>
      <c r="G62">
        <v>0</v>
      </c>
      <c r="H62">
        <v>0</v>
      </c>
      <c r="I62">
        <v>0</v>
      </c>
      <c r="J62">
        <v>0</v>
      </c>
      <c r="K62" t="str">
        <f t="shared" si="0"/>
        <v>Train</v>
      </c>
    </row>
    <row r="63" spans="1:11" x14ac:dyDescent="0.2">
      <c r="A63" t="s">
        <v>83</v>
      </c>
      <c r="B63" s="2">
        <v>40633</v>
      </c>
      <c r="C63" s="3" t="s">
        <v>22</v>
      </c>
      <c r="D63">
        <v>6</v>
      </c>
      <c r="E63">
        <v>3</v>
      </c>
      <c r="F63" t="s">
        <v>12</v>
      </c>
      <c r="G63">
        <v>0</v>
      </c>
      <c r="H63">
        <v>0</v>
      </c>
      <c r="I63">
        <v>0</v>
      </c>
      <c r="J63">
        <v>2</v>
      </c>
      <c r="K63" t="str">
        <f t="shared" si="0"/>
        <v>Train</v>
      </c>
    </row>
    <row r="64" spans="1:11" x14ac:dyDescent="0.2">
      <c r="A64" t="s">
        <v>84</v>
      </c>
      <c r="B64" s="2">
        <v>40634</v>
      </c>
      <c r="C64" s="3" t="s">
        <v>24</v>
      </c>
      <c r="D64">
        <v>7</v>
      </c>
      <c r="E64">
        <v>4</v>
      </c>
      <c r="F64" t="s">
        <v>12</v>
      </c>
      <c r="G64">
        <v>1</v>
      </c>
      <c r="H64">
        <v>0</v>
      </c>
      <c r="I64">
        <v>0</v>
      </c>
      <c r="J64">
        <v>2</v>
      </c>
      <c r="K64" t="str">
        <f t="shared" si="0"/>
        <v>Train</v>
      </c>
    </row>
    <row r="65" spans="1:11" x14ac:dyDescent="0.2">
      <c r="A65" t="s">
        <v>85</v>
      </c>
      <c r="B65" s="2">
        <v>40635</v>
      </c>
      <c r="C65" s="3" t="s">
        <v>11</v>
      </c>
      <c r="D65">
        <v>1</v>
      </c>
      <c r="E65">
        <v>4</v>
      </c>
      <c r="F65" t="s">
        <v>12</v>
      </c>
      <c r="G65">
        <v>1</v>
      </c>
      <c r="H65">
        <v>0</v>
      </c>
      <c r="I65">
        <v>0</v>
      </c>
      <c r="J65">
        <v>1</v>
      </c>
      <c r="K65" t="str">
        <f t="shared" si="0"/>
        <v>Train</v>
      </c>
    </row>
    <row r="66" spans="1:11" x14ac:dyDescent="0.2">
      <c r="A66" t="s">
        <v>86</v>
      </c>
      <c r="B66" s="2">
        <v>40636</v>
      </c>
      <c r="C66" s="3" t="s">
        <v>14</v>
      </c>
      <c r="D66">
        <v>2</v>
      </c>
      <c r="E66">
        <v>4</v>
      </c>
      <c r="F66" t="s">
        <v>12</v>
      </c>
      <c r="G66">
        <v>1</v>
      </c>
      <c r="H66">
        <v>0</v>
      </c>
      <c r="I66">
        <v>1</v>
      </c>
      <c r="J66">
        <v>0</v>
      </c>
      <c r="K66" t="str">
        <f t="shared" ref="K66:K129" si="1">IF(ROW()-1&lt;=300,"Train","Validation")</f>
        <v>Train</v>
      </c>
    </row>
    <row r="67" spans="1:11" x14ac:dyDescent="0.2">
      <c r="A67" t="s">
        <v>87</v>
      </c>
      <c r="B67" s="2">
        <v>40637</v>
      </c>
      <c r="C67" s="3" t="s">
        <v>16</v>
      </c>
      <c r="D67">
        <v>3</v>
      </c>
      <c r="E67">
        <v>4</v>
      </c>
      <c r="F67" t="s">
        <v>12</v>
      </c>
      <c r="G67">
        <v>1</v>
      </c>
      <c r="H67">
        <v>4</v>
      </c>
      <c r="I67">
        <v>0</v>
      </c>
      <c r="J67">
        <v>1</v>
      </c>
      <c r="K67" t="str">
        <f t="shared" si="1"/>
        <v>Train</v>
      </c>
    </row>
    <row r="68" spans="1:11" x14ac:dyDescent="0.2">
      <c r="A68" t="s">
        <v>88</v>
      </c>
      <c r="B68" s="2">
        <v>40638</v>
      </c>
      <c r="C68" s="3" t="s">
        <v>18</v>
      </c>
      <c r="D68">
        <v>4</v>
      </c>
      <c r="E68">
        <v>4</v>
      </c>
      <c r="F68" t="s">
        <v>12</v>
      </c>
      <c r="G68">
        <v>1</v>
      </c>
      <c r="H68">
        <v>0</v>
      </c>
      <c r="I68">
        <v>0</v>
      </c>
      <c r="J68">
        <v>0</v>
      </c>
      <c r="K68" t="str">
        <f t="shared" si="1"/>
        <v>Train</v>
      </c>
    </row>
    <row r="69" spans="1:11" x14ac:dyDescent="0.2">
      <c r="A69" t="s">
        <v>89</v>
      </c>
      <c r="B69" s="2">
        <v>40639</v>
      </c>
      <c r="C69" s="3" t="s">
        <v>20</v>
      </c>
      <c r="D69">
        <v>5</v>
      </c>
      <c r="E69">
        <v>4</v>
      </c>
      <c r="F69" t="s">
        <v>12</v>
      </c>
      <c r="G69">
        <v>1</v>
      </c>
      <c r="H69">
        <v>1</v>
      </c>
      <c r="I69">
        <v>2</v>
      </c>
      <c r="J69">
        <v>0</v>
      </c>
      <c r="K69" t="str">
        <f t="shared" si="1"/>
        <v>Train</v>
      </c>
    </row>
    <row r="70" spans="1:11" x14ac:dyDescent="0.2">
      <c r="A70" t="s">
        <v>90</v>
      </c>
      <c r="B70" s="2">
        <v>40640</v>
      </c>
      <c r="C70" s="3" t="s">
        <v>22</v>
      </c>
      <c r="D70">
        <v>6</v>
      </c>
      <c r="E70">
        <v>4</v>
      </c>
      <c r="F70" t="s">
        <v>12</v>
      </c>
      <c r="G70">
        <v>1</v>
      </c>
      <c r="H70">
        <v>0</v>
      </c>
      <c r="I70">
        <v>0</v>
      </c>
      <c r="J70">
        <v>0</v>
      </c>
      <c r="K70" t="str">
        <f t="shared" si="1"/>
        <v>Train</v>
      </c>
    </row>
    <row r="71" spans="1:11" x14ac:dyDescent="0.2">
      <c r="A71" t="s">
        <v>91</v>
      </c>
      <c r="B71" s="2">
        <v>40641</v>
      </c>
      <c r="C71" s="3" t="s">
        <v>24</v>
      </c>
      <c r="D71">
        <v>7</v>
      </c>
      <c r="E71">
        <v>4</v>
      </c>
      <c r="F71" t="s">
        <v>12</v>
      </c>
      <c r="G71">
        <v>1</v>
      </c>
      <c r="H71">
        <v>1</v>
      </c>
      <c r="I71">
        <v>0</v>
      </c>
      <c r="J71">
        <v>0</v>
      </c>
      <c r="K71" t="str">
        <f t="shared" si="1"/>
        <v>Train</v>
      </c>
    </row>
    <row r="72" spans="1:11" x14ac:dyDescent="0.2">
      <c r="A72" t="s">
        <v>92</v>
      </c>
      <c r="B72" s="2">
        <v>40642</v>
      </c>
      <c r="C72" s="3" t="s">
        <v>11</v>
      </c>
      <c r="D72">
        <v>1</v>
      </c>
      <c r="E72">
        <v>4</v>
      </c>
      <c r="F72" t="s">
        <v>12</v>
      </c>
      <c r="G72">
        <v>1</v>
      </c>
      <c r="H72">
        <v>0</v>
      </c>
      <c r="I72">
        <v>1</v>
      </c>
      <c r="J72">
        <v>2</v>
      </c>
      <c r="K72" t="str">
        <f t="shared" si="1"/>
        <v>Train</v>
      </c>
    </row>
    <row r="73" spans="1:11" x14ac:dyDescent="0.2">
      <c r="A73" t="s">
        <v>93</v>
      </c>
      <c r="B73" s="2">
        <v>40643</v>
      </c>
      <c r="C73" s="3" t="s">
        <v>14</v>
      </c>
      <c r="D73">
        <v>2</v>
      </c>
      <c r="E73">
        <v>4</v>
      </c>
      <c r="F73" t="s">
        <v>12</v>
      </c>
      <c r="G73">
        <v>1</v>
      </c>
      <c r="H73">
        <v>2</v>
      </c>
      <c r="I73">
        <v>0</v>
      </c>
      <c r="J73">
        <v>3</v>
      </c>
      <c r="K73" t="str">
        <f t="shared" si="1"/>
        <v>Train</v>
      </c>
    </row>
    <row r="74" spans="1:11" x14ac:dyDescent="0.2">
      <c r="A74" t="s">
        <v>94</v>
      </c>
      <c r="B74" s="2">
        <v>40644</v>
      </c>
      <c r="C74" s="3" t="s">
        <v>16</v>
      </c>
      <c r="D74">
        <v>3</v>
      </c>
      <c r="E74">
        <v>4</v>
      </c>
      <c r="F74" t="s">
        <v>12</v>
      </c>
      <c r="G74">
        <v>0</v>
      </c>
      <c r="H74">
        <v>2</v>
      </c>
      <c r="I74">
        <v>0</v>
      </c>
      <c r="J74">
        <v>1</v>
      </c>
      <c r="K74" t="str">
        <f t="shared" si="1"/>
        <v>Train</v>
      </c>
    </row>
    <row r="75" spans="1:11" x14ac:dyDescent="0.2">
      <c r="A75" t="s">
        <v>95</v>
      </c>
      <c r="B75" s="2">
        <v>40645</v>
      </c>
      <c r="C75" s="3" t="s">
        <v>18</v>
      </c>
      <c r="D75">
        <v>4</v>
      </c>
      <c r="E75">
        <v>4</v>
      </c>
      <c r="F75" t="s">
        <v>12</v>
      </c>
      <c r="G75">
        <v>0</v>
      </c>
      <c r="H75">
        <v>1</v>
      </c>
      <c r="I75">
        <v>0</v>
      </c>
      <c r="J75">
        <v>1</v>
      </c>
      <c r="K75" t="str">
        <f t="shared" si="1"/>
        <v>Train</v>
      </c>
    </row>
    <row r="76" spans="1:11" x14ac:dyDescent="0.2">
      <c r="A76" t="s">
        <v>96</v>
      </c>
      <c r="B76" s="2">
        <v>40646</v>
      </c>
      <c r="C76" s="3" t="s">
        <v>20</v>
      </c>
      <c r="D76">
        <v>5</v>
      </c>
      <c r="E76">
        <v>4</v>
      </c>
      <c r="F76" t="s">
        <v>12</v>
      </c>
      <c r="G76">
        <v>0</v>
      </c>
      <c r="H76">
        <v>1</v>
      </c>
      <c r="I76">
        <v>0</v>
      </c>
      <c r="J76">
        <v>0</v>
      </c>
      <c r="K76" t="str">
        <f t="shared" si="1"/>
        <v>Train</v>
      </c>
    </row>
    <row r="77" spans="1:11" x14ac:dyDescent="0.2">
      <c r="A77" t="s">
        <v>97</v>
      </c>
      <c r="B77" s="2">
        <v>40647</v>
      </c>
      <c r="C77" s="3" t="s">
        <v>22</v>
      </c>
      <c r="D77">
        <v>6</v>
      </c>
      <c r="E77">
        <v>4</v>
      </c>
      <c r="F77" t="s">
        <v>12</v>
      </c>
      <c r="G77">
        <v>0</v>
      </c>
      <c r="H77">
        <v>0</v>
      </c>
      <c r="I77">
        <v>0</v>
      </c>
      <c r="J77">
        <v>0</v>
      </c>
      <c r="K77" t="str">
        <f t="shared" si="1"/>
        <v>Train</v>
      </c>
    </row>
    <row r="78" spans="1:11" x14ac:dyDescent="0.2">
      <c r="A78" t="s">
        <v>98</v>
      </c>
      <c r="B78" s="2">
        <v>40648</v>
      </c>
      <c r="C78" s="3" t="s">
        <v>24</v>
      </c>
      <c r="D78">
        <v>7</v>
      </c>
      <c r="E78">
        <v>4</v>
      </c>
      <c r="F78" t="s">
        <v>12</v>
      </c>
      <c r="G78">
        <v>0</v>
      </c>
      <c r="H78">
        <v>2</v>
      </c>
      <c r="I78">
        <v>4</v>
      </c>
      <c r="J78">
        <v>3</v>
      </c>
      <c r="K78" t="str">
        <f t="shared" si="1"/>
        <v>Train</v>
      </c>
    </row>
    <row r="79" spans="1:11" x14ac:dyDescent="0.2">
      <c r="A79" t="s">
        <v>99</v>
      </c>
      <c r="B79" s="2">
        <v>40649</v>
      </c>
      <c r="C79" s="3" t="s">
        <v>11</v>
      </c>
      <c r="D79">
        <v>1</v>
      </c>
      <c r="E79">
        <v>4</v>
      </c>
      <c r="F79" t="s">
        <v>12</v>
      </c>
      <c r="G79">
        <v>0</v>
      </c>
      <c r="H79">
        <v>1</v>
      </c>
      <c r="I79">
        <v>0</v>
      </c>
      <c r="J79">
        <v>2</v>
      </c>
      <c r="K79" t="str">
        <f t="shared" si="1"/>
        <v>Train</v>
      </c>
    </row>
    <row r="80" spans="1:11" x14ac:dyDescent="0.2">
      <c r="A80" t="s">
        <v>100</v>
      </c>
      <c r="B80" s="2">
        <v>40650</v>
      </c>
      <c r="C80" s="3" t="s">
        <v>14</v>
      </c>
      <c r="D80">
        <v>2</v>
      </c>
      <c r="E80">
        <v>4</v>
      </c>
      <c r="F80" t="s">
        <v>12</v>
      </c>
      <c r="G80">
        <v>0</v>
      </c>
      <c r="H80">
        <v>2</v>
      </c>
      <c r="I80">
        <v>0</v>
      </c>
      <c r="J80">
        <v>2</v>
      </c>
      <c r="K80" t="str">
        <f t="shared" si="1"/>
        <v>Train</v>
      </c>
    </row>
    <row r="81" spans="1:11" x14ac:dyDescent="0.2">
      <c r="A81" t="s">
        <v>101</v>
      </c>
      <c r="B81" s="2">
        <v>40651</v>
      </c>
      <c r="C81" s="3" t="s">
        <v>16</v>
      </c>
      <c r="D81">
        <v>3</v>
      </c>
      <c r="E81">
        <v>4</v>
      </c>
      <c r="F81" t="s">
        <v>12</v>
      </c>
      <c r="G81">
        <v>0</v>
      </c>
      <c r="H81">
        <v>0</v>
      </c>
      <c r="I81">
        <v>0</v>
      </c>
      <c r="J81">
        <v>0</v>
      </c>
      <c r="K81" t="str">
        <f t="shared" si="1"/>
        <v>Train</v>
      </c>
    </row>
    <row r="82" spans="1:11" x14ac:dyDescent="0.2">
      <c r="A82" t="s">
        <v>102</v>
      </c>
      <c r="B82" s="2">
        <v>40652</v>
      </c>
      <c r="C82" s="3" t="s">
        <v>18</v>
      </c>
      <c r="D82">
        <v>4</v>
      </c>
      <c r="E82">
        <v>4</v>
      </c>
      <c r="F82" t="s">
        <v>12</v>
      </c>
      <c r="G82">
        <v>0</v>
      </c>
      <c r="H82">
        <v>2</v>
      </c>
      <c r="I82">
        <v>0</v>
      </c>
      <c r="J82">
        <v>1</v>
      </c>
      <c r="K82" t="str">
        <f t="shared" si="1"/>
        <v>Train</v>
      </c>
    </row>
    <row r="83" spans="1:11" x14ac:dyDescent="0.2">
      <c r="A83" t="s">
        <v>103</v>
      </c>
      <c r="B83" s="2">
        <v>40653</v>
      </c>
      <c r="C83" s="3" t="s">
        <v>20</v>
      </c>
      <c r="D83">
        <v>5</v>
      </c>
      <c r="E83">
        <v>4</v>
      </c>
      <c r="F83" t="s">
        <v>12</v>
      </c>
      <c r="G83">
        <v>0</v>
      </c>
      <c r="H83">
        <v>0</v>
      </c>
      <c r="I83">
        <v>3</v>
      </c>
      <c r="J83">
        <v>0</v>
      </c>
      <c r="K83" t="str">
        <f t="shared" si="1"/>
        <v>Train</v>
      </c>
    </row>
    <row r="84" spans="1:11" x14ac:dyDescent="0.2">
      <c r="A84" t="s">
        <v>104</v>
      </c>
      <c r="B84" s="2">
        <v>40654</v>
      </c>
      <c r="C84" s="3" t="s">
        <v>22</v>
      </c>
      <c r="D84">
        <v>6</v>
      </c>
      <c r="E84">
        <v>4</v>
      </c>
      <c r="F84" t="s">
        <v>12</v>
      </c>
      <c r="G84">
        <v>0</v>
      </c>
      <c r="H84">
        <v>0</v>
      </c>
      <c r="I84">
        <v>0</v>
      </c>
      <c r="J84">
        <v>3</v>
      </c>
      <c r="K84" t="str">
        <f t="shared" si="1"/>
        <v>Train</v>
      </c>
    </row>
    <row r="85" spans="1:11" x14ac:dyDescent="0.2">
      <c r="A85" t="s">
        <v>105</v>
      </c>
      <c r="B85" s="2">
        <v>40655</v>
      </c>
      <c r="C85" s="3" t="s">
        <v>24</v>
      </c>
      <c r="D85">
        <v>7</v>
      </c>
      <c r="E85">
        <v>4</v>
      </c>
      <c r="F85" t="s">
        <v>12</v>
      </c>
      <c r="G85">
        <v>0</v>
      </c>
      <c r="H85">
        <v>0</v>
      </c>
      <c r="I85">
        <v>1</v>
      </c>
      <c r="J85">
        <v>1</v>
      </c>
      <c r="K85" t="str">
        <f t="shared" si="1"/>
        <v>Train</v>
      </c>
    </row>
    <row r="86" spans="1:11" x14ac:dyDescent="0.2">
      <c r="A86" t="s">
        <v>106</v>
      </c>
      <c r="B86" s="2">
        <v>40656</v>
      </c>
      <c r="C86" s="3" t="s">
        <v>11</v>
      </c>
      <c r="D86">
        <v>1</v>
      </c>
      <c r="E86">
        <v>4</v>
      </c>
      <c r="F86" t="s">
        <v>12</v>
      </c>
      <c r="G86">
        <v>0</v>
      </c>
      <c r="H86">
        <v>1</v>
      </c>
      <c r="I86">
        <v>0</v>
      </c>
      <c r="J86">
        <v>0</v>
      </c>
      <c r="K86" t="str">
        <f t="shared" si="1"/>
        <v>Train</v>
      </c>
    </row>
    <row r="87" spans="1:11" x14ac:dyDescent="0.2">
      <c r="A87" t="s">
        <v>107</v>
      </c>
      <c r="B87" s="2">
        <v>40657</v>
      </c>
      <c r="C87" s="3" t="s">
        <v>14</v>
      </c>
      <c r="D87">
        <v>2</v>
      </c>
      <c r="E87">
        <v>4</v>
      </c>
      <c r="F87" t="s">
        <v>61</v>
      </c>
      <c r="G87">
        <v>0</v>
      </c>
      <c r="H87">
        <v>0</v>
      </c>
      <c r="I87">
        <v>1</v>
      </c>
      <c r="J87">
        <v>0</v>
      </c>
      <c r="K87" t="str">
        <f t="shared" si="1"/>
        <v>Train</v>
      </c>
    </row>
    <row r="88" spans="1:11" x14ac:dyDescent="0.2">
      <c r="A88" t="s">
        <v>108</v>
      </c>
      <c r="B88" s="2">
        <v>40658</v>
      </c>
      <c r="C88" s="3" t="s">
        <v>16</v>
      </c>
      <c r="D88">
        <v>3</v>
      </c>
      <c r="E88">
        <v>4</v>
      </c>
      <c r="F88" t="s">
        <v>12</v>
      </c>
      <c r="G88">
        <v>0</v>
      </c>
      <c r="H88">
        <v>0</v>
      </c>
      <c r="I88">
        <v>1</v>
      </c>
      <c r="J88">
        <v>0</v>
      </c>
      <c r="K88" t="str">
        <f t="shared" si="1"/>
        <v>Train</v>
      </c>
    </row>
    <row r="89" spans="1:11" x14ac:dyDescent="0.2">
      <c r="A89" t="s">
        <v>109</v>
      </c>
      <c r="B89" s="2">
        <v>40659</v>
      </c>
      <c r="C89" s="3" t="s">
        <v>18</v>
      </c>
      <c r="D89">
        <v>4</v>
      </c>
      <c r="E89">
        <v>4</v>
      </c>
      <c r="F89" t="s">
        <v>61</v>
      </c>
      <c r="G89">
        <v>0</v>
      </c>
      <c r="H89">
        <v>0</v>
      </c>
      <c r="I89">
        <v>1</v>
      </c>
      <c r="J89">
        <v>2</v>
      </c>
      <c r="K89" t="str">
        <f t="shared" si="1"/>
        <v>Train</v>
      </c>
    </row>
    <row r="90" spans="1:11" x14ac:dyDescent="0.2">
      <c r="A90" t="s">
        <v>110</v>
      </c>
      <c r="B90" s="2">
        <v>40660</v>
      </c>
      <c r="C90" s="3" t="s">
        <v>20</v>
      </c>
      <c r="D90">
        <v>5</v>
      </c>
      <c r="E90">
        <v>4</v>
      </c>
      <c r="F90" t="s">
        <v>12</v>
      </c>
      <c r="G90">
        <v>0</v>
      </c>
      <c r="H90">
        <v>0</v>
      </c>
      <c r="I90">
        <v>1</v>
      </c>
      <c r="J90">
        <v>0</v>
      </c>
      <c r="K90" t="str">
        <f t="shared" si="1"/>
        <v>Train</v>
      </c>
    </row>
    <row r="91" spans="1:11" x14ac:dyDescent="0.2">
      <c r="A91" t="s">
        <v>111</v>
      </c>
      <c r="B91" s="2">
        <v>40661</v>
      </c>
      <c r="C91" s="3" t="s">
        <v>22</v>
      </c>
      <c r="D91">
        <v>6</v>
      </c>
      <c r="E91">
        <v>4</v>
      </c>
      <c r="F91" t="s">
        <v>12</v>
      </c>
      <c r="G91">
        <v>0</v>
      </c>
      <c r="H91">
        <v>0</v>
      </c>
      <c r="I91">
        <v>1</v>
      </c>
      <c r="J91">
        <v>2</v>
      </c>
      <c r="K91" t="str">
        <f t="shared" si="1"/>
        <v>Train</v>
      </c>
    </row>
    <row r="92" spans="1:11" x14ac:dyDescent="0.2">
      <c r="A92" t="s">
        <v>112</v>
      </c>
      <c r="B92" s="2">
        <v>40662</v>
      </c>
      <c r="C92" s="3" t="s">
        <v>24</v>
      </c>
      <c r="D92">
        <v>7</v>
      </c>
      <c r="E92">
        <v>4</v>
      </c>
      <c r="F92" t="s">
        <v>12</v>
      </c>
      <c r="G92">
        <v>0</v>
      </c>
      <c r="H92">
        <v>0</v>
      </c>
      <c r="I92">
        <v>1</v>
      </c>
      <c r="J92">
        <v>1</v>
      </c>
      <c r="K92" t="str">
        <f t="shared" si="1"/>
        <v>Train</v>
      </c>
    </row>
    <row r="93" spans="1:11" x14ac:dyDescent="0.2">
      <c r="A93" t="s">
        <v>113</v>
      </c>
      <c r="B93" s="2">
        <v>40663</v>
      </c>
      <c r="C93" s="3" t="s">
        <v>11</v>
      </c>
      <c r="D93">
        <v>1</v>
      </c>
      <c r="E93">
        <v>4</v>
      </c>
      <c r="F93" t="s">
        <v>12</v>
      </c>
      <c r="G93">
        <v>0</v>
      </c>
      <c r="H93">
        <v>3</v>
      </c>
      <c r="I93">
        <v>3</v>
      </c>
      <c r="J93">
        <v>1</v>
      </c>
      <c r="K93" t="str">
        <f t="shared" si="1"/>
        <v>Train</v>
      </c>
    </row>
    <row r="94" spans="1:11" x14ac:dyDescent="0.2">
      <c r="A94" t="s">
        <v>114</v>
      </c>
      <c r="B94" s="2">
        <v>40664</v>
      </c>
      <c r="C94" s="3" t="s">
        <v>14</v>
      </c>
      <c r="D94">
        <v>2</v>
      </c>
      <c r="E94">
        <v>5</v>
      </c>
      <c r="F94" t="s">
        <v>12</v>
      </c>
      <c r="G94">
        <v>1</v>
      </c>
      <c r="H94">
        <v>2</v>
      </c>
      <c r="I94">
        <v>0</v>
      </c>
      <c r="J94">
        <v>1</v>
      </c>
      <c r="K94" t="str">
        <f t="shared" si="1"/>
        <v>Train</v>
      </c>
    </row>
    <row r="95" spans="1:11" x14ac:dyDescent="0.2">
      <c r="A95" t="s">
        <v>115</v>
      </c>
      <c r="B95" s="2">
        <v>40665</v>
      </c>
      <c r="C95" s="3" t="s">
        <v>16</v>
      </c>
      <c r="D95">
        <v>3</v>
      </c>
      <c r="E95">
        <v>5</v>
      </c>
      <c r="F95" t="s">
        <v>12</v>
      </c>
      <c r="G95">
        <v>1</v>
      </c>
      <c r="H95">
        <v>7</v>
      </c>
      <c r="I95">
        <v>2</v>
      </c>
      <c r="J95">
        <v>3</v>
      </c>
      <c r="K95" t="str">
        <f t="shared" si="1"/>
        <v>Train</v>
      </c>
    </row>
    <row r="96" spans="1:11" x14ac:dyDescent="0.2">
      <c r="A96" t="s">
        <v>116</v>
      </c>
      <c r="B96" s="2">
        <v>40666</v>
      </c>
      <c r="C96" s="3" t="s">
        <v>18</v>
      </c>
      <c r="D96">
        <v>4</v>
      </c>
      <c r="E96">
        <v>5</v>
      </c>
      <c r="F96" t="s">
        <v>12</v>
      </c>
      <c r="G96">
        <v>1</v>
      </c>
      <c r="H96">
        <v>1</v>
      </c>
      <c r="I96">
        <v>1</v>
      </c>
      <c r="J96">
        <v>4</v>
      </c>
      <c r="K96" t="str">
        <f t="shared" si="1"/>
        <v>Train</v>
      </c>
    </row>
    <row r="97" spans="1:11" x14ac:dyDescent="0.2">
      <c r="A97" t="s">
        <v>117</v>
      </c>
      <c r="B97" s="2">
        <v>40667</v>
      </c>
      <c r="C97" s="3" t="s">
        <v>20</v>
      </c>
      <c r="D97">
        <v>5</v>
      </c>
      <c r="E97">
        <v>5</v>
      </c>
      <c r="F97" t="s">
        <v>12</v>
      </c>
      <c r="G97">
        <v>1</v>
      </c>
      <c r="H97">
        <v>0</v>
      </c>
      <c r="I97">
        <v>1</v>
      </c>
      <c r="J97">
        <v>0</v>
      </c>
      <c r="K97" t="str">
        <f t="shared" si="1"/>
        <v>Train</v>
      </c>
    </row>
    <row r="98" spans="1:11" x14ac:dyDescent="0.2">
      <c r="A98" t="s">
        <v>118</v>
      </c>
      <c r="B98" s="2">
        <v>40668</v>
      </c>
      <c r="C98" s="3" t="s">
        <v>22</v>
      </c>
      <c r="D98">
        <v>6</v>
      </c>
      <c r="E98">
        <v>5</v>
      </c>
      <c r="F98" t="s">
        <v>36</v>
      </c>
      <c r="G98">
        <v>1</v>
      </c>
      <c r="H98">
        <v>0</v>
      </c>
      <c r="I98">
        <v>0</v>
      </c>
      <c r="J98">
        <v>3</v>
      </c>
      <c r="K98" t="str">
        <f t="shared" si="1"/>
        <v>Train</v>
      </c>
    </row>
    <row r="99" spans="1:11" x14ac:dyDescent="0.2">
      <c r="A99" t="s">
        <v>119</v>
      </c>
      <c r="B99" s="2">
        <v>40669</v>
      </c>
      <c r="C99" s="3" t="s">
        <v>24</v>
      </c>
      <c r="D99">
        <v>7</v>
      </c>
      <c r="E99">
        <v>5</v>
      </c>
      <c r="F99" t="s">
        <v>12</v>
      </c>
      <c r="G99">
        <v>1</v>
      </c>
      <c r="H99">
        <v>9</v>
      </c>
      <c r="I99">
        <v>1</v>
      </c>
      <c r="J99">
        <v>7</v>
      </c>
      <c r="K99" t="str">
        <f t="shared" si="1"/>
        <v>Train</v>
      </c>
    </row>
    <row r="100" spans="1:11" x14ac:dyDescent="0.2">
      <c r="A100" t="s">
        <v>120</v>
      </c>
      <c r="B100" s="2">
        <v>40670</v>
      </c>
      <c r="C100" s="3" t="s">
        <v>11</v>
      </c>
      <c r="D100">
        <v>1</v>
      </c>
      <c r="E100">
        <v>5</v>
      </c>
      <c r="F100" t="s">
        <v>12</v>
      </c>
      <c r="G100">
        <v>1</v>
      </c>
      <c r="H100">
        <v>0</v>
      </c>
      <c r="I100">
        <v>3</v>
      </c>
      <c r="J100">
        <v>2</v>
      </c>
      <c r="K100" t="str">
        <f t="shared" si="1"/>
        <v>Train</v>
      </c>
    </row>
    <row r="101" spans="1:11" x14ac:dyDescent="0.2">
      <c r="A101" t="s">
        <v>121</v>
      </c>
      <c r="B101" s="2">
        <v>40671</v>
      </c>
      <c r="C101" s="3" t="s">
        <v>14</v>
      </c>
      <c r="D101">
        <v>2</v>
      </c>
      <c r="E101">
        <v>5</v>
      </c>
      <c r="F101" t="s">
        <v>36</v>
      </c>
      <c r="G101">
        <v>1</v>
      </c>
      <c r="H101">
        <v>0</v>
      </c>
      <c r="I101">
        <v>1</v>
      </c>
      <c r="J101">
        <v>0</v>
      </c>
      <c r="K101" t="str">
        <f t="shared" si="1"/>
        <v>Train</v>
      </c>
    </row>
    <row r="102" spans="1:11" x14ac:dyDescent="0.2">
      <c r="A102" t="s">
        <v>122</v>
      </c>
      <c r="B102" s="2">
        <v>40672</v>
      </c>
      <c r="C102" s="3" t="s">
        <v>16</v>
      </c>
      <c r="D102">
        <v>3</v>
      </c>
      <c r="E102">
        <v>5</v>
      </c>
      <c r="F102" t="s">
        <v>12</v>
      </c>
      <c r="G102">
        <v>1</v>
      </c>
      <c r="H102">
        <v>0</v>
      </c>
      <c r="I102">
        <v>2</v>
      </c>
      <c r="J102">
        <v>0</v>
      </c>
      <c r="K102" t="str">
        <f t="shared" si="1"/>
        <v>Train</v>
      </c>
    </row>
    <row r="103" spans="1:11" x14ac:dyDescent="0.2">
      <c r="A103" t="s">
        <v>123</v>
      </c>
      <c r="B103" s="2">
        <v>40673</v>
      </c>
      <c r="C103" s="3" t="s">
        <v>18</v>
      </c>
      <c r="D103">
        <v>4</v>
      </c>
      <c r="E103">
        <v>5</v>
      </c>
      <c r="F103" t="s">
        <v>12</v>
      </c>
      <c r="G103">
        <v>1</v>
      </c>
      <c r="H103">
        <v>1</v>
      </c>
      <c r="I103">
        <v>0</v>
      </c>
      <c r="J103">
        <v>0</v>
      </c>
      <c r="K103" t="str">
        <f t="shared" si="1"/>
        <v>Train</v>
      </c>
    </row>
    <row r="104" spans="1:11" x14ac:dyDescent="0.2">
      <c r="A104" t="s">
        <v>124</v>
      </c>
      <c r="B104" s="2">
        <v>40674</v>
      </c>
      <c r="C104" s="3" t="s">
        <v>20</v>
      </c>
      <c r="D104">
        <v>5</v>
      </c>
      <c r="E104">
        <v>5</v>
      </c>
      <c r="F104" t="s">
        <v>12</v>
      </c>
      <c r="G104">
        <v>0</v>
      </c>
      <c r="H104">
        <v>2</v>
      </c>
      <c r="I104">
        <v>0</v>
      </c>
      <c r="J104">
        <v>0</v>
      </c>
      <c r="K104" t="str">
        <f t="shared" si="1"/>
        <v>Train</v>
      </c>
    </row>
    <row r="105" spans="1:11" x14ac:dyDescent="0.2">
      <c r="A105" t="s">
        <v>125</v>
      </c>
      <c r="B105" s="2">
        <v>40675</v>
      </c>
      <c r="C105" s="3" t="s">
        <v>22</v>
      </c>
      <c r="D105">
        <v>6</v>
      </c>
      <c r="E105">
        <v>5</v>
      </c>
      <c r="F105" t="s">
        <v>12</v>
      </c>
      <c r="G105">
        <v>0</v>
      </c>
      <c r="H105">
        <v>0</v>
      </c>
      <c r="I105">
        <v>0</v>
      </c>
      <c r="J105">
        <v>0</v>
      </c>
      <c r="K105" t="str">
        <f t="shared" si="1"/>
        <v>Train</v>
      </c>
    </row>
    <row r="106" spans="1:11" x14ac:dyDescent="0.2">
      <c r="A106" t="s">
        <v>126</v>
      </c>
      <c r="B106" s="2">
        <v>40676</v>
      </c>
      <c r="C106" s="3" t="s">
        <v>24</v>
      </c>
      <c r="D106">
        <v>7</v>
      </c>
      <c r="E106">
        <v>5</v>
      </c>
      <c r="F106" t="s">
        <v>12</v>
      </c>
      <c r="G106">
        <v>0</v>
      </c>
      <c r="H106">
        <v>1</v>
      </c>
      <c r="I106">
        <v>0</v>
      </c>
      <c r="J106">
        <v>0</v>
      </c>
      <c r="K106" t="str">
        <f t="shared" si="1"/>
        <v>Train</v>
      </c>
    </row>
    <row r="107" spans="1:11" x14ac:dyDescent="0.2">
      <c r="A107" t="s">
        <v>127</v>
      </c>
      <c r="B107" s="2">
        <v>40677</v>
      </c>
      <c r="C107" s="3" t="s">
        <v>11</v>
      </c>
      <c r="D107">
        <v>1</v>
      </c>
      <c r="E107">
        <v>5</v>
      </c>
      <c r="F107" t="s">
        <v>12</v>
      </c>
      <c r="G107">
        <v>0</v>
      </c>
      <c r="H107">
        <v>3</v>
      </c>
      <c r="I107">
        <v>2</v>
      </c>
      <c r="J107">
        <v>2</v>
      </c>
      <c r="K107" t="str">
        <f t="shared" si="1"/>
        <v>Train</v>
      </c>
    </row>
    <row r="108" spans="1:11" x14ac:dyDescent="0.2">
      <c r="A108" t="s">
        <v>128</v>
      </c>
      <c r="B108" s="2">
        <v>40678</v>
      </c>
      <c r="C108" s="3" t="s">
        <v>14</v>
      </c>
      <c r="D108">
        <v>2</v>
      </c>
      <c r="E108">
        <v>5</v>
      </c>
      <c r="F108" t="s">
        <v>12</v>
      </c>
      <c r="G108">
        <v>0</v>
      </c>
      <c r="H108">
        <v>1</v>
      </c>
      <c r="I108">
        <v>1</v>
      </c>
      <c r="J108">
        <v>1</v>
      </c>
      <c r="K108" t="str">
        <f t="shared" si="1"/>
        <v>Train</v>
      </c>
    </row>
    <row r="109" spans="1:11" x14ac:dyDescent="0.2">
      <c r="A109" t="s">
        <v>129</v>
      </c>
      <c r="B109" s="2">
        <v>40679</v>
      </c>
      <c r="C109" s="3" t="s">
        <v>16</v>
      </c>
      <c r="D109">
        <v>3</v>
      </c>
      <c r="E109">
        <v>5</v>
      </c>
      <c r="F109" t="s">
        <v>12</v>
      </c>
      <c r="G109">
        <v>0</v>
      </c>
      <c r="H109">
        <v>3</v>
      </c>
      <c r="I109">
        <v>0</v>
      </c>
      <c r="J109">
        <v>2</v>
      </c>
      <c r="K109" t="str">
        <f t="shared" si="1"/>
        <v>Train</v>
      </c>
    </row>
    <row r="110" spans="1:11" x14ac:dyDescent="0.2">
      <c r="A110" t="s">
        <v>130</v>
      </c>
      <c r="B110" s="2">
        <v>40680</v>
      </c>
      <c r="C110" s="3" t="s">
        <v>18</v>
      </c>
      <c r="D110">
        <v>4</v>
      </c>
      <c r="E110">
        <v>5</v>
      </c>
      <c r="F110" t="s">
        <v>12</v>
      </c>
      <c r="G110">
        <v>0</v>
      </c>
      <c r="H110">
        <v>0</v>
      </c>
      <c r="I110">
        <v>0</v>
      </c>
      <c r="J110">
        <v>4</v>
      </c>
      <c r="K110" t="str">
        <f t="shared" si="1"/>
        <v>Train</v>
      </c>
    </row>
    <row r="111" spans="1:11" x14ac:dyDescent="0.2">
      <c r="A111" t="s">
        <v>131</v>
      </c>
      <c r="B111" s="2">
        <v>40681</v>
      </c>
      <c r="C111" s="3" t="s">
        <v>20</v>
      </c>
      <c r="D111">
        <v>5</v>
      </c>
      <c r="E111">
        <v>5</v>
      </c>
      <c r="F111" t="s">
        <v>12</v>
      </c>
      <c r="G111">
        <v>0</v>
      </c>
      <c r="H111">
        <v>0</v>
      </c>
      <c r="I111">
        <v>1</v>
      </c>
      <c r="J111">
        <v>0</v>
      </c>
      <c r="K111" t="str">
        <f t="shared" si="1"/>
        <v>Train</v>
      </c>
    </row>
    <row r="112" spans="1:11" x14ac:dyDescent="0.2">
      <c r="A112" t="s">
        <v>132</v>
      </c>
      <c r="B112" s="2">
        <v>40682</v>
      </c>
      <c r="C112" s="3" t="s">
        <v>22</v>
      </c>
      <c r="D112">
        <v>6</v>
      </c>
      <c r="E112">
        <v>5</v>
      </c>
      <c r="F112" t="s">
        <v>12</v>
      </c>
      <c r="G112">
        <v>0</v>
      </c>
      <c r="H112">
        <v>1</v>
      </c>
      <c r="I112">
        <v>0</v>
      </c>
      <c r="J112">
        <v>1</v>
      </c>
      <c r="K112" t="str">
        <f t="shared" si="1"/>
        <v>Train</v>
      </c>
    </row>
    <row r="113" spans="1:11" x14ac:dyDescent="0.2">
      <c r="A113" t="s">
        <v>133</v>
      </c>
      <c r="B113" s="2">
        <v>40683</v>
      </c>
      <c r="C113" s="3" t="s">
        <v>24</v>
      </c>
      <c r="D113">
        <v>7</v>
      </c>
      <c r="E113">
        <v>5</v>
      </c>
      <c r="F113" t="s">
        <v>12</v>
      </c>
      <c r="G113">
        <v>0</v>
      </c>
      <c r="H113">
        <v>1</v>
      </c>
      <c r="I113">
        <v>1</v>
      </c>
      <c r="J113">
        <v>0</v>
      </c>
      <c r="K113" t="str">
        <f t="shared" si="1"/>
        <v>Train</v>
      </c>
    </row>
    <row r="114" spans="1:11" x14ac:dyDescent="0.2">
      <c r="A114" t="s">
        <v>134</v>
      </c>
      <c r="B114" s="2">
        <v>40684</v>
      </c>
      <c r="C114" s="3" t="s">
        <v>11</v>
      </c>
      <c r="D114">
        <v>1</v>
      </c>
      <c r="E114">
        <v>5</v>
      </c>
      <c r="F114" t="s">
        <v>12</v>
      </c>
      <c r="G114">
        <v>0</v>
      </c>
      <c r="H114">
        <v>1</v>
      </c>
      <c r="I114">
        <v>0</v>
      </c>
      <c r="J114">
        <v>3</v>
      </c>
      <c r="K114" t="str">
        <f t="shared" si="1"/>
        <v>Train</v>
      </c>
    </row>
    <row r="115" spans="1:11" x14ac:dyDescent="0.2">
      <c r="A115" t="s">
        <v>135</v>
      </c>
      <c r="B115" s="2">
        <v>40685</v>
      </c>
      <c r="C115" s="3" t="s">
        <v>14</v>
      </c>
      <c r="D115">
        <v>2</v>
      </c>
      <c r="E115">
        <v>5</v>
      </c>
      <c r="F115" t="s">
        <v>12</v>
      </c>
      <c r="G115">
        <v>0</v>
      </c>
      <c r="H115">
        <v>3</v>
      </c>
      <c r="I115">
        <v>3</v>
      </c>
      <c r="J115">
        <v>0</v>
      </c>
      <c r="K115" t="str">
        <f t="shared" si="1"/>
        <v>Train</v>
      </c>
    </row>
    <row r="116" spans="1:11" x14ac:dyDescent="0.2">
      <c r="A116" t="s">
        <v>136</v>
      </c>
      <c r="B116" s="2">
        <v>40686</v>
      </c>
      <c r="C116" s="3" t="s">
        <v>16</v>
      </c>
      <c r="D116">
        <v>3</v>
      </c>
      <c r="E116">
        <v>5</v>
      </c>
      <c r="F116" t="s">
        <v>12</v>
      </c>
      <c r="G116">
        <v>0</v>
      </c>
      <c r="H116">
        <v>0</v>
      </c>
      <c r="I116">
        <v>2</v>
      </c>
      <c r="J116">
        <v>1</v>
      </c>
      <c r="K116" t="str">
        <f t="shared" si="1"/>
        <v>Train</v>
      </c>
    </row>
    <row r="117" spans="1:11" x14ac:dyDescent="0.2">
      <c r="A117" t="s">
        <v>137</v>
      </c>
      <c r="B117" s="2">
        <v>40687</v>
      </c>
      <c r="C117" s="3" t="s">
        <v>18</v>
      </c>
      <c r="D117">
        <v>4</v>
      </c>
      <c r="E117">
        <v>5</v>
      </c>
      <c r="F117" t="s">
        <v>12</v>
      </c>
      <c r="G117">
        <v>0</v>
      </c>
      <c r="H117">
        <v>1</v>
      </c>
      <c r="I117">
        <v>1</v>
      </c>
      <c r="J117">
        <v>1</v>
      </c>
      <c r="K117" t="str">
        <f t="shared" si="1"/>
        <v>Train</v>
      </c>
    </row>
    <row r="118" spans="1:11" x14ac:dyDescent="0.2">
      <c r="A118" t="s">
        <v>138</v>
      </c>
      <c r="B118" s="2">
        <v>40688</v>
      </c>
      <c r="C118" s="3" t="s">
        <v>20</v>
      </c>
      <c r="D118">
        <v>5</v>
      </c>
      <c r="E118">
        <v>5</v>
      </c>
      <c r="F118" t="s">
        <v>12</v>
      </c>
      <c r="G118">
        <v>0</v>
      </c>
      <c r="H118">
        <v>2</v>
      </c>
      <c r="I118">
        <v>0</v>
      </c>
      <c r="J118">
        <v>0</v>
      </c>
      <c r="K118" t="str">
        <f t="shared" si="1"/>
        <v>Train</v>
      </c>
    </row>
    <row r="119" spans="1:11" x14ac:dyDescent="0.2">
      <c r="A119" t="s">
        <v>139</v>
      </c>
      <c r="B119" s="2">
        <v>40689</v>
      </c>
      <c r="C119" s="3" t="s">
        <v>22</v>
      </c>
      <c r="D119">
        <v>6</v>
      </c>
      <c r="E119">
        <v>5</v>
      </c>
      <c r="F119" t="s">
        <v>12</v>
      </c>
      <c r="G119">
        <v>0</v>
      </c>
      <c r="H119">
        <v>0</v>
      </c>
      <c r="I119">
        <v>3</v>
      </c>
      <c r="J119">
        <v>0</v>
      </c>
      <c r="K119" t="str">
        <f t="shared" si="1"/>
        <v>Train</v>
      </c>
    </row>
    <row r="120" spans="1:11" x14ac:dyDescent="0.2">
      <c r="A120" t="s">
        <v>140</v>
      </c>
      <c r="B120" s="2">
        <v>40690</v>
      </c>
      <c r="C120" s="3" t="s">
        <v>24</v>
      </c>
      <c r="D120">
        <v>7</v>
      </c>
      <c r="E120">
        <v>5</v>
      </c>
      <c r="F120" t="s">
        <v>12</v>
      </c>
      <c r="G120">
        <v>0</v>
      </c>
      <c r="H120">
        <v>6</v>
      </c>
      <c r="I120">
        <v>0</v>
      </c>
      <c r="J120">
        <v>0</v>
      </c>
      <c r="K120" t="str">
        <f t="shared" si="1"/>
        <v>Train</v>
      </c>
    </row>
    <row r="121" spans="1:11" x14ac:dyDescent="0.2">
      <c r="A121" t="s">
        <v>141</v>
      </c>
      <c r="B121" s="2">
        <v>40691</v>
      </c>
      <c r="C121" s="3" t="s">
        <v>11</v>
      </c>
      <c r="D121">
        <v>1</v>
      </c>
      <c r="E121">
        <v>5</v>
      </c>
      <c r="F121" t="s">
        <v>12</v>
      </c>
      <c r="G121">
        <v>0</v>
      </c>
      <c r="H121">
        <v>3</v>
      </c>
      <c r="I121">
        <v>0</v>
      </c>
      <c r="J121">
        <v>0</v>
      </c>
      <c r="K121" t="str">
        <f t="shared" si="1"/>
        <v>Train</v>
      </c>
    </row>
    <row r="122" spans="1:11" x14ac:dyDescent="0.2">
      <c r="A122" t="s">
        <v>142</v>
      </c>
      <c r="B122" s="2">
        <v>40692</v>
      </c>
      <c r="C122" s="3" t="s">
        <v>14</v>
      </c>
      <c r="D122">
        <v>2</v>
      </c>
      <c r="E122">
        <v>5</v>
      </c>
      <c r="F122" t="s">
        <v>12</v>
      </c>
      <c r="G122">
        <v>0</v>
      </c>
      <c r="H122">
        <v>1</v>
      </c>
      <c r="I122">
        <v>0</v>
      </c>
      <c r="J122">
        <v>1</v>
      </c>
      <c r="K122" t="str">
        <f t="shared" si="1"/>
        <v>Train</v>
      </c>
    </row>
    <row r="123" spans="1:11" x14ac:dyDescent="0.2">
      <c r="A123" t="s">
        <v>143</v>
      </c>
      <c r="B123" s="2">
        <v>40693</v>
      </c>
      <c r="C123" s="3" t="s">
        <v>16</v>
      </c>
      <c r="D123">
        <v>3</v>
      </c>
      <c r="E123">
        <v>5</v>
      </c>
      <c r="F123" t="s">
        <v>44</v>
      </c>
      <c r="G123">
        <v>0</v>
      </c>
      <c r="H123">
        <v>0</v>
      </c>
      <c r="I123">
        <v>0</v>
      </c>
      <c r="J123">
        <v>2</v>
      </c>
      <c r="K123" t="str">
        <f t="shared" si="1"/>
        <v>Train</v>
      </c>
    </row>
    <row r="124" spans="1:11" x14ac:dyDescent="0.2">
      <c r="A124" t="s">
        <v>144</v>
      </c>
      <c r="B124" s="2">
        <v>40694</v>
      </c>
      <c r="C124" s="3" t="s">
        <v>18</v>
      </c>
      <c r="D124">
        <v>4</v>
      </c>
      <c r="E124">
        <v>5</v>
      </c>
      <c r="F124" t="s">
        <v>27</v>
      </c>
      <c r="G124">
        <v>0</v>
      </c>
      <c r="H124">
        <v>1</v>
      </c>
      <c r="I124">
        <v>0</v>
      </c>
      <c r="J124">
        <v>0</v>
      </c>
      <c r="K124" t="str">
        <f t="shared" si="1"/>
        <v>Train</v>
      </c>
    </row>
    <row r="125" spans="1:11" x14ac:dyDescent="0.2">
      <c r="A125" t="s">
        <v>145</v>
      </c>
      <c r="B125" s="2">
        <v>40695</v>
      </c>
      <c r="C125" s="3" t="s">
        <v>20</v>
      </c>
      <c r="D125">
        <v>5</v>
      </c>
      <c r="E125">
        <v>6</v>
      </c>
      <c r="F125" t="s">
        <v>12</v>
      </c>
      <c r="G125">
        <v>1</v>
      </c>
      <c r="H125">
        <v>0</v>
      </c>
      <c r="I125">
        <v>1</v>
      </c>
      <c r="J125">
        <v>0</v>
      </c>
      <c r="K125" t="str">
        <f t="shared" si="1"/>
        <v>Train</v>
      </c>
    </row>
    <row r="126" spans="1:11" x14ac:dyDescent="0.2">
      <c r="A126" t="s">
        <v>146</v>
      </c>
      <c r="B126" s="2">
        <v>40696</v>
      </c>
      <c r="C126" s="3" t="s">
        <v>22</v>
      </c>
      <c r="D126">
        <v>6</v>
      </c>
      <c r="E126">
        <v>6</v>
      </c>
      <c r="F126" t="s">
        <v>12</v>
      </c>
      <c r="G126">
        <v>1</v>
      </c>
      <c r="H126">
        <v>2</v>
      </c>
      <c r="I126">
        <v>0</v>
      </c>
      <c r="J126">
        <v>3</v>
      </c>
      <c r="K126" t="str">
        <f t="shared" si="1"/>
        <v>Train</v>
      </c>
    </row>
    <row r="127" spans="1:11" x14ac:dyDescent="0.2">
      <c r="A127" t="s">
        <v>147</v>
      </c>
      <c r="B127" s="2">
        <v>40697</v>
      </c>
      <c r="C127" s="3" t="s">
        <v>24</v>
      </c>
      <c r="D127">
        <v>7</v>
      </c>
      <c r="E127">
        <v>6</v>
      </c>
      <c r="F127" t="s">
        <v>12</v>
      </c>
      <c r="G127">
        <v>1</v>
      </c>
      <c r="H127">
        <v>0</v>
      </c>
      <c r="I127">
        <v>2</v>
      </c>
      <c r="J127">
        <v>0</v>
      </c>
      <c r="K127" t="str">
        <f t="shared" si="1"/>
        <v>Train</v>
      </c>
    </row>
    <row r="128" spans="1:11" x14ac:dyDescent="0.2">
      <c r="A128" t="s">
        <v>148</v>
      </c>
      <c r="B128" s="2">
        <v>40698</v>
      </c>
      <c r="C128" s="3" t="s">
        <v>11</v>
      </c>
      <c r="D128">
        <v>1</v>
      </c>
      <c r="E128">
        <v>6</v>
      </c>
      <c r="F128" t="s">
        <v>12</v>
      </c>
      <c r="G128">
        <v>1</v>
      </c>
      <c r="H128">
        <v>0</v>
      </c>
      <c r="I128">
        <v>0</v>
      </c>
      <c r="J128">
        <v>1</v>
      </c>
      <c r="K128" t="str">
        <f t="shared" si="1"/>
        <v>Train</v>
      </c>
    </row>
    <row r="129" spans="1:11" x14ac:dyDescent="0.2">
      <c r="A129" t="s">
        <v>149</v>
      </c>
      <c r="B129" s="2">
        <v>40699</v>
      </c>
      <c r="C129" s="3" t="s">
        <v>14</v>
      </c>
      <c r="D129">
        <v>2</v>
      </c>
      <c r="E129">
        <v>6</v>
      </c>
      <c r="F129" t="s">
        <v>12</v>
      </c>
      <c r="G129">
        <v>1</v>
      </c>
      <c r="H129">
        <v>0</v>
      </c>
      <c r="I129">
        <v>0</v>
      </c>
      <c r="J129">
        <v>0</v>
      </c>
      <c r="K129" t="str">
        <f t="shared" si="1"/>
        <v>Train</v>
      </c>
    </row>
    <row r="130" spans="1:11" x14ac:dyDescent="0.2">
      <c r="A130" t="s">
        <v>150</v>
      </c>
      <c r="B130" s="2">
        <v>40700</v>
      </c>
      <c r="C130" s="3" t="s">
        <v>16</v>
      </c>
      <c r="D130">
        <v>3</v>
      </c>
      <c r="E130">
        <v>6</v>
      </c>
      <c r="F130" t="s">
        <v>12</v>
      </c>
      <c r="G130">
        <v>1</v>
      </c>
      <c r="H130">
        <v>0</v>
      </c>
      <c r="I130">
        <v>4</v>
      </c>
      <c r="J130">
        <v>4</v>
      </c>
      <c r="K130" t="str">
        <f t="shared" ref="K130:K193" si="2">IF(ROW()-1&lt;=300,"Train","Validation")</f>
        <v>Train</v>
      </c>
    </row>
    <row r="131" spans="1:11" x14ac:dyDescent="0.2">
      <c r="A131" t="s">
        <v>151</v>
      </c>
      <c r="B131" s="2">
        <v>40701</v>
      </c>
      <c r="C131" s="3" t="s">
        <v>18</v>
      </c>
      <c r="D131">
        <v>4</v>
      </c>
      <c r="E131">
        <v>6</v>
      </c>
      <c r="F131" t="s">
        <v>12</v>
      </c>
      <c r="G131">
        <v>1</v>
      </c>
      <c r="H131">
        <v>0</v>
      </c>
      <c r="I131">
        <v>2</v>
      </c>
      <c r="J131">
        <v>0</v>
      </c>
      <c r="K131" t="str">
        <f t="shared" si="2"/>
        <v>Train</v>
      </c>
    </row>
    <row r="132" spans="1:11" x14ac:dyDescent="0.2">
      <c r="A132" t="s">
        <v>152</v>
      </c>
      <c r="B132" s="2">
        <v>40702</v>
      </c>
      <c r="C132" s="3" t="s">
        <v>20</v>
      </c>
      <c r="D132">
        <v>5</v>
      </c>
      <c r="E132">
        <v>6</v>
      </c>
      <c r="F132" t="s">
        <v>12</v>
      </c>
      <c r="G132">
        <v>1</v>
      </c>
      <c r="H132">
        <v>1</v>
      </c>
      <c r="I132">
        <v>4</v>
      </c>
      <c r="J132">
        <v>0</v>
      </c>
      <c r="K132" t="str">
        <f t="shared" si="2"/>
        <v>Train</v>
      </c>
    </row>
    <row r="133" spans="1:11" x14ac:dyDescent="0.2">
      <c r="A133" t="s">
        <v>153</v>
      </c>
      <c r="B133" s="2">
        <v>40703</v>
      </c>
      <c r="C133" s="3" t="s">
        <v>22</v>
      </c>
      <c r="D133">
        <v>6</v>
      </c>
      <c r="E133">
        <v>6</v>
      </c>
      <c r="F133" t="s">
        <v>12</v>
      </c>
      <c r="G133">
        <v>1</v>
      </c>
      <c r="H133">
        <v>4</v>
      </c>
      <c r="I133">
        <v>0</v>
      </c>
      <c r="J133">
        <v>0</v>
      </c>
      <c r="K133" t="str">
        <f t="shared" si="2"/>
        <v>Train</v>
      </c>
    </row>
    <row r="134" spans="1:11" x14ac:dyDescent="0.2">
      <c r="A134" t="s">
        <v>154</v>
      </c>
      <c r="B134" s="2">
        <v>40704</v>
      </c>
      <c r="C134" s="3" t="s">
        <v>24</v>
      </c>
      <c r="D134">
        <v>7</v>
      </c>
      <c r="E134">
        <v>6</v>
      </c>
      <c r="F134" t="s">
        <v>12</v>
      </c>
      <c r="G134">
        <v>1</v>
      </c>
      <c r="H134">
        <v>0</v>
      </c>
      <c r="I134">
        <v>3</v>
      </c>
      <c r="J134">
        <v>0</v>
      </c>
      <c r="K134" t="str">
        <f t="shared" si="2"/>
        <v>Train</v>
      </c>
    </row>
    <row r="135" spans="1:11" x14ac:dyDescent="0.2">
      <c r="A135" t="s">
        <v>155</v>
      </c>
      <c r="B135" s="2">
        <v>40705</v>
      </c>
      <c r="C135" s="3" t="s">
        <v>11</v>
      </c>
      <c r="D135">
        <v>1</v>
      </c>
      <c r="E135">
        <v>6</v>
      </c>
      <c r="F135" t="s">
        <v>12</v>
      </c>
      <c r="G135">
        <v>0</v>
      </c>
      <c r="H135">
        <v>0</v>
      </c>
      <c r="I135">
        <v>1</v>
      </c>
      <c r="J135">
        <v>6</v>
      </c>
      <c r="K135" t="str">
        <f t="shared" si="2"/>
        <v>Train</v>
      </c>
    </row>
    <row r="136" spans="1:11" x14ac:dyDescent="0.2">
      <c r="A136" t="s">
        <v>156</v>
      </c>
      <c r="B136" s="2">
        <v>40706</v>
      </c>
      <c r="C136" s="3" t="s">
        <v>14</v>
      </c>
      <c r="D136">
        <v>2</v>
      </c>
      <c r="E136">
        <v>6</v>
      </c>
      <c r="F136" t="s">
        <v>27</v>
      </c>
      <c r="G136">
        <v>0</v>
      </c>
      <c r="H136">
        <v>3</v>
      </c>
      <c r="I136">
        <v>1</v>
      </c>
      <c r="J136">
        <v>4</v>
      </c>
      <c r="K136" t="str">
        <f t="shared" si="2"/>
        <v>Train</v>
      </c>
    </row>
    <row r="137" spans="1:11" x14ac:dyDescent="0.2">
      <c r="A137" t="s">
        <v>157</v>
      </c>
      <c r="B137" s="2">
        <v>40707</v>
      </c>
      <c r="C137" s="3" t="s">
        <v>16</v>
      </c>
      <c r="D137">
        <v>3</v>
      </c>
      <c r="E137">
        <v>6</v>
      </c>
      <c r="F137" t="s">
        <v>12</v>
      </c>
      <c r="G137">
        <v>0</v>
      </c>
      <c r="H137">
        <v>0</v>
      </c>
      <c r="I137">
        <v>1</v>
      </c>
      <c r="J137">
        <v>0</v>
      </c>
      <c r="K137" t="str">
        <f t="shared" si="2"/>
        <v>Train</v>
      </c>
    </row>
    <row r="138" spans="1:11" x14ac:dyDescent="0.2">
      <c r="A138" t="s">
        <v>158</v>
      </c>
      <c r="B138" s="2">
        <v>40708</v>
      </c>
      <c r="C138" s="3" t="s">
        <v>18</v>
      </c>
      <c r="D138">
        <v>4</v>
      </c>
      <c r="E138">
        <v>6</v>
      </c>
      <c r="F138" t="s">
        <v>12</v>
      </c>
      <c r="G138">
        <v>0</v>
      </c>
      <c r="H138">
        <v>1</v>
      </c>
      <c r="I138">
        <v>2</v>
      </c>
      <c r="J138">
        <v>0</v>
      </c>
      <c r="K138" t="str">
        <f t="shared" si="2"/>
        <v>Train</v>
      </c>
    </row>
    <row r="139" spans="1:11" x14ac:dyDescent="0.2">
      <c r="A139" t="s">
        <v>159</v>
      </c>
      <c r="B139" s="2">
        <v>40709</v>
      </c>
      <c r="C139" s="3" t="s">
        <v>20</v>
      </c>
      <c r="D139">
        <v>5</v>
      </c>
      <c r="E139">
        <v>6</v>
      </c>
      <c r="F139" t="s">
        <v>12</v>
      </c>
      <c r="G139">
        <v>0</v>
      </c>
      <c r="H139">
        <v>1</v>
      </c>
      <c r="I139">
        <v>2</v>
      </c>
      <c r="J139">
        <v>0</v>
      </c>
      <c r="K139" t="str">
        <f t="shared" si="2"/>
        <v>Train</v>
      </c>
    </row>
    <row r="140" spans="1:11" x14ac:dyDescent="0.2">
      <c r="A140" t="s">
        <v>160</v>
      </c>
      <c r="B140" s="2">
        <v>40710</v>
      </c>
      <c r="C140" s="3" t="s">
        <v>22</v>
      </c>
      <c r="D140">
        <v>6</v>
      </c>
      <c r="E140">
        <v>6</v>
      </c>
      <c r="F140" t="s">
        <v>12</v>
      </c>
      <c r="G140">
        <v>0</v>
      </c>
      <c r="H140">
        <v>0</v>
      </c>
      <c r="I140">
        <v>1</v>
      </c>
      <c r="J140">
        <v>1</v>
      </c>
      <c r="K140" t="str">
        <f t="shared" si="2"/>
        <v>Train</v>
      </c>
    </row>
    <row r="141" spans="1:11" x14ac:dyDescent="0.2">
      <c r="A141" t="s">
        <v>161</v>
      </c>
      <c r="B141" s="2">
        <v>40711</v>
      </c>
      <c r="C141" s="3" t="s">
        <v>24</v>
      </c>
      <c r="D141">
        <v>7</v>
      </c>
      <c r="E141">
        <v>6</v>
      </c>
      <c r="F141" t="s">
        <v>12</v>
      </c>
      <c r="G141">
        <v>0</v>
      </c>
      <c r="H141">
        <v>2</v>
      </c>
      <c r="I141">
        <v>0</v>
      </c>
      <c r="J141">
        <v>1</v>
      </c>
      <c r="K141" t="str">
        <f t="shared" si="2"/>
        <v>Train</v>
      </c>
    </row>
    <row r="142" spans="1:11" x14ac:dyDescent="0.2">
      <c r="A142" t="s">
        <v>162</v>
      </c>
      <c r="B142" s="2">
        <v>40712</v>
      </c>
      <c r="C142" s="3" t="s">
        <v>11</v>
      </c>
      <c r="D142">
        <v>1</v>
      </c>
      <c r="E142">
        <v>6</v>
      </c>
      <c r="F142" t="s">
        <v>12</v>
      </c>
      <c r="G142">
        <v>0</v>
      </c>
      <c r="H142">
        <v>3</v>
      </c>
      <c r="I142">
        <v>2</v>
      </c>
      <c r="J142">
        <v>0</v>
      </c>
      <c r="K142" t="str">
        <f t="shared" si="2"/>
        <v>Train</v>
      </c>
    </row>
    <row r="143" spans="1:11" x14ac:dyDescent="0.2">
      <c r="A143" t="s">
        <v>163</v>
      </c>
      <c r="B143" s="2">
        <v>40713</v>
      </c>
      <c r="C143" s="3" t="s">
        <v>14</v>
      </c>
      <c r="D143">
        <v>2</v>
      </c>
      <c r="E143">
        <v>6</v>
      </c>
      <c r="F143" t="s">
        <v>36</v>
      </c>
      <c r="G143">
        <v>0</v>
      </c>
      <c r="H143">
        <v>2</v>
      </c>
      <c r="I143">
        <v>3</v>
      </c>
      <c r="J143">
        <v>1</v>
      </c>
      <c r="K143" t="str">
        <f t="shared" si="2"/>
        <v>Train</v>
      </c>
    </row>
    <row r="144" spans="1:11" x14ac:dyDescent="0.2">
      <c r="A144" t="s">
        <v>164</v>
      </c>
      <c r="B144" s="2">
        <v>40714</v>
      </c>
      <c r="C144" s="3" t="s">
        <v>16</v>
      </c>
      <c r="D144">
        <v>3</v>
      </c>
      <c r="E144">
        <v>6</v>
      </c>
      <c r="F144" t="s">
        <v>12</v>
      </c>
      <c r="G144">
        <v>0</v>
      </c>
      <c r="H144">
        <v>3</v>
      </c>
      <c r="I144">
        <v>1</v>
      </c>
      <c r="J144">
        <v>0</v>
      </c>
      <c r="K144" t="str">
        <f t="shared" si="2"/>
        <v>Train</v>
      </c>
    </row>
    <row r="145" spans="1:11" x14ac:dyDescent="0.2">
      <c r="A145" t="s">
        <v>165</v>
      </c>
      <c r="B145" s="2">
        <v>40715</v>
      </c>
      <c r="C145" s="3" t="s">
        <v>18</v>
      </c>
      <c r="D145">
        <v>4</v>
      </c>
      <c r="E145">
        <v>6</v>
      </c>
      <c r="F145" t="s">
        <v>12</v>
      </c>
      <c r="G145">
        <v>0</v>
      </c>
      <c r="H145">
        <v>1</v>
      </c>
      <c r="I145">
        <v>2</v>
      </c>
      <c r="J145">
        <v>0</v>
      </c>
      <c r="K145" t="str">
        <f t="shared" si="2"/>
        <v>Train</v>
      </c>
    </row>
    <row r="146" spans="1:11" x14ac:dyDescent="0.2">
      <c r="A146" t="s">
        <v>166</v>
      </c>
      <c r="B146" s="2">
        <v>40716</v>
      </c>
      <c r="C146" s="3" t="s">
        <v>20</v>
      </c>
      <c r="D146">
        <v>5</v>
      </c>
      <c r="E146">
        <v>6</v>
      </c>
      <c r="F146" t="s">
        <v>12</v>
      </c>
      <c r="G146">
        <v>0</v>
      </c>
      <c r="H146">
        <v>1</v>
      </c>
      <c r="I146">
        <v>0</v>
      </c>
      <c r="J146">
        <v>1</v>
      </c>
      <c r="K146" t="str">
        <f t="shared" si="2"/>
        <v>Train</v>
      </c>
    </row>
    <row r="147" spans="1:11" x14ac:dyDescent="0.2">
      <c r="A147" t="s">
        <v>167</v>
      </c>
      <c r="B147" s="2">
        <v>40717</v>
      </c>
      <c r="C147" s="3" t="s">
        <v>22</v>
      </c>
      <c r="D147">
        <v>6</v>
      </c>
      <c r="E147">
        <v>6</v>
      </c>
      <c r="F147" t="s">
        <v>12</v>
      </c>
      <c r="G147">
        <v>0</v>
      </c>
      <c r="H147">
        <v>0</v>
      </c>
      <c r="I147">
        <v>2</v>
      </c>
      <c r="J147">
        <v>2</v>
      </c>
      <c r="K147" t="str">
        <f t="shared" si="2"/>
        <v>Train</v>
      </c>
    </row>
    <row r="148" spans="1:11" x14ac:dyDescent="0.2">
      <c r="A148" t="s">
        <v>168</v>
      </c>
      <c r="B148" s="2">
        <v>40718</v>
      </c>
      <c r="C148" s="3" t="s">
        <v>24</v>
      </c>
      <c r="D148">
        <v>7</v>
      </c>
      <c r="E148">
        <v>6</v>
      </c>
      <c r="F148" t="s">
        <v>12</v>
      </c>
      <c r="G148">
        <v>0</v>
      </c>
      <c r="H148">
        <v>2</v>
      </c>
      <c r="I148">
        <v>2</v>
      </c>
      <c r="J148">
        <v>2</v>
      </c>
      <c r="K148" t="str">
        <f t="shared" si="2"/>
        <v>Train</v>
      </c>
    </row>
    <row r="149" spans="1:11" x14ac:dyDescent="0.2">
      <c r="A149" t="s">
        <v>169</v>
      </c>
      <c r="B149" s="2">
        <v>40719</v>
      </c>
      <c r="C149" s="3" t="s">
        <v>11</v>
      </c>
      <c r="D149">
        <v>1</v>
      </c>
      <c r="E149">
        <v>6</v>
      </c>
      <c r="F149" t="s">
        <v>12</v>
      </c>
      <c r="G149">
        <v>0</v>
      </c>
      <c r="H149">
        <v>1</v>
      </c>
      <c r="I149">
        <v>1</v>
      </c>
      <c r="J149">
        <v>1</v>
      </c>
      <c r="K149" t="str">
        <f t="shared" si="2"/>
        <v>Train</v>
      </c>
    </row>
    <row r="150" spans="1:11" x14ac:dyDescent="0.2">
      <c r="A150" t="s">
        <v>170</v>
      </c>
      <c r="B150" s="2">
        <v>40720</v>
      </c>
      <c r="C150" s="3" t="s">
        <v>14</v>
      </c>
      <c r="D150">
        <v>2</v>
      </c>
      <c r="E150">
        <v>6</v>
      </c>
      <c r="F150" t="s">
        <v>12</v>
      </c>
      <c r="G150">
        <v>0</v>
      </c>
      <c r="H150">
        <v>0</v>
      </c>
      <c r="I150">
        <v>0</v>
      </c>
      <c r="J150">
        <v>0</v>
      </c>
      <c r="K150" t="str">
        <f t="shared" si="2"/>
        <v>Train</v>
      </c>
    </row>
    <row r="151" spans="1:11" x14ac:dyDescent="0.2">
      <c r="A151" t="s">
        <v>171</v>
      </c>
      <c r="B151" s="2">
        <v>40721</v>
      </c>
      <c r="C151" s="3" t="s">
        <v>16</v>
      </c>
      <c r="D151">
        <v>3</v>
      </c>
      <c r="E151">
        <v>6</v>
      </c>
      <c r="F151" t="s">
        <v>12</v>
      </c>
      <c r="G151">
        <v>0</v>
      </c>
      <c r="H151">
        <v>1</v>
      </c>
      <c r="I151">
        <v>2</v>
      </c>
      <c r="J151">
        <v>0</v>
      </c>
      <c r="K151" t="str">
        <f t="shared" si="2"/>
        <v>Train</v>
      </c>
    </row>
    <row r="152" spans="1:11" x14ac:dyDescent="0.2">
      <c r="A152" t="s">
        <v>172</v>
      </c>
      <c r="B152" s="2">
        <v>40722</v>
      </c>
      <c r="C152" s="3" t="s">
        <v>18</v>
      </c>
      <c r="D152">
        <v>4</v>
      </c>
      <c r="E152">
        <v>6</v>
      </c>
      <c r="F152" t="s">
        <v>12</v>
      </c>
      <c r="G152">
        <v>0</v>
      </c>
      <c r="H152">
        <v>0</v>
      </c>
      <c r="I152">
        <v>1</v>
      </c>
      <c r="J152">
        <v>1</v>
      </c>
      <c r="K152" t="str">
        <f t="shared" si="2"/>
        <v>Train</v>
      </c>
    </row>
    <row r="153" spans="1:11" x14ac:dyDescent="0.2">
      <c r="A153" t="s">
        <v>173</v>
      </c>
      <c r="B153" s="2">
        <v>40723</v>
      </c>
      <c r="C153" s="3" t="s">
        <v>20</v>
      </c>
      <c r="D153">
        <v>5</v>
      </c>
      <c r="E153">
        <v>6</v>
      </c>
      <c r="F153" t="s">
        <v>12</v>
      </c>
      <c r="G153">
        <v>0</v>
      </c>
      <c r="H153">
        <v>0</v>
      </c>
      <c r="I153">
        <v>1</v>
      </c>
      <c r="J153">
        <v>0</v>
      </c>
      <c r="K153" t="str">
        <f t="shared" si="2"/>
        <v>Train</v>
      </c>
    </row>
    <row r="154" spans="1:11" x14ac:dyDescent="0.2">
      <c r="A154" t="s">
        <v>174</v>
      </c>
      <c r="B154" s="2">
        <v>40724</v>
      </c>
      <c r="C154" s="3" t="s">
        <v>22</v>
      </c>
      <c r="D154">
        <v>6</v>
      </c>
      <c r="E154">
        <v>6</v>
      </c>
      <c r="F154" t="s">
        <v>12</v>
      </c>
      <c r="G154">
        <v>0</v>
      </c>
      <c r="H154">
        <v>0</v>
      </c>
      <c r="I154">
        <v>0</v>
      </c>
      <c r="J154">
        <v>4</v>
      </c>
      <c r="K154" t="str">
        <f t="shared" si="2"/>
        <v>Train</v>
      </c>
    </row>
    <row r="155" spans="1:11" x14ac:dyDescent="0.2">
      <c r="A155" t="s">
        <v>175</v>
      </c>
      <c r="B155" s="2">
        <v>40725</v>
      </c>
      <c r="C155" s="3" t="s">
        <v>24</v>
      </c>
      <c r="D155">
        <v>7</v>
      </c>
      <c r="E155">
        <v>7</v>
      </c>
      <c r="F155" t="s">
        <v>12</v>
      </c>
      <c r="G155">
        <v>1</v>
      </c>
      <c r="H155">
        <v>0</v>
      </c>
      <c r="I155">
        <v>0</v>
      </c>
      <c r="J155">
        <v>0</v>
      </c>
      <c r="K155" t="str">
        <f t="shared" si="2"/>
        <v>Train</v>
      </c>
    </row>
    <row r="156" spans="1:11" x14ac:dyDescent="0.2">
      <c r="A156" t="s">
        <v>176</v>
      </c>
      <c r="B156" s="2">
        <v>40726</v>
      </c>
      <c r="C156" s="3" t="s">
        <v>11</v>
      </c>
      <c r="D156">
        <v>1</v>
      </c>
      <c r="E156">
        <v>7</v>
      </c>
      <c r="F156" t="s">
        <v>12</v>
      </c>
      <c r="G156">
        <v>1</v>
      </c>
      <c r="H156">
        <v>3</v>
      </c>
      <c r="I156">
        <v>1</v>
      </c>
      <c r="J156">
        <v>0</v>
      </c>
      <c r="K156" t="str">
        <f t="shared" si="2"/>
        <v>Train</v>
      </c>
    </row>
    <row r="157" spans="1:11" x14ac:dyDescent="0.2">
      <c r="A157" t="s">
        <v>177</v>
      </c>
      <c r="B157" s="2">
        <v>40727</v>
      </c>
      <c r="C157" s="3" t="s">
        <v>14</v>
      </c>
      <c r="D157">
        <v>2</v>
      </c>
      <c r="E157">
        <v>7</v>
      </c>
      <c r="F157" t="s">
        <v>12</v>
      </c>
      <c r="G157">
        <v>1</v>
      </c>
      <c r="H157">
        <v>0</v>
      </c>
      <c r="I157">
        <v>0</v>
      </c>
      <c r="J157">
        <v>0</v>
      </c>
      <c r="K157" t="str">
        <f t="shared" si="2"/>
        <v>Train</v>
      </c>
    </row>
    <row r="158" spans="1:11" x14ac:dyDescent="0.2">
      <c r="A158" t="s">
        <v>178</v>
      </c>
      <c r="B158" s="2">
        <v>40728</v>
      </c>
      <c r="C158" s="3" t="s">
        <v>16</v>
      </c>
      <c r="D158">
        <v>3</v>
      </c>
      <c r="E158">
        <v>7</v>
      </c>
      <c r="F158" t="s">
        <v>44</v>
      </c>
      <c r="G158">
        <v>1</v>
      </c>
      <c r="H158">
        <v>1</v>
      </c>
      <c r="I158">
        <v>0</v>
      </c>
      <c r="J158">
        <v>0</v>
      </c>
      <c r="K158" t="str">
        <f t="shared" si="2"/>
        <v>Train</v>
      </c>
    </row>
    <row r="159" spans="1:11" x14ac:dyDescent="0.2">
      <c r="A159" t="s">
        <v>179</v>
      </c>
      <c r="B159" s="2">
        <v>40729</v>
      </c>
      <c r="C159" s="3" t="s">
        <v>18</v>
      </c>
      <c r="D159">
        <v>4</v>
      </c>
      <c r="E159">
        <v>7</v>
      </c>
      <c r="F159" t="s">
        <v>12</v>
      </c>
      <c r="G159">
        <v>1</v>
      </c>
      <c r="H159">
        <v>0</v>
      </c>
      <c r="I159">
        <v>0</v>
      </c>
      <c r="J159">
        <v>0</v>
      </c>
      <c r="K159" t="str">
        <f t="shared" si="2"/>
        <v>Train</v>
      </c>
    </row>
    <row r="160" spans="1:11" x14ac:dyDescent="0.2">
      <c r="A160" t="s">
        <v>180</v>
      </c>
      <c r="B160" s="2">
        <v>40730</v>
      </c>
      <c r="C160" s="3" t="s">
        <v>20</v>
      </c>
      <c r="D160">
        <v>5</v>
      </c>
      <c r="E160">
        <v>7</v>
      </c>
      <c r="F160" t="s">
        <v>12</v>
      </c>
      <c r="G160">
        <v>1</v>
      </c>
      <c r="H160">
        <v>1</v>
      </c>
      <c r="I160">
        <v>0</v>
      </c>
      <c r="J160">
        <v>1</v>
      </c>
      <c r="K160" t="str">
        <f t="shared" si="2"/>
        <v>Train</v>
      </c>
    </row>
    <row r="161" spans="1:11" x14ac:dyDescent="0.2">
      <c r="A161" t="s">
        <v>181</v>
      </c>
      <c r="B161" s="2">
        <v>40731</v>
      </c>
      <c r="C161" s="3" t="s">
        <v>22</v>
      </c>
      <c r="D161">
        <v>6</v>
      </c>
      <c r="E161">
        <v>7</v>
      </c>
      <c r="F161" t="s">
        <v>12</v>
      </c>
      <c r="G161">
        <v>1</v>
      </c>
      <c r="H161">
        <v>0</v>
      </c>
      <c r="I161">
        <v>0</v>
      </c>
      <c r="J161">
        <v>0</v>
      </c>
      <c r="K161" t="str">
        <f t="shared" si="2"/>
        <v>Train</v>
      </c>
    </row>
    <row r="162" spans="1:11" x14ac:dyDescent="0.2">
      <c r="A162" t="s">
        <v>182</v>
      </c>
      <c r="B162" s="2">
        <v>40732</v>
      </c>
      <c r="C162" s="3" t="s">
        <v>24</v>
      </c>
      <c r="D162">
        <v>7</v>
      </c>
      <c r="E162">
        <v>7</v>
      </c>
      <c r="F162" t="s">
        <v>12</v>
      </c>
      <c r="G162">
        <v>1</v>
      </c>
      <c r="H162">
        <v>1</v>
      </c>
      <c r="I162">
        <v>0</v>
      </c>
      <c r="J162">
        <v>0</v>
      </c>
      <c r="K162" t="str">
        <f t="shared" si="2"/>
        <v>Train</v>
      </c>
    </row>
    <row r="163" spans="1:11" x14ac:dyDescent="0.2">
      <c r="A163" t="s">
        <v>183</v>
      </c>
      <c r="B163" s="2">
        <v>40733</v>
      </c>
      <c r="C163" s="3" t="s">
        <v>11</v>
      </c>
      <c r="D163">
        <v>1</v>
      </c>
      <c r="E163">
        <v>7</v>
      </c>
      <c r="F163" t="s">
        <v>12</v>
      </c>
      <c r="G163">
        <v>1</v>
      </c>
      <c r="H163">
        <v>2</v>
      </c>
      <c r="I163">
        <v>2</v>
      </c>
      <c r="J163">
        <v>0</v>
      </c>
      <c r="K163" t="str">
        <f t="shared" si="2"/>
        <v>Train</v>
      </c>
    </row>
    <row r="164" spans="1:11" x14ac:dyDescent="0.2">
      <c r="A164" t="s">
        <v>184</v>
      </c>
      <c r="B164" s="2">
        <v>40734</v>
      </c>
      <c r="C164" s="3" t="s">
        <v>14</v>
      </c>
      <c r="D164">
        <v>2</v>
      </c>
      <c r="E164">
        <v>7</v>
      </c>
      <c r="F164" t="s">
        <v>12</v>
      </c>
      <c r="G164">
        <v>1</v>
      </c>
      <c r="H164">
        <v>0</v>
      </c>
      <c r="I164">
        <v>2</v>
      </c>
      <c r="J164">
        <v>1</v>
      </c>
      <c r="K164" t="str">
        <f t="shared" si="2"/>
        <v>Train</v>
      </c>
    </row>
    <row r="165" spans="1:11" x14ac:dyDescent="0.2">
      <c r="A165" t="s">
        <v>185</v>
      </c>
      <c r="B165" s="2">
        <v>40735</v>
      </c>
      <c r="C165" s="3" t="s">
        <v>16</v>
      </c>
      <c r="D165">
        <v>3</v>
      </c>
      <c r="E165">
        <v>7</v>
      </c>
      <c r="F165" t="s">
        <v>12</v>
      </c>
      <c r="G165">
        <v>0</v>
      </c>
      <c r="H165">
        <v>0</v>
      </c>
      <c r="I165">
        <v>1</v>
      </c>
      <c r="J165">
        <v>0</v>
      </c>
      <c r="K165" t="str">
        <f t="shared" si="2"/>
        <v>Train</v>
      </c>
    </row>
    <row r="166" spans="1:11" x14ac:dyDescent="0.2">
      <c r="A166" t="s">
        <v>186</v>
      </c>
      <c r="B166" s="2">
        <v>40736</v>
      </c>
      <c r="C166" s="3" t="s">
        <v>18</v>
      </c>
      <c r="D166">
        <v>4</v>
      </c>
      <c r="E166">
        <v>7</v>
      </c>
      <c r="F166" t="s">
        <v>12</v>
      </c>
      <c r="G166">
        <v>0</v>
      </c>
      <c r="H166">
        <v>4</v>
      </c>
      <c r="I166">
        <v>1</v>
      </c>
      <c r="J166">
        <v>0</v>
      </c>
      <c r="K166" t="str">
        <f t="shared" si="2"/>
        <v>Train</v>
      </c>
    </row>
    <row r="167" spans="1:11" x14ac:dyDescent="0.2">
      <c r="A167" t="s">
        <v>187</v>
      </c>
      <c r="B167" s="2">
        <v>40737</v>
      </c>
      <c r="C167" s="3" t="s">
        <v>20</v>
      </c>
      <c r="D167">
        <v>5</v>
      </c>
      <c r="E167">
        <v>7</v>
      </c>
      <c r="F167" t="s">
        <v>12</v>
      </c>
      <c r="G167">
        <v>0</v>
      </c>
      <c r="H167">
        <v>0</v>
      </c>
      <c r="I167">
        <v>1</v>
      </c>
      <c r="J167">
        <v>1</v>
      </c>
      <c r="K167" t="str">
        <f t="shared" si="2"/>
        <v>Train</v>
      </c>
    </row>
    <row r="168" spans="1:11" x14ac:dyDescent="0.2">
      <c r="A168" t="s">
        <v>188</v>
      </c>
      <c r="B168" s="2">
        <v>40738</v>
      </c>
      <c r="C168" s="3" t="s">
        <v>22</v>
      </c>
      <c r="D168">
        <v>6</v>
      </c>
      <c r="E168">
        <v>7</v>
      </c>
      <c r="F168" t="s">
        <v>12</v>
      </c>
      <c r="G168">
        <v>0</v>
      </c>
      <c r="H168">
        <v>1</v>
      </c>
      <c r="I168">
        <v>4</v>
      </c>
      <c r="J168">
        <v>0</v>
      </c>
      <c r="K168" t="str">
        <f t="shared" si="2"/>
        <v>Train</v>
      </c>
    </row>
    <row r="169" spans="1:11" x14ac:dyDescent="0.2">
      <c r="A169" t="s">
        <v>189</v>
      </c>
      <c r="B169" s="2">
        <v>40739</v>
      </c>
      <c r="C169" s="3" t="s">
        <v>24</v>
      </c>
      <c r="D169">
        <v>7</v>
      </c>
      <c r="E169">
        <v>7</v>
      </c>
      <c r="F169" t="s">
        <v>12</v>
      </c>
      <c r="G169">
        <v>0</v>
      </c>
      <c r="H169">
        <v>1</v>
      </c>
      <c r="I169">
        <v>0</v>
      </c>
      <c r="J169">
        <v>0</v>
      </c>
      <c r="K169" t="str">
        <f t="shared" si="2"/>
        <v>Train</v>
      </c>
    </row>
    <row r="170" spans="1:11" x14ac:dyDescent="0.2">
      <c r="A170" t="s">
        <v>190</v>
      </c>
      <c r="B170" s="2">
        <v>40740</v>
      </c>
      <c r="C170" s="3" t="s">
        <v>11</v>
      </c>
      <c r="D170">
        <v>1</v>
      </c>
      <c r="E170">
        <v>7</v>
      </c>
      <c r="F170" t="s">
        <v>12</v>
      </c>
      <c r="G170">
        <v>0</v>
      </c>
      <c r="H170">
        <v>1</v>
      </c>
      <c r="I170">
        <v>2</v>
      </c>
      <c r="J170">
        <v>0</v>
      </c>
      <c r="K170" t="str">
        <f t="shared" si="2"/>
        <v>Train</v>
      </c>
    </row>
    <row r="171" spans="1:11" x14ac:dyDescent="0.2">
      <c r="A171" t="s">
        <v>191</v>
      </c>
      <c r="B171" s="2">
        <v>40741</v>
      </c>
      <c r="C171" s="3" t="s">
        <v>14</v>
      </c>
      <c r="D171">
        <v>2</v>
      </c>
      <c r="E171">
        <v>7</v>
      </c>
      <c r="F171" t="s">
        <v>12</v>
      </c>
      <c r="G171">
        <v>0</v>
      </c>
      <c r="H171">
        <v>1</v>
      </c>
      <c r="I171">
        <v>1</v>
      </c>
      <c r="J171">
        <v>2</v>
      </c>
      <c r="K171" t="str">
        <f t="shared" si="2"/>
        <v>Train</v>
      </c>
    </row>
    <row r="172" spans="1:11" x14ac:dyDescent="0.2">
      <c r="A172" t="s">
        <v>192</v>
      </c>
      <c r="B172" s="2">
        <v>40742</v>
      </c>
      <c r="C172" s="3" t="s">
        <v>16</v>
      </c>
      <c r="D172">
        <v>3</v>
      </c>
      <c r="E172">
        <v>7</v>
      </c>
      <c r="F172" t="s">
        <v>12</v>
      </c>
      <c r="G172">
        <v>0</v>
      </c>
      <c r="H172">
        <v>1</v>
      </c>
      <c r="I172">
        <v>0</v>
      </c>
      <c r="J172">
        <v>2</v>
      </c>
      <c r="K172" t="str">
        <f t="shared" si="2"/>
        <v>Train</v>
      </c>
    </row>
    <row r="173" spans="1:11" x14ac:dyDescent="0.2">
      <c r="A173" t="s">
        <v>193</v>
      </c>
      <c r="B173" s="2">
        <v>40743</v>
      </c>
      <c r="C173" s="3" t="s">
        <v>18</v>
      </c>
      <c r="D173">
        <v>4</v>
      </c>
      <c r="E173">
        <v>7</v>
      </c>
      <c r="F173" t="s">
        <v>12</v>
      </c>
      <c r="G173">
        <v>0</v>
      </c>
      <c r="H173">
        <v>1</v>
      </c>
      <c r="I173">
        <v>2</v>
      </c>
      <c r="J173">
        <v>1</v>
      </c>
      <c r="K173" t="str">
        <f t="shared" si="2"/>
        <v>Train</v>
      </c>
    </row>
    <row r="174" spans="1:11" x14ac:dyDescent="0.2">
      <c r="A174" t="s">
        <v>194</v>
      </c>
      <c r="B174" s="2">
        <v>40744</v>
      </c>
      <c r="C174" s="3" t="s">
        <v>20</v>
      </c>
      <c r="D174">
        <v>5</v>
      </c>
      <c r="E174">
        <v>7</v>
      </c>
      <c r="F174" t="s">
        <v>12</v>
      </c>
      <c r="G174">
        <v>0</v>
      </c>
      <c r="H174">
        <v>1</v>
      </c>
      <c r="I174">
        <v>1</v>
      </c>
      <c r="J174">
        <v>0</v>
      </c>
      <c r="K174" t="str">
        <f t="shared" si="2"/>
        <v>Train</v>
      </c>
    </row>
    <row r="175" spans="1:11" x14ac:dyDescent="0.2">
      <c r="A175" t="s">
        <v>195</v>
      </c>
      <c r="B175" s="2">
        <v>40745</v>
      </c>
      <c r="C175" s="3" t="s">
        <v>22</v>
      </c>
      <c r="D175">
        <v>6</v>
      </c>
      <c r="E175">
        <v>7</v>
      </c>
      <c r="F175" t="s">
        <v>12</v>
      </c>
      <c r="G175">
        <v>0</v>
      </c>
      <c r="H175">
        <v>2</v>
      </c>
      <c r="I175">
        <v>1</v>
      </c>
      <c r="J175">
        <v>0</v>
      </c>
      <c r="K175" t="str">
        <f t="shared" si="2"/>
        <v>Train</v>
      </c>
    </row>
    <row r="176" spans="1:11" x14ac:dyDescent="0.2">
      <c r="A176" t="s">
        <v>196</v>
      </c>
      <c r="B176" s="2">
        <v>40746</v>
      </c>
      <c r="C176" s="3" t="s">
        <v>24</v>
      </c>
      <c r="D176">
        <v>7</v>
      </c>
      <c r="E176">
        <v>7</v>
      </c>
      <c r="F176" t="s">
        <v>12</v>
      </c>
      <c r="G176">
        <v>0</v>
      </c>
      <c r="H176">
        <v>0</v>
      </c>
      <c r="I176">
        <v>2</v>
      </c>
      <c r="J176">
        <v>0</v>
      </c>
      <c r="K176" t="str">
        <f t="shared" si="2"/>
        <v>Train</v>
      </c>
    </row>
    <row r="177" spans="1:11" x14ac:dyDescent="0.2">
      <c r="A177" t="s">
        <v>197</v>
      </c>
      <c r="B177" s="2">
        <v>40747</v>
      </c>
      <c r="C177" s="3" t="s">
        <v>11</v>
      </c>
      <c r="D177">
        <v>1</v>
      </c>
      <c r="E177">
        <v>7</v>
      </c>
      <c r="F177" t="s">
        <v>12</v>
      </c>
      <c r="G177">
        <v>0</v>
      </c>
      <c r="H177">
        <v>2</v>
      </c>
      <c r="I177">
        <v>0</v>
      </c>
      <c r="J177">
        <v>0</v>
      </c>
      <c r="K177" t="str">
        <f t="shared" si="2"/>
        <v>Train</v>
      </c>
    </row>
    <row r="178" spans="1:11" x14ac:dyDescent="0.2">
      <c r="A178" t="s">
        <v>198</v>
      </c>
      <c r="B178" s="2">
        <v>40748</v>
      </c>
      <c r="C178" s="3" t="s">
        <v>14</v>
      </c>
      <c r="D178">
        <v>2</v>
      </c>
      <c r="E178">
        <v>7</v>
      </c>
      <c r="F178" t="s">
        <v>12</v>
      </c>
      <c r="G178">
        <v>0</v>
      </c>
      <c r="H178">
        <v>0</v>
      </c>
      <c r="I178">
        <v>0</v>
      </c>
      <c r="J178">
        <v>1</v>
      </c>
      <c r="K178" t="str">
        <f t="shared" si="2"/>
        <v>Train</v>
      </c>
    </row>
    <row r="179" spans="1:11" x14ac:dyDescent="0.2">
      <c r="A179" t="s">
        <v>199</v>
      </c>
      <c r="B179" s="2">
        <v>40749</v>
      </c>
      <c r="C179" s="3" t="s">
        <v>16</v>
      </c>
      <c r="D179">
        <v>3</v>
      </c>
      <c r="E179">
        <v>7</v>
      </c>
      <c r="F179" t="s">
        <v>12</v>
      </c>
      <c r="G179">
        <v>0</v>
      </c>
      <c r="H179">
        <v>0</v>
      </c>
      <c r="I179">
        <v>0</v>
      </c>
      <c r="J179">
        <v>2</v>
      </c>
      <c r="K179" t="str">
        <f t="shared" si="2"/>
        <v>Train</v>
      </c>
    </row>
    <row r="180" spans="1:11" x14ac:dyDescent="0.2">
      <c r="A180" t="s">
        <v>200</v>
      </c>
      <c r="B180" s="2">
        <v>40750</v>
      </c>
      <c r="C180" s="3" t="s">
        <v>18</v>
      </c>
      <c r="D180">
        <v>4</v>
      </c>
      <c r="E180">
        <v>7</v>
      </c>
      <c r="F180" t="s">
        <v>12</v>
      </c>
      <c r="G180">
        <v>0</v>
      </c>
      <c r="H180">
        <v>0</v>
      </c>
      <c r="I180">
        <v>0</v>
      </c>
      <c r="J180">
        <v>0</v>
      </c>
      <c r="K180" t="str">
        <f t="shared" si="2"/>
        <v>Train</v>
      </c>
    </row>
    <row r="181" spans="1:11" x14ac:dyDescent="0.2">
      <c r="A181" t="s">
        <v>201</v>
      </c>
      <c r="B181" s="2">
        <v>40751</v>
      </c>
      <c r="C181" s="3" t="s">
        <v>20</v>
      </c>
      <c r="D181">
        <v>5</v>
      </c>
      <c r="E181">
        <v>7</v>
      </c>
      <c r="F181" t="s">
        <v>12</v>
      </c>
      <c r="G181">
        <v>0</v>
      </c>
      <c r="H181">
        <v>1</v>
      </c>
      <c r="I181">
        <v>1</v>
      </c>
      <c r="J181">
        <v>0</v>
      </c>
      <c r="K181" t="str">
        <f t="shared" si="2"/>
        <v>Train</v>
      </c>
    </row>
    <row r="182" spans="1:11" x14ac:dyDescent="0.2">
      <c r="A182" t="s">
        <v>202</v>
      </c>
      <c r="B182" s="2">
        <v>40752</v>
      </c>
      <c r="C182" s="3" t="s">
        <v>22</v>
      </c>
      <c r="D182">
        <v>6</v>
      </c>
      <c r="E182">
        <v>7</v>
      </c>
      <c r="F182" t="s">
        <v>12</v>
      </c>
      <c r="G182">
        <v>0</v>
      </c>
      <c r="H182">
        <v>0</v>
      </c>
      <c r="I182">
        <v>2</v>
      </c>
      <c r="J182">
        <v>0</v>
      </c>
      <c r="K182" t="str">
        <f t="shared" si="2"/>
        <v>Train</v>
      </c>
    </row>
    <row r="183" spans="1:11" x14ac:dyDescent="0.2">
      <c r="A183" t="s">
        <v>203</v>
      </c>
      <c r="B183" s="2">
        <v>40753</v>
      </c>
      <c r="C183" s="3" t="s">
        <v>24</v>
      </c>
      <c r="D183">
        <v>7</v>
      </c>
      <c r="E183">
        <v>7</v>
      </c>
      <c r="F183" t="s">
        <v>12</v>
      </c>
      <c r="G183">
        <v>0</v>
      </c>
      <c r="H183">
        <v>2</v>
      </c>
      <c r="I183">
        <v>2</v>
      </c>
      <c r="J183">
        <v>2</v>
      </c>
      <c r="K183" t="str">
        <f t="shared" si="2"/>
        <v>Train</v>
      </c>
    </row>
    <row r="184" spans="1:11" x14ac:dyDescent="0.2">
      <c r="A184" t="s">
        <v>204</v>
      </c>
      <c r="B184" s="2">
        <v>40754</v>
      </c>
      <c r="C184" s="3" t="s">
        <v>11</v>
      </c>
      <c r="D184">
        <v>1</v>
      </c>
      <c r="E184">
        <v>7</v>
      </c>
      <c r="F184" t="s">
        <v>12</v>
      </c>
      <c r="G184">
        <v>0</v>
      </c>
      <c r="H184">
        <v>0</v>
      </c>
      <c r="I184">
        <v>0</v>
      </c>
      <c r="J184">
        <v>0</v>
      </c>
      <c r="K184" t="str">
        <f t="shared" si="2"/>
        <v>Train</v>
      </c>
    </row>
    <row r="185" spans="1:11" x14ac:dyDescent="0.2">
      <c r="A185" t="s">
        <v>205</v>
      </c>
      <c r="B185" s="2">
        <v>40755</v>
      </c>
      <c r="C185" s="3" t="s">
        <v>14</v>
      </c>
      <c r="D185">
        <v>2</v>
      </c>
      <c r="E185">
        <v>7</v>
      </c>
      <c r="F185" t="s">
        <v>12</v>
      </c>
      <c r="G185">
        <v>0</v>
      </c>
      <c r="H185">
        <v>1</v>
      </c>
      <c r="I185">
        <v>0</v>
      </c>
      <c r="J185">
        <v>1</v>
      </c>
      <c r="K185" t="str">
        <f t="shared" si="2"/>
        <v>Train</v>
      </c>
    </row>
    <row r="186" spans="1:11" x14ac:dyDescent="0.2">
      <c r="A186" t="s">
        <v>206</v>
      </c>
      <c r="B186" s="2">
        <v>40756</v>
      </c>
      <c r="C186" s="3" t="s">
        <v>16</v>
      </c>
      <c r="D186">
        <v>3</v>
      </c>
      <c r="E186">
        <v>8</v>
      </c>
      <c r="F186" t="s">
        <v>61</v>
      </c>
      <c r="G186">
        <v>1</v>
      </c>
      <c r="H186">
        <v>0</v>
      </c>
      <c r="I186">
        <v>2</v>
      </c>
      <c r="J186">
        <v>0</v>
      </c>
      <c r="K186" t="str">
        <f t="shared" si="2"/>
        <v>Train</v>
      </c>
    </row>
    <row r="187" spans="1:11" x14ac:dyDescent="0.2">
      <c r="A187" t="s">
        <v>207</v>
      </c>
      <c r="B187" s="2">
        <v>40757</v>
      </c>
      <c r="C187" s="3" t="s">
        <v>18</v>
      </c>
      <c r="D187">
        <v>4</v>
      </c>
      <c r="E187">
        <v>8</v>
      </c>
      <c r="F187" t="s">
        <v>12</v>
      </c>
      <c r="G187">
        <v>1</v>
      </c>
      <c r="H187">
        <v>0</v>
      </c>
      <c r="I187">
        <v>2</v>
      </c>
      <c r="J187">
        <v>1</v>
      </c>
      <c r="K187" t="str">
        <f t="shared" si="2"/>
        <v>Train</v>
      </c>
    </row>
    <row r="188" spans="1:11" x14ac:dyDescent="0.2">
      <c r="A188" t="s">
        <v>208</v>
      </c>
      <c r="B188" s="2">
        <v>40758</v>
      </c>
      <c r="C188" s="3" t="s">
        <v>20</v>
      </c>
      <c r="D188">
        <v>5</v>
      </c>
      <c r="E188">
        <v>8</v>
      </c>
      <c r="F188" t="s">
        <v>12</v>
      </c>
      <c r="G188">
        <v>1</v>
      </c>
      <c r="H188">
        <v>1</v>
      </c>
      <c r="I188">
        <v>1</v>
      </c>
      <c r="J188">
        <v>1</v>
      </c>
      <c r="K188" t="str">
        <f t="shared" si="2"/>
        <v>Train</v>
      </c>
    </row>
    <row r="189" spans="1:11" x14ac:dyDescent="0.2">
      <c r="A189" t="s">
        <v>209</v>
      </c>
      <c r="B189" s="2">
        <v>40759</v>
      </c>
      <c r="C189" s="3" t="s">
        <v>22</v>
      </c>
      <c r="D189">
        <v>6</v>
      </c>
      <c r="E189">
        <v>8</v>
      </c>
      <c r="F189" t="s">
        <v>12</v>
      </c>
      <c r="G189">
        <v>1</v>
      </c>
      <c r="H189">
        <v>1</v>
      </c>
      <c r="I189">
        <v>0</v>
      </c>
      <c r="J189">
        <v>0</v>
      </c>
      <c r="K189" t="str">
        <f t="shared" si="2"/>
        <v>Train</v>
      </c>
    </row>
    <row r="190" spans="1:11" x14ac:dyDescent="0.2">
      <c r="A190" t="s">
        <v>210</v>
      </c>
      <c r="B190" s="2">
        <v>40760</v>
      </c>
      <c r="C190" s="3" t="s">
        <v>24</v>
      </c>
      <c r="D190">
        <v>7</v>
      </c>
      <c r="E190">
        <v>8</v>
      </c>
      <c r="F190" t="s">
        <v>12</v>
      </c>
      <c r="G190">
        <v>1</v>
      </c>
      <c r="H190">
        <v>0</v>
      </c>
      <c r="I190">
        <v>0</v>
      </c>
      <c r="J190">
        <v>0</v>
      </c>
      <c r="K190" t="str">
        <f t="shared" si="2"/>
        <v>Train</v>
      </c>
    </row>
    <row r="191" spans="1:11" x14ac:dyDescent="0.2">
      <c r="A191" t="s">
        <v>211</v>
      </c>
      <c r="B191" s="2">
        <v>40761</v>
      </c>
      <c r="C191" s="3" t="s">
        <v>11</v>
      </c>
      <c r="D191">
        <v>1</v>
      </c>
      <c r="E191">
        <v>8</v>
      </c>
      <c r="F191" t="s">
        <v>12</v>
      </c>
      <c r="G191">
        <v>1</v>
      </c>
      <c r="H191">
        <v>0</v>
      </c>
      <c r="I191">
        <v>1</v>
      </c>
      <c r="J191">
        <v>1</v>
      </c>
      <c r="K191" t="str">
        <f t="shared" si="2"/>
        <v>Train</v>
      </c>
    </row>
    <row r="192" spans="1:11" x14ac:dyDescent="0.2">
      <c r="A192" t="s">
        <v>212</v>
      </c>
      <c r="B192" s="2">
        <v>40762</v>
      </c>
      <c r="C192" s="3" t="s">
        <v>14</v>
      </c>
      <c r="D192">
        <v>2</v>
      </c>
      <c r="E192">
        <v>8</v>
      </c>
      <c r="F192" t="s">
        <v>12</v>
      </c>
      <c r="G192">
        <v>1</v>
      </c>
      <c r="H192">
        <v>0</v>
      </c>
      <c r="I192">
        <v>1</v>
      </c>
      <c r="J192">
        <v>2</v>
      </c>
      <c r="K192" t="str">
        <f t="shared" si="2"/>
        <v>Train</v>
      </c>
    </row>
    <row r="193" spans="1:11" x14ac:dyDescent="0.2">
      <c r="A193" t="s">
        <v>213</v>
      </c>
      <c r="B193" s="2">
        <v>40763</v>
      </c>
      <c r="C193" s="3" t="s">
        <v>16</v>
      </c>
      <c r="D193">
        <v>3</v>
      </c>
      <c r="E193">
        <v>8</v>
      </c>
      <c r="F193" t="s">
        <v>12</v>
      </c>
      <c r="G193">
        <v>1</v>
      </c>
      <c r="H193">
        <v>0</v>
      </c>
      <c r="I193">
        <v>3</v>
      </c>
      <c r="J193">
        <v>2</v>
      </c>
      <c r="K193" t="str">
        <f t="shared" si="2"/>
        <v>Train</v>
      </c>
    </row>
    <row r="194" spans="1:11" x14ac:dyDescent="0.2">
      <c r="A194" t="s">
        <v>214</v>
      </c>
      <c r="B194" s="2">
        <v>40764</v>
      </c>
      <c r="C194" s="3" t="s">
        <v>18</v>
      </c>
      <c r="D194">
        <v>4</v>
      </c>
      <c r="E194">
        <v>8</v>
      </c>
      <c r="F194" t="s">
        <v>12</v>
      </c>
      <c r="G194">
        <v>1</v>
      </c>
      <c r="H194">
        <v>0</v>
      </c>
      <c r="I194">
        <v>1</v>
      </c>
      <c r="J194">
        <v>0</v>
      </c>
      <c r="K194" t="str">
        <f t="shared" ref="K194:K257" si="3">IF(ROW()-1&lt;=300,"Train","Validation")</f>
        <v>Train</v>
      </c>
    </row>
    <row r="195" spans="1:11" x14ac:dyDescent="0.2">
      <c r="A195" t="s">
        <v>215</v>
      </c>
      <c r="B195" s="2">
        <v>40765</v>
      </c>
      <c r="C195" s="3" t="s">
        <v>20</v>
      </c>
      <c r="D195">
        <v>5</v>
      </c>
      <c r="E195">
        <v>8</v>
      </c>
      <c r="F195" t="s">
        <v>12</v>
      </c>
      <c r="G195">
        <v>1</v>
      </c>
      <c r="H195">
        <v>0</v>
      </c>
      <c r="I195">
        <v>0</v>
      </c>
      <c r="J195">
        <v>2</v>
      </c>
      <c r="K195" t="str">
        <f t="shared" si="3"/>
        <v>Train</v>
      </c>
    </row>
    <row r="196" spans="1:11" x14ac:dyDescent="0.2">
      <c r="A196" t="s">
        <v>216</v>
      </c>
      <c r="B196" s="2">
        <v>40766</v>
      </c>
      <c r="C196" s="3" t="s">
        <v>22</v>
      </c>
      <c r="D196">
        <v>6</v>
      </c>
      <c r="E196">
        <v>8</v>
      </c>
      <c r="F196" t="s">
        <v>12</v>
      </c>
      <c r="G196">
        <v>0</v>
      </c>
      <c r="H196">
        <v>0</v>
      </c>
      <c r="I196">
        <v>1</v>
      </c>
      <c r="J196">
        <v>0</v>
      </c>
      <c r="K196" t="str">
        <f t="shared" si="3"/>
        <v>Train</v>
      </c>
    </row>
    <row r="197" spans="1:11" x14ac:dyDescent="0.2">
      <c r="A197" t="s">
        <v>217</v>
      </c>
      <c r="B197" s="2">
        <v>40767</v>
      </c>
      <c r="C197" s="3" t="s">
        <v>24</v>
      </c>
      <c r="D197">
        <v>7</v>
      </c>
      <c r="E197">
        <v>8</v>
      </c>
      <c r="F197" t="s">
        <v>12</v>
      </c>
      <c r="G197">
        <v>0</v>
      </c>
      <c r="H197">
        <v>0</v>
      </c>
      <c r="I197">
        <v>5</v>
      </c>
      <c r="J197">
        <v>4</v>
      </c>
      <c r="K197" t="str">
        <f t="shared" si="3"/>
        <v>Train</v>
      </c>
    </row>
    <row r="198" spans="1:11" x14ac:dyDescent="0.2">
      <c r="A198" t="s">
        <v>218</v>
      </c>
      <c r="B198" s="2">
        <v>40768</v>
      </c>
      <c r="C198" s="3" t="s">
        <v>11</v>
      </c>
      <c r="D198">
        <v>1</v>
      </c>
      <c r="E198">
        <v>8</v>
      </c>
      <c r="F198" t="s">
        <v>12</v>
      </c>
      <c r="G198">
        <v>0</v>
      </c>
      <c r="H198">
        <v>0</v>
      </c>
      <c r="I198">
        <v>2</v>
      </c>
      <c r="J198">
        <v>5</v>
      </c>
      <c r="K198" t="str">
        <f t="shared" si="3"/>
        <v>Train</v>
      </c>
    </row>
    <row r="199" spans="1:11" x14ac:dyDescent="0.2">
      <c r="A199" t="s">
        <v>219</v>
      </c>
      <c r="B199" s="2">
        <v>40769</v>
      </c>
      <c r="C199" s="3" t="s">
        <v>14</v>
      </c>
      <c r="D199">
        <v>2</v>
      </c>
      <c r="E199">
        <v>8</v>
      </c>
      <c r="F199" t="s">
        <v>12</v>
      </c>
      <c r="G199">
        <v>0</v>
      </c>
      <c r="H199">
        <v>0</v>
      </c>
      <c r="I199">
        <v>0</v>
      </c>
      <c r="J199">
        <v>0</v>
      </c>
      <c r="K199" t="str">
        <f t="shared" si="3"/>
        <v>Train</v>
      </c>
    </row>
    <row r="200" spans="1:11" x14ac:dyDescent="0.2">
      <c r="A200" t="s">
        <v>220</v>
      </c>
      <c r="B200" s="2">
        <v>40770</v>
      </c>
      <c r="C200" s="3" t="s">
        <v>16</v>
      </c>
      <c r="D200">
        <v>3</v>
      </c>
      <c r="E200">
        <v>8</v>
      </c>
      <c r="F200" t="s">
        <v>12</v>
      </c>
      <c r="G200">
        <v>0</v>
      </c>
      <c r="H200">
        <v>0</v>
      </c>
      <c r="I200">
        <v>0</v>
      </c>
      <c r="J200">
        <v>0</v>
      </c>
      <c r="K200" t="str">
        <f t="shared" si="3"/>
        <v>Train</v>
      </c>
    </row>
    <row r="201" spans="1:11" x14ac:dyDescent="0.2">
      <c r="A201" t="s">
        <v>221</v>
      </c>
      <c r="B201" s="2">
        <v>40771</v>
      </c>
      <c r="C201" s="3" t="s">
        <v>18</v>
      </c>
      <c r="D201">
        <v>4</v>
      </c>
      <c r="E201">
        <v>8</v>
      </c>
      <c r="F201" t="s">
        <v>12</v>
      </c>
      <c r="G201">
        <v>0</v>
      </c>
      <c r="H201">
        <v>0</v>
      </c>
      <c r="I201">
        <v>0</v>
      </c>
      <c r="J201">
        <v>1</v>
      </c>
      <c r="K201" t="str">
        <f t="shared" si="3"/>
        <v>Train</v>
      </c>
    </row>
    <row r="202" spans="1:11" x14ac:dyDescent="0.2">
      <c r="A202" t="s">
        <v>222</v>
      </c>
      <c r="B202" s="2">
        <v>40772</v>
      </c>
      <c r="C202" s="3" t="s">
        <v>20</v>
      </c>
      <c r="D202">
        <v>5</v>
      </c>
      <c r="E202">
        <v>8</v>
      </c>
      <c r="F202" t="s">
        <v>12</v>
      </c>
      <c r="G202">
        <v>0</v>
      </c>
      <c r="H202">
        <v>0</v>
      </c>
      <c r="I202">
        <v>1</v>
      </c>
      <c r="J202">
        <v>0</v>
      </c>
      <c r="K202" t="str">
        <f t="shared" si="3"/>
        <v>Train</v>
      </c>
    </row>
    <row r="203" spans="1:11" x14ac:dyDescent="0.2">
      <c r="A203" t="s">
        <v>223</v>
      </c>
      <c r="B203" s="2">
        <v>40773</v>
      </c>
      <c r="C203" s="3" t="s">
        <v>22</v>
      </c>
      <c r="D203">
        <v>6</v>
      </c>
      <c r="E203">
        <v>8</v>
      </c>
      <c r="F203" t="s">
        <v>12</v>
      </c>
      <c r="G203">
        <v>0</v>
      </c>
      <c r="H203">
        <v>0</v>
      </c>
      <c r="I203">
        <v>1</v>
      </c>
      <c r="J203">
        <v>0</v>
      </c>
      <c r="K203" t="str">
        <f t="shared" si="3"/>
        <v>Train</v>
      </c>
    </row>
    <row r="204" spans="1:11" x14ac:dyDescent="0.2">
      <c r="A204" t="s">
        <v>224</v>
      </c>
      <c r="B204" s="2">
        <v>40774</v>
      </c>
      <c r="C204" s="3" t="s">
        <v>24</v>
      </c>
      <c r="D204">
        <v>7</v>
      </c>
      <c r="E204">
        <v>8</v>
      </c>
      <c r="F204" t="s">
        <v>12</v>
      </c>
      <c r="G204">
        <v>0</v>
      </c>
      <c r="H204">
        <v>0</v>
      </c>
      <c r="I204">
        <v>0</v>
      </c>
      <c r="J204">
        <v>1</v>
      </c>
      <c r="K204" t="str">
        <f t="shared" si="3"/>
        <v>Train</v>
      </c>
    </row>
    <row r="205" spans="1:11" x14ac:dyDescent="0.2">
      <c r="A205" t="s">
        <v>225</v>
      </c>
      <c r="B205" s="2">
        <v>40775</v>
      </c>
      <c r="C205" s="3" t="s">
        <v>11</v>
      </c>
      <c r="D205">
        <v>1</v>
      </c>
      <c r="E205">
        <v>8</v>
      </c>
      <c r="F205" t="s">
        <v>12</v>
      </c>
      <c r="G205">
        <v>0</v>
      </c>
      <c r="H205">
        <v>0</v>
      </c>
      <c r="I205">
        <v>1</v>
      </c>
      <c r="J205">
        <v>2</v>
      </c>
      <c r="K205" t="str">
        <f t="shared" si="3"/>
        <v>Train</v>
      </c>
    </row>
    <row r="206" spans="1:11" x14ac:dyDescent="0.2">
      <c r="A206" t="s">
        <v>226</v>
      </c>
      <c r="B206" s="2">
        <v>40776</v>
      </c>
      <c r="C206" s="3" t="s">
        <v>14</v>
      </c>
      <c r="D206">
        <v>2</v>
      </c>
      <c r="E206">
        <v>8</v>
      </c>
      <c r="F206" t="s">
        <v>12</v>
      </c>
      <c r="G206">
        <v>0</v>
      </c>
      <c r="H206">
        <v>0</v>
      </c>
      <c r="I206">
        <v>2</v>
      </c>
      <c r="J206">
        <v>0</v>
      </c>
      <c r="K206" t="str">
        <f t="shared" si="3"/>
        <v>Train</v>
      </c>
    </row>
    <row r="207" spans="1:11" x14ac:dyDescent="0.2">
      <c r="A207" t="s">
        <v>227</v>
      </c>
      <c r="B207" s="2">
        <v>40777</v>
      </c>
      <c r="C207" s="3" t="s">
        <v>16</v>
      </c>
      <c r="D207">
        <v>3</v>
      </c>
      <c r="E207">
        <v>8</v>
      </c>
      <c r="F207" t="s">
        <v>12</v>
      </c>
      <c r="G207">
        <v>0</v>
      </c>
      <c r="H207">
        <v>0</v>
      </c>
      <c r="I207">
        <v>1</v>
      </c>
      <c r="J207">
        <v>2</v>
      </c>
      <c r="K207" t="str">
        <f t="shared" si="3"/>
        <v>Train</v>
      </c>
    </row>
    <row r="208" spans="1:11" x14ac:dyDescent="0.2">
      <c r="A208" t="s">
        <v>228</v>
      </c>
      <c r="B208" s="2">
        <v>40778</v>
      </c>
      <c r="C208" s="3" t="s">
        <v>18</v>
      </c>
      <c r="D208">
        <v>4</v>
      </c>
      <c r="E208">
        <v>8</v>
      </c>
      <c r="F208" t="s">
        <v>12</v>
      </c>
      <c r="G208">
        <v>0</v>
      </c>
      <c r="H208">
        <v>0</v>
      </c>
      <c r="I208">
        <v>1</v>
      </c>
      <c r="J208">
        <v>1</v>
      </c>
      <c r="K208" t="str">
        <f t="shared" si="3"/>
        <v>Train</v>
      </c>
    </row>
    <row r="209" spans="1:11" x14ac:dyDescent="0.2">
      <c r="A209" t="s">
        <v>229</v>
      </c>
      <c r="B209" s="2">
        <v>40779</v>
      </c>
      <c r="C209" s="3" t="s">
        <v>20</v>
      </c>
      <c r="D209">
        <v>5</v>
      </c>
      <c r="E209">
        <v>8</v>
      </c>
      <c r="F209" t="s">
        <v>12</v>
      </c>
      <c r="G209">
        <v>0</v>
      </c>
      <c r="H209">
        <v>0</v>
      </c>
      <c r="I209">
        <v>0</v>
      </c>
      <c r="J209">
        <v>0</v>
      </c>
      <c r="K209" t="str">
        <f t="shared" si="3"/>
        <v>Train</v>
      </c>
    </row>
    <row r="210" spans="1:11" x14ac:dyDescent="0.2">
      <c r="A210" t="s">
        <v>230</v>
      </c>
      <c r="B210" s="2">
        <v>40780</v>
      </c>
      <c r="C210" s="3" t="s">
        <v>22</v>
      </c>
      <c r="D210">
        <v>6</v>
      </c>
      <c r="E210">
        <v>8</v>
      </c>
      <c r="F210" t="s">
        <v>12</v>
      </c>
      <c r="G210">
        <v>0</v>
      </c>
      <c r="H210">
        <v>0</v>
      </c>
      <c r="I210">
        <v>1</v>
      </c>
      <c r="J210">
        <v>4</v>
      </c>
      <c r="K210" t="str">
        <f t="shared" si="3"/>
        <v>Train</v>
      </c>
    </row>
    <row r="211" spans="1:11" x14ac:dyDescent="0.2">
      <c r="A211" t="s">
        <v>231</v>
      </c>
      <c r="B211" s="2">
        <v>40781</v>
      </c>
      <c r="C211" s="3" t="s">
        <v>24</v>
      </c>
      <c r="D211">
        <v>7</v>
      </c>
      <c r="E211">
        <v>8</v>
      </c>
      <c r="F211" t="s">
        <v>12</v>
      </c>
      <c r="G211">
        <v>0</v>
      </c>
      <c r="H211">
        <v>0</v>
      </c>
      <c r="I211">
        <v>0</v>
      </c>
      <c r="J211">
        <v>2</v>
      </c>
      <c r="K211" t="str">
        <f t="shared" si="3"/>
        <v>Train</v>
      </c>
    </row>
    <row r="212" spans="1:11" x14ac:dyDescent="0.2">
      <c r="A212" t="s">
        <v>232</v>
      </c>
      <c r="B212" s="2">
        <v>40782</v>
      </c>
      <c r="C212" s="3" t="s">
        <v>11</v>
      </c>
      <c r="D212">
        <v>1</v>
      </c>
      <c r="E212">
        <v>8</v>
      </c>
      <c r="F212" t="s">
        <v>12</v>
      </c>
      <c r="G212">
        <v>0</v>
      </c>
      <c r="H212">
        <v>0</v>
      </c>
      <c r="I212">
        <v>0</v>
      </c>
      <c r="J212">
        <v>2</v>
      </c>
      <c r="K212" t="str">
        <f t="shared" si="3"/>
        <v>Train</v>
      </c>
    </row>
    <row r="213" spans="1:11" x14ac:dyDescent="0.2">
      <c r="A213" t="s">
        <v>233</v>
      </c>
      <c r="B213" s="2">
        <v>40783</v>
      </c>
      <c r="C213" s="3" t="s">
        <v>14</v>
      </c>
      <c r="D213">
        <v>2</v>
      </c>
      <c r="E213">
        <v>8</v>
      </c>
      <c r="F213" t="s">
        <v>12</v>
      </c>
      <c r="G213">
        <v>0</v>
      </c>
      <c r="H213">
        <v>0</v>
      </c>
      <c r="I213">
        <v>1</v>
      </c>
      <c r="J213">
        <v>0</v>
      </c>
      <c r="K213" t="str">
        <f t="shared" si="3"/>
        <v>Train</v>
      </c>
    </row>
    <row r="214" spans="1:11" x14ac:dyDescent="0.2">
      <c r="A214" t="s">
        <v>234</v>
      </c>
      <c r="B214" s="2">
        <v>40784</v>
      </c>
      <c r="C214" s="3" t="s">
        <v>16</v>
      </c>
      <c r="D214">
        <v>3</v>
      </c>
      <c r="E214">
        <v>8</v>
      </c>
      <c r="F214" t="s">
        <v>12</v>
      </c>
      <c r="G214">
        <v>0</v>
      </c>
      <c r="H214">
        <v>0</v>
      </c>
      <c r="I214">
        <v>2</v>
      </c>
      <c r="J214">
        <v>0</v>
      </c>
      <c r="K214" t="str">
        <f t="shared" si="3"/>
        <v>Train</v>
      </c>
    </row>
    <row r="215" spans="1:11" x14ac:dyDescent="0.2">
      <c r="A215" t="s">
        <v>235</v>
      </c>
      <c r="B215" s="2">
        <v>40785</v>
      </c>
      <c r="C215" s="3" t="s">
        <v>18</v>
      </c>
      <c r="D215">
        <v>4</v>
      </c>
      <c r="E215">
        <v>8</v>
      </c>
      <c r="F215" t="s">
        <v>12</v>
      </c>
      <c r="G215">
        <v>0</v>
      </c>
      <c r="H215">
        <v>0</v>
      </c>
      <c r="I215">
        <v>1</v>
      </c>
      <c r="J215">
        <v>0</v>
      </c>
      <c r="K215" t="str">
        <f t="shared" si="3"/>
        <v>Train</v>
      </c>
    </row>
    <row r="216" spans="1:11" x14ac:dyDescent="0.2">
      <c r="A216" t="s">
        <v>236</v>
      </c>
      <c r="B216" s="2">
        <v>40786</v>
      </c>
      <c r="C216" s="3" t="s">
        <v>20</v>
      </c>
      <c r="D216">
        <v>5</v>
      </c>
      <c r="E216">
        <v>8</v>
      </c>
      <c r="F216" t="s">
        <v>61</v>
      </c>
      <c r="G216">
        <v>0</v>
      </c>
      <c r="H216">
        <v>0</v>
      </c>
      <c r="I216">
        <v>3</v>
      </c>
      <c r="J216">
        <v>1</v>
      </c>
      <c r="K216" t="str">
        <f t="shared" si="3"/>
        <v>Train</v>
      </c>
    </row>
    <row r="217" spans="1:11" x14ac:dyDescent="0.2">
      <c r="A217" t="s">
        <v>237</v>
      </c>
      <c r="B217" s="2">
        <v>40787</v>
      </c>
      <c r="C217" s="3" t="s">
        <v>22</v>
      </c>
      <c r="D217">
        <v>6</v>
      </c>
      <c r="E217">
        <v>9</v>
      </c>
      <c r="F217" t="s">
        <v>12</v>
      </c>
      <c r="G217">
        <v>1</v>
      </c>
      <c r="H217">
        <v>0</v>
      </c>
      <c r="I217">
        <v>2</v>
      </c>
      <c r="J217">
        <v>1</v>
      </c>
      <c r="K217" t="str">
        <f t="shared" si="3"/>
        <v>Train</v>
      </c>
    </row>
    <row r="218" spans="1:11" x14ac:dyDescent="0.2">
      <c r="A218" t="s">
        <v>238</v>
      </c>
      <c r="B218" s="2">
        <v>40788</v>
      </c>
      <c r="C218" s="3" t="s">
        <v>24</v>
      </c>
      <c r="D218">
        <v>7</v>
      </c>
      <c r="E218">
        <v>9</v>
      </c>
      <c r="F218" t="s">
        <v>12</v>
      </c>
      <c r="G218">
        <v>1</v>
      </c>
      <c r="H218">
        <v>0</v>
      </c>
      <c r="I218">
        <v>1</v>
      </c>
      <c r="J218">
        <v>2</v>
      </c>
      <c r="K218" t="str">
        <f t="shared" si="3"/>
        <v>Train</v>
      </c>
    </row>
    <row r="219" spans="1:11" x14ac:dyDescent="0.2">
      <c r="A219" t="s">
        <v>239</v>
      </c>
      <c r="B219" s="2">
        <v>40789</v>
      </c>
      <c r="C219" s="3" t="s">
        <v>11</v>
      </c>
      <c r="D219">
        <v>1</v>
      </c>
      <c r="E219">
        <v>9</v>
      </c>
      <c r="F219" t="s">
        <v>12</v>
      </c>
      <c r="G219">
        <v>1</v>
      </c>
      <c r="H219">
        <v>0</v>
      </c>
      <c r="I219">
        <v>1</v>
      </c>
      <c r="J219">
        <v>1</v>
      </c>
      <c r="K219" t="str">
        <f t="shared" si="3"/>
        <v>Train</v>
      </c>
    </row>
    <row r="220" spans="1:11" x14ac:dyDescent="0.2">
      <c r="A220" t="s">
        <v>240</v>
      </c>
      <c r="B220" s="2">
        <v>40790</v>
      </c>
      <c r="C220" s="3" t="s">
        <v>14</v>
      </c>
      <c r="D220">
        <v>2</v>
      </c>
      <c r="E220">
        <v>9</v>
      </c>
      <c r="F220" t="s">
        <v>12</v>
      </c>
      <c r="G220">
        <v>1</v>
      </c>
      <c r="H220">
        <v>0</v>
      </c>
      <c r="I220">
        <v>0</v>
      </c>
      <c r="J220">
        <v>0</v>
      </c>
      <c r="K220" t="str">
        <f t="shared" si="3"/>
        <v>Train</v>
      </c>
    </row>
    <row r="221" spans="1:11" x14ac:dyDescent="0.2">
      <c r="A221" t="s">
        <v>241</v>
      </c>
      <c r="B221" s="2">
        <v>40791</v>
      </c>
      <c r="C221" s="3" t="s">
        <v>16</v>
      </c>
      <c r="D221">
        <v>3</v>
      </c>
      <c r="E221">
        <v>9</v>
      </c>
      <c r="F221" t="s">
        <v>44</v>
      </c>
      <c r="G221">
        <v>1</v>
      </c>
      <c r="H221">
        <v>0</v>
      </c>
      <c r="I221">
        <v>1</v>
      </c>
      <c r="J221">
        <v>0</v>
      </c>
      <c r="K221" t="str">
        <f t="shared" si="3"/>
        <v>Train</v>
      </c>
    </row>
    <row r="222" spans="1:11" x14ac:dyDescent="0.2">
      <c r="A222" t="s">
        <v>242</v>
      </c>
      <c r="B222" s="2">
        <v>40792</v>
      </c>
      <c r="C222" s="3" t="s">
        <v>18</v>
      </c>
      <c r="D222">
        <v>4</v>
      </c>
      <c r="E222">
        <v>9</v>
      </c>
      <c r="F222" t="s">
        <v>12</v>
      </c>
      <c r="G222">
        <v>1</v>
      </c>
      <c r="H222">
        <v>0</v>
      </c>
      <c r="I222">
        <v>0</v>
      </c>
      <c r="J222">
        <v>1</v>
      </c>
      <c r="K222" t="str">
        <f t="shared" si="3"/>
        <v>Train</v>
      </c>
    </row>
    <row r="223" spans="1:11" x14ac:dyDescent="0.2">
      <c r="A223" t="s">
        <v>243</v>
      </c>
      <c r="B223" s="2">
        <v>40793</v>
      </c>
      <c r="C223" s="3" t="s">
        <v>20</v>
      </c>
      <c r="D223">
        <v>5</v>
      </c>
      <c r="E223">
        <v>9</v>
      </c>
      <c r="F223" t="s">
        <v>12</v>
      </c>
      <c r="G223">
        <v>1</v>
      </c>
      <c r="H223">
        <v>0</v>
      </c>
      <c r="I223">
        <v>0</v>
      </c>
      <c r="J223">
        <v>2</v>
      </c>
      <c r="K223" t="str">
        <f t="shared" si="3"/>
        <v>Train</v>
      </c>
    </row>
    <row r="224" spans="1:11" x14ac:dyDescent="0.2">
      <c r="A224" t="s">
        <v>244</v>
      </c>
      <c r="B224" s="2">
        <v>40794</v>
      </c>
      <c r="C224" s="3" t="s">
        <v>22</v>
      </c>
      <c r="D224">
        <v>6</v>
      </c>
      <c r="E224">
        <v>9</v>
      </c>
      <c r="F224" t="s">
        <v>12</v>
      </c>
      <c r="G224">
        <v>1</v>
      </c>
      <c r="H224">
        <v>0</v>
      </c>
      <c r="I224">
        <v>1</v>
      </c>
      <c r="J224">
        <v>0</v>
      </c>
      <c r="K224" t="str">
        <f t="shared" si="3"/>
        <v>Train</v>
      </c>
    </row>
    <row r="225" spans="1:11" x14ac:dyDescent="0.2">
      <c r="A225" t="s">
        <v>245</v>
      </c>
      <c r="B225" s="2">
        <v>40795</v>
      </c>
      <c r="C225" s="3" t="s">
        <v>24</v>
      </c>
      <c r="D225">
        <v>7</v>
      </c>
      <c r="E225">
        <v>9</v>
      </c>
      <c r="F225" t="s">
        <v>12</v>
      </c>
      <c r="G225">
        <v>1</v>
      </c>
      <c r="H225">
        <v>0</v>
      </c>
      <c r="I225">
        <v>0</v>
      </c>
      <c r="J225">
        <v>0</v>
      </c>
      <c r="K225" t="str">
        <f t="shared" si="3"/>
        <v>Train</v>
      </c>
    </row>
    <row r="226" spans="1:11" x14ac:dyDescent="0.2">
      <c r="A226" t="s">
        <v>246</v>
      </c>
      <c r="B226" s="2">
        <v>40796</v>
      </c>
      <c r="C226" s="3" t="s">
        <v>11</v>
      </c>
      <c r="D226">
        <v>1</v>
      </c>
      <c r="E226">
        <v>9</v>
      </c>
      <c r="F226" t="s">
        <v>12</v>
      </c>
      <c r="G226">
        <v>1</v>
      </c>
      <c r="H226">
        <v>0</v>
      </c>
      <c r="I226">
        <v>1</v>
      </c>
      <c r="J226">
        <v>0</v>
      </c>
      <c r="K226" t="str">
        <f t="shared" si="3"/>
        <v>Train</v>
      </c>
    </row>
    <row r="227" spans="1:11" x14ac:dyDescent="0.2">
      <c r="A227" t="s">
        <v>247</v>
      </c>
      <c r="B227" s="2">
        <v>40797</v>
      </c>
      <c r="C227" s="3" t="s">
        <v>14</v>
      </c>
      <c r="D227">
        <v>2</v>
      </c>
      <c r="E227">
        <v>9</v>
      </c>
      <c r="F227" t="s">
        <v>12</v>
      </c>
      <c r="G227">
        <v>0</v>
      </c>
      <c r="H227">
        <v>0</v>
      </c>
      <c r="I227">
        <v>1</v>
      </c>
      <c r="J227">
        <v>0</v>
      </c>
      <c r="K227" t="str">
        <f t="shared" si="3"/>
        <v>Train</v>
      </c>
    </row>
    <row r="228" spans="1:11" x14ac:dyDescent="0.2">
      <c r="A228" t="s">
        <v>248</v>
      </c>
      <c r="B228" s="2">
        <v>40798</v>
      </c>
      <c r="C228" s="3" t="s">
        <v>16</v>
      </c>
      <c r="D228">
        <v>3</v>
      </c>
      <c r="E228">
        <v>9</v>
      </c>
      <c r="F228" t="s">
        <v>12</v>
      </c>
      <c r="G228">
        <v>0</v>
      </c>
      <c r="H228">
        <v>0</v>
      </c>
      <c r="I228">
        <v>0</v>
      </c>
      <c r="J228">
        <v>0</v>
      </c>
      <c r="K228" t="str">
        <f t="shared" si="3"/>
        <v>Train</v>
      </c>
    </row>
    <row r="229" spans="1:11" x14ac:dyDescent="0.2">
      <c r="A229" t="s">
        <v>249</v>
      </c>
      <c r="B229" s="2">
        <v>40799</v>
      </c>
      <c r="C229" s="3" t="s">
        <v>18</v>
      </c>
      <c r="D229">
        <v>4</v>
      </c>
      <c r="E229">
        <v>9</v>
      </c>
      <c r="F229" t="s">
        <v>12</v>
      </c>
      <c r="G229">
        <v>0</v>
      </c>
      <c r="H229">
        <v>0</v>
      </c>
      <c r="I229">
        <v>0</v>
      </c>
      <c r="J229">
        <v>0</v>
      </c>
      <c r="K229" t="str">
        <f t="shared" si="3"/>
        <v>Train</v>
      </c>
    </row>
    <row r="230" spans="1:11" x14ac:dyDescent="0.2">
      <c r="A230" t="s">
        <v>250</v>
      </c>
      <c r="B230" s="2">
        <v>40800</v>
      </c>
      <c r="C230" s="3" t="s">
        <v>20</v>
      </c>
      <c r="D230">
        <v>5</v>
      </c>
      <c r="E230">
        <v>9</v>
      </c>
      <c r="F230" t="s">
        <v>12</v>
      </c>
      <c r="G230">
        <v>0</v>
      </c>
      <c r="H230">
        <v>0</v>
      </c>
      <c r="I230">
        <v>0</v>
      </c>
      <c r="J230">
        <v>0</v>
      </c>
      <c r="K230" t="str">
        <f t="shared" si="3"/>
        <v>Train</v>
      </c>
    </row>
    <row r="231" spans="1:11" x14ac:dyDescent="0.2">
      <c r="A231" t="s">
        <v>251</v>
      </c>
      <c r="B231" s="2">
        <v>40801</v>
      </c>
      <c r="C231" s="3" t="s">
        <v>22</v>
      </c>
      <c r="D231">
        <v>6</v>
      </c>
      <c r="E231">
        <v>9</v>
      </c>
      <c r="F231" t="s">
        <v>12</v>
      </c>
      <c r="G231">
        <v>0</v>
      </c>
      <c r="H231">
        <v>0</v>
      </c>
      <c r="I231">
        <v>0</v>
      </c>
      <c r="J231">
        <v>1</v>
      </c>
      <c r="K231" t="str">
        <f t="shared" si="3"/>
        <v>Train</v>
      </c>
    </row>
    <row r="232" spans="1:11" x14ac:dyDescent="0.2">
      <c r="A232" t="s">
        <v>252</v>
      </c>
      <c r="B232" s="2">
        <v>40802</v>
      </c>
      <c r="C232" s="3" t="s">
        <v>24</v>
      </c>
      <c r="D232">
        <v>7</v>
      </c>
      <c r="E232">
        <v>9</v>
      </c>
      <c r="F232" t="s">
        <v>12</v>
      </c>
      <c r="G232">
        <v>0</v>
      </c>
      <c r="H232">
        <v>0</v>
      </c>
      <c r="I232">
        <v>0</v>
      </c>
      <c r="J232">
        <v>0</v>
      </c>
      <c r="K232" t="str">
        <f t="shared" si="3"/>
        <v>Train</v>
      </c>
    </row>
    <row r="233" spans="1:11" x14ac:dyDescent="0.2">
      <c r="A233" t="s">
        <v>253</v>
      </c>
      <c r="B233" s="2">
        <v>40803</v>
      </c>
      <c r="C233" s="3" t="s">
        <v>11</v>
      </c>
      <c r="D233">
        <v>1</v>
      </c>
      <c r="E233">
        <v>9</v>
      </c>
      <c r="F233" t="s">
        <v>12</v>
      </c>
      <c r="G233">
        <v>0</v>
      </c>
      <c r="H233">
        <v>0</v>
      </c>
      <c r="I233">
        <v>3</v>
      </c>
      <c r="J233">
        <v>8</v>
      </c>
      <c r="K233" t="str">
        <f t="shared" si="3"/>
        <v>Train</v>
      </c>
    </row>
    <row r="234" spans="1:11" x14ac:dyDescent="0.2">
      <c r="A234" t="s">
        <v>254</v>
      </c>
      <c r="B234" s="2">
        <v>40804</v>
      </c>
      <c r="C234" s="3" t="s">
        <v>14</v>
      </c>
      <c r="D234">
        <v>2</v>
      </c>
      <c r="E234">
        <v>9</v>
      </c>
      <c r="F234" t="s">
        <v>12</v>
      </c>
      <c r="G234">
        <v>0</v>
      </c>
      <c r="H234">
        <v>0</v>
      </c>
      <c r="I234">
        <v>2</v>
      </c>
      <c r="J234">
        <v>0</v>
      </c>
      <c r="K234" t="str">
        <f t="shared" si="3"/>
        <v>Train</v>
      </c>
    </row>
    <row r="235" spans="1:11" x14ac:dyDescent="0.2">
      <c r="A235" t="s">
        <v>255</v>
      </c>
      <c r="B235" s="2">
        <v>40805</v>
      </c>
      <c r="C235" s="3" t="s">
        <v>16</v>
      </c>
      <c r="D235">
        <v>3</v>
      </c>
      <c r="E235">
        <v>9</v>
      </c>
      <c r="F235" t="s">
        <v>12</v>
      </c>
      <c r="G235">
        <v>0</v>
      </c>
      <c r="H235">
        <v>0</v>
      </c>
      <c r="I235">
        <v>0</v>
      </c>
      <c r="J235">
        <v>1</v>
      </c>
      <c r="K235" t="str">
        <f t="shared" si="3"/>
        <v>Train</v>
      </c>
    </row>
    <row r="236" spans="1:11" x14ac:dyDescent="0.2">
      <c r="A236" t="s">
        <v>256</v>
      </c>
      <c r="B236" s="2">
        <v>40806</v>
      </c>
      <c r="C236" s="3" t="s">
        <v>18</v>
      </c>
      <c r="D236">
        <v>4</v>
      </c>
      <c r="E236">
        <v>9</v>
      </c>
      <c r="F236" t="s">
        <v>12</v>
      </c>
      <c r="G236">
        <v>0</v>
      </c>
      <c r="H236">
        <v>0</v>
      </c>
      <c r="I236">
        <v>0</v>
      </c>
      <c r="J236">
        <v>0</v>
      </c>
      <c r="K236" t="str">
        <f t="shared" si="3"/>
        <v>Train</v>
      </c>
    </row>
    <row r="237" spans="1:11" x14ac:dyDescent="0.2">
      <c r="A237" t="s">
        <v>257</v>
      </c>
      <c r="B237" s="2">
        <v>40807</v>
      </c>
      <c r="C237" s="3" t="s">
        <v>20</v>
      </c>
      <c r="D237">
        <v>5</v>
      </c>
      <c r="E237">
        <v>9</v>
      </c>
      <c r="F237" t="s">
        <v>12</v>
      </c>
      <c r="G237">
        <v>0</v>
      </c>
      <c r="H237">
        <v>0</v>
      </c>
      <c r="I237">
        <v>0</v>
      </c>
      <c r="J237">
        <v>0</v>
      </c>
      <c r="K237" t="str">
        <f t="shared" si="3"/>
        <v>Train</v>
      </c>
    </row>
    <row r="238" spans="1:11" x14ac:dyDescent="0.2">
      <c r="A238" t="s">
        <v>258</v>
      </c>
      <c r="B238" s="2">
        <v>40808</v>
      </c>
      <c r="C238" s="3" t="s">
        <v>22</v>
      </c>
      <c r="D238">
        <v>6</v>
      </c>
      <c r="E238">
        <v>9</v>
      </c>
      <c r="F238" t="s">
        <v>12</v>
      </c>
      <c r="G238">
        <v>0</v>
      </c>
      <c r="H238">
        <v>0</v>
      </c>
      <c r="I238">
        <v>0</v>
      </c>
      <c r="J238">
        <v>1</v>
      </c>
      <c r="K238" t="str">
        <f t="shared" si="3"/>
        <v>Train</v>
      </c>
    </row>
    <row r="239" spans="1:11" x14ac:dyDescent="0.2">
      <c r="A239" t="s">
        <v>259</v>
      </c>
      <c r="B239" s="2">
        <v>40809</v>
      </c>
      <c r="C239" s="3" t="s">
        <v>24</v>
      </c>
      <c r="D239">
        <v>7</v>
      </c>
      <c r="E239">
        <v>9</v>
      </c>
      <c r="F239" t="s">
        <v>12</v>
      </c>
      <c r="G239">
        <v>0</v>
      </c>
      <c r="H239">
        <v>0</v>
      </c>
      <c r="I239">
        <v>0</v>
      </c>
      <c r="J239">
        <v>0</v>
      </c>
      <c r="K239" t="str">
        <f t="shared" si="3"/>
        <v>Train</v>
      </c>
    </row>
    <row r="240" spans="1:11" x14ac:dyDescent="0.2">
      <c r="A240" t="s">
        <v>260</v>
      </c>
      <c r="B240" s="2">
        <v>40810</v>
      </c>
      <c r="C240" s="3" t="s">
        <v>11</v>
      </c>
      <c r="D240">
        <v>1</v>
      </c>
      <c r="E240">
        <v>9</v>
      </c>
      <c r="F240" t="s">
        <v>12</v>
      </c>
      <c r="G240">
        <v>0</v>
      </c>
      <c r="H240">
        <v>0</v>
      </c>
      <c r="I240">
        <v>0</v>
      </c>
      <c r="J240">
        <v>2</v>
      </c>
      <c r="K240" t="str">
        <f t="shared" si="3"/>
        <v>Train</v>
      </c>
    </row>
    <row r="241" spans="1:11" x14ac:dyDescent="0.2">
      <c r="A241" t="s">
        <v>261</v>
      </c>
      <c r="B241" s="2">
        <v>40811</v>
      </c>
      <c r="C241" s="3" t="s">
        <v>14</v>
      </c>
      <c r="D241">
        <v>2</v>
      </c>
      <c r="E241">
        <v>9</v>
      </c>
      <c r="F241" t="s">
        <v>12</v>
      </c>
      <c r="G241">
        <v>0</v>
      </c>
      <c r="H241">
        <v>0</v>
      </c>
      <c r="I241">
        <v>0</v>
      </c>
      <c r="J241">
        <v>1</v>
      </c>
      <c r="K241" t="str">
        <f t="shared" si="3"/>
        <v>Train</v>
      </c>
    </row>
    <row r="242" spans="1:11" x14ac:dyDescent="0.2">
      <c r="A242" t="s">
        <v>262</v>
      </c>
      <c r="B242" s="2">
        <v>40812</v>
      </c>
      <c r="C242" s="3" t="s">
        <v>16</v>
      </c>
      <c r="D242">
        <v>3</v>
      </c>
      <c r="E242">
        <v>9</v>
      </c>
      <c r="F242" t="s">
        <v>12</v>
      </c>
      <c r="G242">
        <v>0</v>
      </c>
      <c r="H242">
        <v>0</v>
      </c>
      <c r="I242">
        <v>1</v>
      </c>
      <c r="J242">
        <v>0</v>
      </c>
      <c r="K242" t="str">
        <f t="shared" si="3"/>
        <v>Train</v>
      </c>
    </row>
    <row r="243" spans="1:11" x14ac:dyDescent="0.2">
      <c r="A243" t="s">
        <v>263</v>
      </c>
      <c r="B243" s="2">
        <v>40813</v>
      </c>
      <c r="C243" s="3" t="s">
        <v>18</v>
      </c>
      <c r="D243">
        <v>4</v>
      </c>
      <c r="E243">
        <v>9</v>
      </c>
      <c r="F243" t="s">
        <v>12</v>
      </c>
      <c r="G243">
        <v>0</v>
      </c>
      <c r="H243">
        <v>0</v>
      </c>
      <c r="I243">
        <v>3</v>
      </c>
      <c r="J243">
        <v>0</v>
      </c>
      <c r="K243" t="str">
        <f t="shared" si="3"/>
        <v>Train</v>
      </c>
    </row>
    <row r="244" spans="1:11" x14ac:dyDescent="0.2">
      <c r="A244" t="s">
        <v>264</v>
      </c>
      <c r="B244" s="2">
        <v>40814</v>
      </c>
      <c r="C244" s="3" t="s">
        <v>20</v>
      </c>
      <c r="D244">
        <v>5</v>
      </c>
      <c r="E244">
        <v>9</v>
      </c>
      <c r="F244" t="s">
        <v>12</v>
      </c>
      <c r="G244">
        <v>0</v>
      </c>
      <c r="H244">
        <v>0</v>
      </c>
      <c r="I244">
        <v>2</v>
      </c>
      <c r="J244">
        <v>0</v>
      </c>
      <c r="K244" t="str">
        <f t="shared" si="3"/>
        <v>Train</v>
      </c>
    </row>
    <row r="245" spans="1:11" x14ac:dyDescent="0.2">
      <c r="A245" t="s">
        <v>265</v>
      </c>
      <c r="B245" s="2">
        <v>40815</v>
      </c>
      <c r="C245" s="3" t="s">
        <v>22</v>
      </c>
      <c r="D245">
        <v>6</v>
      </c>
      <c r="E245">
        <v>9</v>
      </c>
      <c r="F245" t="s">
        <v>12</v>
      </c>
      <c r="G245">
        <v>0</v>
      </c>
      <c r="H245">
        <v>0</v>
      </c>
      <c r="I245">
        <v>0</v>
      </c>
      <c r="J245">
        <v>0</v>
      </c>
      <c r="K245" t="str">
        <f t="shared" si="3"/>
        <v>Train</v>
      </c>
    </row>
    <row r="246" spans="1:11" x14ac:dyDescent="0.2">
      <c r="A246" t="s">
        <v>266</v>
      </c>
      <c r="B246" s="2">
        <v>40816</v>
      </c>
      <c r="C246" s="3" t="s">
        <v>24</v>
      </c>
      <c r="D246">
        <v>7</v>
      </c>
      <c r="E246">
        <v>9</v>
      </c>
      <c r="F246" t="s">
        <v>12</v>
      </c>
      <c r="G246">
        <v>0</v>
      </c>
      <c r="H246">
        <v>0</v>
      </c>
      <c r="I246">
        <v>0</v>
      </c>
      <c r="J246">
        <v>1</v>
      </c>
      <c r="K246" t="str">
        <f t="shared" si="3"/>
        <v>Train</v>
      </c>
    </row>
    <row r="247" spans="1:11" x14ac:dyDescent="0.2">
      <c r="A247" t="s">
        <v>267</v>
      </c>
      <c r="B247" s="2">
        <v>40817</v>
      </c>
      <c r="C247" s="3" t="s">
        <v>11</v>
      </c>
      <c r="D247">
        <v>1</v>
      </c>
      <c r="E247">
        <v>10</v>
      </c>
      <c r="F247" t="s">
        <v>12</v>
      </c>
      <c r="G247">
        <v>1</v>
      </c>
      <c r="H247">
        <v>0</v>
      </c>
      <c r="I247">
        <v>3</v>
      </c>
      <c r="J247">
        <v>0</v>
      </c>
      <c r="K247" t="str">
        <f t="shared" si="3"/>
        <v>Train</v>
      </c>
    </row>
    <row r="248" spans="1:11" x14ac:dyDescent="0.2">
      <c r="A248" t="s">
        <v>268</v>
      </c>
      <c r="B248" s="2">
        <v>40818</v>
      </c>
      <c r="C248" s="3" t="s">
        <v>14</v>
      </c>
      <c r="D248">
        <v>2</v>
      </c>
      <c r="E248">
        <v>10</v>
      </c>
      <c r="F248" t="s">
        <v>12</v>
      </c>
      <c r="G248">
        <v>1</v>
      </c>
      <c r="H248">
        <v>0</v>
      </c>
      <c r="I248">
        <v>0</v>
      </c>
      <c r="J248">
        <v>0</v>
      </c>
      <c r="K248" t="str">
        <f t="shared" si="3"/>
        <v>Train</v>
      </c>
    </row>
    <row r="249" spans="1:11" x14ac:dyDescent="0.2">
      <c r="A249" t="s">
        <v>269</v>
      </c>
      <c r="B249" s="2">
        <v>40819</v>
      </c>
      <c r="C249" s="3" t="s">
        <v>16</v>
      </c>
      <c r="D249">
        <v>3</v>
      </c>
      <c r="E249">
        <v>10</v>
      </c>
      <c r="F249" t="s">
        <v>12</v>
      </c>
      <c r="G249">
        <v>1</v>
      </c>
      <c r="H249">
        <v>0</v>
      </c>
      <c r="I249">
        <v>1</v>
      </c>
      <c r="J249">
        <v>1</v>
      </c>
      <c r="K249" t="str">
        <f t="shared" si="3"/>
        <v>Train</v>
      </c>
    </row>
    <row r="250" spans="1:11" x14ac:dyDescent="0.2">
      <c r="A250" t="s">
        <v>270</v>
      </c>
      <c r="B250" s="2">
        <v>40820</v>
      </c>
      <c r="C250" s="3" t="s">
        <v>18</v>
      </c>
      <c r="D250">
        <v>4</v>
      </c>
      <c r="E250">
        <v>10</v>
      </c>
      <c r="F250" t="s">
        <v>12</v>
      </c>
      <c r="G250">
        <v>1</v>
      </c>
      <c r="H250">
        <v>0</v>
      </c>
      <c r="I250">
        <v>0</v>
      </c>
      <c r="J250">
        <v>2</v>
      </c>
      <c r="K250" t="str">
        <f t="shared" si="3"/>
        <v>Train</v>
      </c>
    </row>
    <row r="251" spans="1:11" x14ac:dyDescent="0.2">
      <c r="A251" t="s">
        <v>271</v>
      </c>
      <c r="B251" s="2">
        <v>40821</v>
      </c>
      <c r="C251" s="3" t="s">
        <v>20</v>
      </c>
      <c r="D251">
        <v>5</v>
      </c>
      <c r="E251">
        <v>10</v>
      </c>
      <c r="F251" t="s">
        <v>12</v>
      </c>
      <c r="G251">
        <v>1</v>
      </c>
      <c r="H251">
        <v>0</v>
      </c>
      <c r="I251">
        <v>0</v>
      </c>
      <c r="J251">
        <v>0</v>
      </c>
      <c r="K251" t="str">
        <f t="shared" si="3"/>
        <v>Train</v>
      </c>
    </row>
    <row r="252" spans="1:11" x14ac:dyDescent="0.2">
      <c r="A252" t="s">
        <v>272</v>
      </c>
      <c r="B252" s="2">
        <v>40822</v>
      </c>
      <c r="C252" s="3" t="s">
        <v>22</v>
      </c>
      <c r="D252">
        <v>6</v>
      </c>
      <c r="E252">
        <v>10</v>
      </c>
      <c r="F252" t="s">
        <v>12</v>
      </c>
      <c r="G252">
        <v>1</v>
      </c>
      <c r="H252">
        <v>0</v>
      </c>
      <c r="I252">
        <v>0</v>
      </c>
      <c r="J252">
        <v>2</v>
      </c>
      <c r="K252" t="str">
        <f t="shared" si="3"/>
        <v>Train</v>
      </c>
    </row>
    <row r="253" spans="1:11" x14ac:dyDescent="0.2">
      <c r="A253" t="s">
        <v>273</v>
      </c>
      <c r="B253" s="2">
        <v>40823</v>
      </c>
      <c r="C253" s="3" t="s">
        <v>24</v>
      </c>
      <c r="D253">
        <v>7</v>
      </c>
      <c r="E253">
        <v>10</v>
      </c>
      <c r="F253" t="s">
        <v>12</v>
      </c>
      <c r="G253">
        <v>1</v>
      </c>
      <c r="H253">
        <v>0</v>
      </c>
      <c r="I253">
        <v>0</v>
      </c>
      <c r="J253">
        <v>1</v>
      </c>
      <c r="K253" t="str">
        <f t="shared" si="3"/>
        <v>Train</v>
      </c>
    </row>
    <row r="254" spans="1:11" x14ac:dyDescent="0.2">
      <c r="A254" t="s">
        <v>274</v>
      </c>
      <c r="B254" s="2">
        <v>40824</v>
      </c>
      <c r="C254" s="3" t="s">
        <v>11</v>
      </c>
      <c r="D254">
        <v>1</v>
      </c>
      <c r="E254">
        <v>10</v>
      </c>
      <c r="F254" t="s">
        <v>12</v>
      </c>
      <c r="G254">
        <v>1</v>
      </c>
      <c r="H254">
        <v>0</v>
      </c>
      <c r="I254">
        <v>1</v>
      </c>
      <c r="J254">
        <v>2</v>
      </c>
      <c r="K254" t="str">
        <f t="shared" si="3"/>
        <v>Train</v>
      </c>
    </row>
    <row r="255" spans="1:11" x14ac:dyDescent="0.2">
      <c r="A255" t="s">
        <v>275</v>
      </c>
      <c r="B255" s="2">
        <v>40825</v>
      </c>
      <c r="C255" s="3" t="s">
        <v>14</v>
      </c>
      <c r="D255">
        <v>2</v>
      </c>
      <c r="E255">
        <v>10</v>
      </c>
      <c r="F255" t="s">
        <v>12</v>
      </c>
      <c r="G255">
        <v>1</v>
      </c>
      <c r="H255">
        <v>0</v>
      </c>
      <c r="I255">
        <v>2</v>
      </c>
      <c r="J255">
        <v>1</v>
      </c>
      <c r="K255" t="str">
        <f t="shared" si="3"/>
        <v>Train</v>
      </c>
    </row>
    <row r="256" spans="1:11" x14ac:dyDescent="0.2">
      <c r="A256" t="s">
        <v>276</v>
      </c>
      <c r="B256" s="2">
        <v>40826</v>
      </c>
      <c r="C256" s="3" t="s">
        <v>16</v>
      </c>
      <c r="D256">
        <v>3</v>
      </c>
      <c r="E256">
        <v>10</v>
      </c>
      <c r="F256" t="s">
        <v>44</v>
      </c>
      <c r="G256">
        <v>1</v>
      </c>
      <c r="H256">
        <v>0</v>
      </c>
      <c r="I256">
        <v>1</v>
      </c>
      <c r="J256">
        <v>2</v>
      </c>
      <c r="K256" t="str">
        <f t="shared" si="3"/>
        <v>Train</v>
      </c>
    </row>
    <row r="257" spans="1:11" x14ac:dyDescent="0.2">
      <c r="A257" t="s">
        <v>277</v>
      </c>
      <c r="B257" s="2">
        <v>40827</v>
      </c>
      <c r="C257" s="3" t="s">
        <v>18</v>
      </c>
      <c r="D257">
        <v>4</v>
      </c>
      <c r="E257">
        <v>10</v>
      </c>
      <c r="F257" t="s">
        <v>12</v>
      </c>
      <c r="G257">
        <v>0</v>
      </c>
      <c r="H257">
        <v>0</v>
      </c>
      <c r="I257">
        <v>0</v>
      </c>
      <c r="J257">
        <v>2</v>
      </c>
      <c r="K257" t="str">
        <f t="shared" si="3"/>
        <v>Train</v>
      </c>
    </row>
    <row r="258" spans="1:11" x14ac:dyDescent="0.2">
      <c r="A258" t="s">
        <v>278</v>
      </c>
      <c r="B258" s="2">
        <v>40828</v>
      </c>
      <c r="C258" s="3" t="s">
        <v>20</v>
      </c>
      <c r="D258">
        <v>5</v>
      </c>
      <c r="E258">
        <v>10</v>
      </c>
      <c r="F258" t="s">
        <v>12</v>
      </c>
      <c r="G258">
        <v>0</v>
      </c>
      <c r="H258">
        <v>0</v>
      </c>
      <c r="I258">
        <v>0</v>
      </c>
      <c r="J258">
        <v>0</v>
      </c>
      <c r="K258" t="str">
        <f t="shared" ref="K258:K321" si="4">IF(ROW()-1&lt;=300,"Train","Validation")</f>
        <v>Train</v>
      </c>
    </row>
    <row r="259" spans="1:11" x14ac:dyDescent="0.2">
      <c r="A259" t="s">
        <v>279</v>
      </c>
      <c r="B259" s="2">
        <v>40829</v>
      </c>
      <c r="C259" s="3" t="s">
        <v>22</v>
      </c>
      <c r="D259">
        <v>6</v>
      </c>
      <c r="E259">
        <v>10</v>
      </c>
      <c r="F259" t="s">
        <v>12</v>
      </c>
      <c r="G259">
        <v>0</v>
      </c>
      <c r="H259">
        <v>0</v>
      </c>
      <c r="I259">
        <v>0</v>
      </c>
      <c r="J259">
        <v>0</v>
      </c>
      <c r="K259" t="str">
        <f t="shared" si="4"/>
        <v>Train</v>
      </c>
    </row>
    <row r="260" spans="1:11" x14ac:dyDescent="0.2">
      <c r="A260" t="s">
        <v>280</v>
      </c>
      <c r="B260" s="2">
        <v>40830</v>
      </c>
      <c r="C260" s="3" t="s">
        <v>24</v>
      </c>
      <c r="D260">
        <v>7</v>
      </c>
      <c r="E260">
        <v>10</v>
      </c>
      <c r="F260" t="s">
        <v>12</v>
      </c>
      <c r="G260">
        <v>0</v>
      </c>
      <c r="H260">
        <v>0</v>
      </c>
      <c r="I260">
        <v>2</v>
      </c>
      <c r="J260">
        <v>0</v>
      </c>
      <c r="K260" t="str">
        <f t="shared" si="4"/>
        <v>Train</v>
      </c>
    </row>
    <row r="261" spans="1:11" x14ac:dyDescent="0.2">
      <c r="A261" t="s">
        <v>281</v>
      </c>
      <c r="B261" s="2">
        <v>40831</v>
      </c>
      <c r="C261" s="3" t="s">
        <v>11</v>
      </c>
      <c r="D261">
        <v>1</v>
      </c>
      <c r="E261">
        <v>10</v>
      </c>
      <c r="F261" t="s">
        <v>12</v>
      </c>
      <c r="G261">
        <v>0</v>
      </c>
      <c r="H261">
        <v>0</v>
      </c>
      <c r="I261">
        <v>1</v>
      </c>
      <c r="J261">
        <v>1</v>
      </c>
      <c r="K261" t="str">
        <f t="shared" si="4"/>
        <v>Train</v>
      </c>
    </row>
    <row r="262" spans="1:11" x14ac:dyDescent="0.2">
      <c r="A262" t="s">
        <v>282</v>
      </c>
      <c r="B262" s="2">
        <v>40832</v>
      </c>
      <c r="C262" s="3" t="s">
        <v>14</v>
      </c>
      <c r="D262">
        <v>2</v>
      </c>
      <c r="E262">
        <v>10</v>
      </c>
      <c r="F262" t="s">
        <v>12</v>
      </c>
      <c r="G262">
        <v>0</v>
      </c>
      <c r="H262">
        <v>0</v>
      </c>
      <c r="I262">
        <v>3</v>
      </c>
      <c r="J262">
        <v>0</v>
      </c>
      <c r="K262" t="str">
        <f t="shared" si="4"/>
        <v>Train</v>
      </c>
    </row>
    <row r="263" spans="1:11" x14ac:dyDescent="0.2">
      <c r="A263" t="s">
        <v>283</v>
      </c>
      <c r="B263" s="2">
        <v>40833</v>
      </c>
      <c r="C263" s="3" t="s">
        <v>16</v>
      </c>
      <c r="D263">
        <v>3</v>
      </c>
      <c r="E263">
        <v>10</v>
      </c>
      <c r="F263" t="s">
        <v>12</v>
      </c>
      <c r="G263">
        <v>0</v>
      </c>
      <c r="H263">
        <v>0</v>
      </c>
      <c r="I263">
        <v>1</v>
      </c>
      <c r="J263">
        <v>1</v>
      </c>
      <c r="K263" t="str">
        <f t="shared" si="4"/>
        <v>Train</v>
      </c>
    </row>
    <row r="264" spans="1:11" x14ac:dyDescent="0.2">
      <c r="A264" t="s">
        <v>284</v>
      </c>
      <c r="B264" s="2">
        <v>40834</v>
      </c>
      <c r="C264" s="3" t="s">
        <v>18</v>
      </c>
      <c r="D264">
        <v>4</v>
      </c>
      <c r="E264">
        <v>10</v>
      </c>
      <c r="F264" t="s">
        <v>12</v>
      </c>
      <c r="G264">
        <v>0</v>
      </c>
      <c r="H264">
        <v>0</v>
      </c>
      <c r="I264">
        <v>0</v>
      </c>
      <c r="J264">
        <v>2</v>
      </c>
      <c r="K264" t="str">
        <f t="shared" si="4"/>
        <v>Train</v>
      </c>
    </row>
    <row r="265" spans="1:11" x14ac:dyDescent="0.2">
      <c r="A265" t="s">
        <v>285</v>
      </c>
      <c r="B265" s="2">
        <v>40835</v>
      </c>
      <c r="C265" s="3" t="s">
        <v>20</v>
      </c>
      <c r="D265">
        <v>5</v>
      </c>
      <c r="E265">
        <v>10</v>
      </c>
      <c r="F265" t="s">
        <v>12</v>
      </c>
      <c r="G265">
        <v>0</v>
      </c>
      <c r="H265">
        <v>0</v>
      </c>
      <c r="I265">
        <v>0</v>
      </c>
      <c r="J265">
        <v>0</v>
      </c>
      <c r="K265" t="str">
        <f t="shared" si="4"/>
        <v>Train</v>
      </c>
    </row>
    <row r="266" spans="1:11" x14ac:dyDescent="0.2">
      <c r="A266" t="s">
        <v>286</v>
      </c>
      <c r="B266" s="2">
        <v>40836</v>
      </c>
      <c r="C266" s="3" t="s">
        <v>22</v>
      </c>
      <c r="D266">
        <v>6</v>
      </c>
      <c r="E266">
        <v>10</v>
      </c>
      <c r="F266" t="s">
        <v>12</v>
      </c>
      <c r="G266">
        <v>0</v>
      </c>
      <c r="H266">
        <v>0</v>
      </c>
      <c r="I266">
        <v>1</v>
      </c>
      <c r="J266">
        <v>1</v>
      </c>
      <c r="K266" t="str">
        <f t="shared" si="4"/>
        <v>Train</v>
      </c>
    </row>
    <row r="267" spans="1:11" x14ac:dyDescent="0.2">
      <c r="A267" t="s">
        <v>287</v>
      </c>
      <c r="B267" s="2">
        <v>40837</v>
      </c>
      <c r="C267" s="3" t="s">
        <v>24</v>
      </c>
      <c r="D267">
        <v>7</v>
      </c>
      <c r="E267">
        <v>10</v>
      </c>
      <c r="F267" t="s">
        <v>12</v>
      </c>
      <c r="G267">
        <v>0</v>
      </c>
      <c r="H267">
        <v>0</v>
      </c>
      <c r="I267">
        <v>0</v>
      </c>
      <c r="J267">
        <v>1</v>
      </c>
      <c r="K267" t="str">
        <f t="shared" si="4"/>
        <v>Train</v>
      </c>
    </row>
    <row r="268" spans="1:11" x14ac:dyDescent="0.2">
      <c r="A268" t="s">
        <v>288</v>
      </c>
      <c r="B268" s="2">
        <v>40838</v>
      </c>
      <c r="C268" s="3" t="s">
        <v>11</v>
      </c>
      <c r="D268">
        <v>1</v>
      </c>
      <c r="E268">
        <v>10</v>
      </c>
      <c r="F268" t="s">
        <v>12</v>
      </c>
      <c r="G268">
        <v>0</v>
      </c>
      <c r="H268">
        <v>0</v>
      </c>
      <c r="I268">
        <v>0</v>
      </c>
      <c r="J268">
        <v>0</v>
      </c>
      <c r="K268" t="str">
        <f t="shared" si="4"/>
        <v>Train</v>
      </c>
    </row>
    <row r="269" spans="1:11" x14ac:dyDescent="0.2">
      <c r="A269" t="s">
        <v>289</v>
      </c>
      <c r="B269" s="2">
        <v>40839</v>
      </c>
      <c r="C269" s="3" t="s">
        <v>14</v>
      </c>
      <c r="D269">
        <v>2</v>
      </c>
      <c r="E269">
        <v>10</v>
      </c>
      <c r="F269" t="s">
        <v>12</v>
      </c>
      <c r="G269">
        <v>0</v>
      </c>
      <c r="H269">
        <v>0</v>
      </c>
      <c r="I269">
        <v>0</v>
      </c>
      <c r="J269">
        <v>3</v>
      </c>
      <c r="K269" t="str">
        <f t="shared" si="4"/>
        <v>Train</v>
      </c>
    </row>
    <row r="270" spans="1:11" x14ac:dyDescent="0.2">
      <c r="A270" t="s">
        <v>290</v>
      </c>
      <c r="B270" s="2">
        <v>40840</v>
      </c>
      <c r="C270" s="3" t="s">
        <v>16</v>
      </c>
      <c r="D270">
        <v>3</v>
      </c>
      <c r="E270">
        <v>10</v>
      </c>
      <c r="F270" t="s">
        <v>12</v>
      </c>
      <c r="G270">
        <v>0</v>
      </c>
      <c r="H270">
        <v>0</v>
      </c>
      <c r="I270">
        <v>2</v>
      </c>
      <c r="J270">
        <v>0</v>
      </c>
      <c r="K270" t="str">
        <f t="shared" si="4"/>
        <v>Train</v>
      </c>
    </row>
    <row r="271" spans="1:11" x14ac:dyDescent="0.2">
      <c r="A271" t="s">
        <v>291</v>
      </c>
      <c r="B271" s="2">
        <v>40841</v>
      </c>
      <c r="C271" s="3" t="s">
        <v>18</v>
      </c>
      <c r="D271">
        <v>4</v>
      </c>
      <c r="E271">
        <v>10</v>
      </c>
      <c r="F271" t="s">
        <v>12</v>
      </c>
      <c r="G271">
        <v>0</v>
      </c>
      <c r="H271">
        <v>0</v>
      </c>
      <c r="I271">
        <v>0</v>
      </c>
      <c r="J271">
        <v>0</v>
      </c>
      <c r="K271" t="str">
        <f t="shared" si="4"/>
        <v>Train</v>
      </c>
    </row>
    <row r="272" spans="1:11" x14ac:dyDescent="0.2">
      <c r="A272" t="s">
        <v>292</v>
      </c>
      <c r="B272" s="2">
        <v>40842</v>
      </c>
      <c r="C272" s="3" t="s">
        <v>20</v>
      </c>
      <c r="D272">
        <v>5</v>
      </c>
      <c r="E272">
        <v>10</v>
      </c>
      <c r="F272" t="s">
        <v>12</v>
      </c>
      <c r="G272">
        <v>0</v>
      </c>
      <c r="H272">
        <v>0</v>
      </c>
      <c r="I272">
        <v>0</v>
      </c>
      <c r="J272">
        <v>4</v>
      </c>
      <c r="K272" t="str">
        <f t="shared" si="4"/>
        <v>Train</v>
      </c>
    </row>
    <row r="273" spans="1:11" x14ac:dyDescent="0.2">
      <c r="A273" t="s">
        <v>293</v>
      </c>
      <c r="B273" s="2">
        <v>40843</v>
      </c>
      <c r="C273" s="3" t="s">
        <v>22</v>
      </c>
      <c r="D273">
        <v>6</v>
      </c>
      <c r="E273">
        <v>10</v>
      </c>
      <c r="F273" t="s">
        <v>12</v>
      </c>
      <c r="G273">
        <v>0</v>
      </c>
      <c r="H273">
        <v>0</v>
      </c>
      <c r="I273">
        <v>0</v>
      </c>
      <c r="J273">
        <v>0</v>
      </c>
      <c r="K273" t="str">
        <f t="shared" si="4"/>
        <v>Train</v>
      </c>
    </row>
    <row r="274" spans="1:11" x14ac:dyDescent="0.2">
      <c r="A274" t="s">
        <v>294</v>
      </c>
      <c r="B274" s="2">
        <v>40844</v>
      </c>
      <c r="C274" s="3" t="s">
        <v>24</v>
      </c>
      <c r="D274">
        <v>7</v>
      </c>
      <c r="E274">
        <v>10</v>
      </c>
      <c r="F274" t="s">
        <v>12</v>
      </c>
      <c r="G274">
        <v>0</v>
      </c>
      <c r="H274">
        <v>0</v>
      </c>
      <c r="I274">
        <v>2</v>
      </c>
      <c r="J274">
        <v>2</v>
      </c>
      <c r="K274" t="str">
        <f t="shared" si="4"/>
        <v>Train</v>
      </c>
    </row>
    <row r="275" spans="1:11" x14ac:dyDescent="0.2">
      <c r="A275" t="s">
        <v>295</v>
      </c>
      <c r="B275" s="2">
        <v>40845</v>
      </c>
      <c r="C275" s="3" t="s">
        <v>11</v>
      </c>
      <c r="D275">
        <v>1</v>
      </c>
      <c r="E275">
        <v>10</v>
      </c>
      <c r="F275" t="s">
        <v>12</v>
      </c>
      <c r="G275">
        <v>0</v>
      </c>
      <c r="H275">
        <v>0</v>
      </c>
      <c r="I275">
        <v>1</v>
      </c>
      <c r="J275">
        <v>3</v>
      </c>
      <c r="K275" t="str">
        <f t="shared" si="4"/>
        <v>Train</v>
      </c>
    </row>
    <row r="276" spans="1:11" x14ac:dyDescent="0.2">
      <c r="A276" t="s">
        <v>296</v>
      </c>
      <c r="B276" s="2">
        <v>40846</v>
      </c>
      <c r="C276" s="3" t="s">
        <v>14</v>
      </c>
      <c r="D276">
        <v>2</v>
      </c>
      <c r="E276">
        <v>10</v>
      </c>
      <c r="F276" t="s">
        <v>12</v>
      </c>
      <c r="G276">
        <v>0</v>
      </c>
      <c r="H276">
        <v>0</v>
      </c>
      <c r="I276">
        <v>2</v>
      </c>
      <c r="J276">
        <v>2</v>
      </c>
      <c r="K276" t="str">
        <f t="shared" si="4"/>
        <v>Train</v>
      </c>
    </row>
    <row r="277" spans="1:11" x14ac:dyDescent="0.2">
      <c r="A277" t="s">
        <v>297</v>
      </c>
      <c r="B277" s="2">
        <v>40847</v>
      </c>
      <c r="C277" s="3" t="s">
        <v>16</v>
      </c>
      <c r="D277">
        <v>3</v>
      </c>
      <c r="E277">
        <v>10</v>
      </c>
      <c r="F277" t="s">
        <v>36</v>
      </c>
      <c r="G277">
        <v>0</v>
      </c>
      <c r="H277">
        <v>0</v>
      </c>
      <c r="I277">
        <v>1</v>
      </c>
      <c r="J277">
        <v>0</v>
      </c>
      <c r="K277" t="str">
        <f t="shared" si="4"/>
        <v>Train</v>
      </c>
    </row>
    <row r="278" spans="1:11" x14ac:dyDescent="0.2">
      <c r="A278" t="s">
        <v>298</v>
      </c>
      <c r="B278" s="2">
        <v>40848</v>
      </c>
      <c r="C278" s="3" t="s">
        <v>18</v>
      </c>
      <c r="D278">
        <v>4</v>
      </c>
      <c r="E278">
        <v>11</v>
      </c>
      <c r="F278" t="s">
        <v>12</v>
      </c>
      <c r="G278">
        <v>1</v>
      </c>
      <c r="H278">
        <v>0</v>
      </c>
      <c r="I278">
        <v>0</v>
      </c>
      <c r="J278">
        <v>1</v>
      </c>
      <c r="K278" t="str">
        <f t="shared" si="4"/>
        <v>Train</v>
      </c>
    </row>
    <row r="279" spans="1:11" x14ac:dyDescent="0.2">
      <c r="A279" t="s">
        <v>299</v>
      </c>
      <c r="B279" s="2">
        <v>40849</v>
      </c>
      <c r="C279" s="3" t="s">
        <v>20</v>
      </c>
      <c r="D279">
        <v>5</v>
      </c>
      <c r="E279">
        <v>11</v>
      </c>
      <c r="F279" t="s">
        <v>12</v>
      </c>
      <c r="G279">
        <v>1</v>
      </c>
      <c r="H279">
        <v>3</v>
      </c>
      <c r="I279">
        <v>0</v>
      </c>
      <c r="J279">
        <v>1</v>
      </c>
      <c r="K279" t="str">
        <f t="shared" si="4"/>
        <v>Train</v>
      </c>
    </row>
    <row r="280" spans="1:11" x14ac:dyDescent="0.2">
      <c r="A280" t="s">
        <v>300</v>
      </c>
      <c r="B280" s="2">
        <v>40850</v>
      </c>
      <c r="C280" s="3" t="s">
        <v>22</v>
      </c>
      <c r="D280">
        <v>6</v>
      </c>
      <c r="E280">
        <v>11</v>
      </c>
      <c r="F280" t="s">
        <v>12</v>
      </c>
      <c r="G280">
        <v>1</v>
      </c>
      <c r="H280">
        <v>1</v>
      </c>
      <c r="I280">
        <v>0</v>
      </c>
      <c r="J280">
        <v>0</v>
      </c>
      <c r="K280" t="str">
        <f t="shared" si="4"/>
        <v>Train</v>
      </c>
    </row>
    <row r="281" spans="1:11" x14ac:dyDescent="0.2">
      <c r="A281" t="s">
        <v>301</v>
      </c>
      <c r="B281" s="2">
        <v>40851</v>
      </c>
      <c r="C281" s="3" t="s">
        <v>24</v>
      </c>
      <c r="D281">
        <v>7</v>
      </c>
      <c r="E281">
        <v>11</v>
      </c>
      <c r="F281" t="s">
        <v>12</v>
      </c>
      <c r="G281">
        <v>1</v>
      </c>
      <c r="H281">
        <v>4</v>
      </c>
      <c r="I281">
        <v>3</v>
      </c>
      <c r="J281">
        <v>2</v>
      </c>
      <c r="K281" t="str">
        <f t="shared" si="4"/>
        <v>Train</v>
      </c>
    </row>
    <row r="282" spans="1:11" x14ac:dyDescent="0.2">
      <c r="A282" t="s">
        <v>302</v>
      </c>
      <c r="B282" s="2">
        <v>40852</v>
      </c>
      <c r="C282" s="3" t="s">
        <v>11</v>
      </c>
      <c r="D282">
        <v>1</v>
      </c>
      <c r="E282">
        <v>11</v>
      </c>
      <c r="F282" t="s">
        <v>12</v>
      </c>
      <c r="G282">
        <v>1</v>
      </c>
      <c r="H282">
        <v>2</v>
      </c>
      <c r="I282">
        <v>1</v>
      </c>
      <c r="J282">
        <v>0</v>
      </c>
      <c r="K282" t="str">
        <f t="shared" si="4"/>
        <v>Train</v>
      </c>
    </row>
    <row r="283" spans="1:11" x14ac:dyDescent="0.2">
      <c r="A283" t="s">
        <v>303</v>
      </c>
      <c r="B283" s="2">
        <v>40853</v>
      </c>
      <c r="C283" s="3" t="s">
        <v>14</v>
      </c>
      <c r="D283">
        <v>2</v>
      </c>
      <c r="E283">
        <v>11</v>
      </c>
      <c r="F283" t="s">
        <v>12</v>
      </c>
      <c r="G283">
        <v>1</v>
      </c>
      <c r="H283">
        <v>1</v>
      </c>
      <c r="I283">
        <v>1</v>
      </c>
      <c r="J283">
        <v>0</v>
      </c>
      <c r="K283" t="str">
        <f t="shared" si="4"/>
        <v>Train</v>
      </c>
    </row>
    <row r="284" spans="1:11" x14ac:dyDescent="0.2">
      <c r="A284" t="s">
        <v>304</v>
      </c>
      <c r="B284" s="2">
        <v>40854</v>
      </c>
      <c r="C284" s="3" t="s">
        <v>16</v>
      </c>
      <c r="D284">
        <v>3</v>
      </c>
      <c r="E284">
        <v>11</v>
      </c>
      <c r="F284" t="s">
        <v>61</v>
      </c>
      <c r="G284">
        <v>1</v>
      </c>
      <c r="H284">
        <v>0</v>
      </c>
      <c r="I284">
        <v>0</v>
      </c>
      <c r="J284">
        <v>0</v>
      </c>
      <c r="K284" t="str">
        <f t="shared" si="4"/>
        <v>Train</v>
      </c>
    </row>
    <row r="285" spans="1:11" x14ac:dyDescent="0.2">
      <c r="A285" t="s">
        <v>305</v>
      </c>
      <c r="B285" s="2">
        <v>40855</v>
      </c>
      <c r="C285" s="3" t="s">
        <v>18</v>
      </c>
      <c r="D285">
        <v>4</v>
      </c>
      <c r="E285">
        <v>11</v>
      </c>
      <c r="F285" t="s">
        <v>12</v>
      </c>
      <c r="G285">
        <v>1</v>
      </c>
      <c r="H285">
        <v>2</v>
      </c>
      <c r="I285">
        <v>1</v>
      </c>
      <c r="J285">
        <v>0</v>
      </c>
      <c r="K285" t="str">
        <f t="shared" si="4"/>
        <v>Train</v>
      </c>
    </row>
    <row r="286" spans="1:11" x14ac:dyDescent="0.2">
      <c r="A286" t="s">
        <v>306</v>
      </c>
      <c r="B286" s="2">
        <v>40856</v>
      </c>
      <c r="C286" s="3" t="s">
        <v>20</v>
      </c>
      <c r="D286">
        <v>5</v>
      </c>
      <c r="E286">
        <v>11</v>
      </c>
      <c r="F286" t="s">
        <v>12</v>
      </c>
      <c r="G286">
        <v>1</v>
      </c>
      <c r="H286">
        <v>1</v>
      </c>
      <c r="I286">
        <v>3</v>
      </c>
      <c r="J286">
        <v>1</v>
      </c>
      <c r="K286" t="str">
        <f t="shared" si="4"/>
        <v>Train</v>
      </c>
    </row>
    <row r="287" spans="1:11" x14ac:dyDescent="0.2">
      <c r="A287" t="s">
        <v>307</v>
      </c>
      <c r="B287" s="2">
        <v>40857</v>
      </c>
      <c r="C287" s="3" t="s">
        <v>22</v>
      </c>
      <c r="D287">
        <v>6</v>
      </c>
      <c r="E287">
        <v>11</v>
      </c>
      <c r="F287" t="s">
        <v>12</v>
      </c>
      <c r="G287">
        <v>1</v>
      </c>
      <c r="H287">
        <v>0</v>
      </c>
      <c r="I287">
        <v>0</v>
      </c>
      <c r="J287">
        <v>1</v>
      </c>
      <c r="K287" t="str">
        <f t="shared" si="4"/>
        <v>Train</v>
      </c>
    </row>
    <row r="288" spans="1:11" x14ac:dyDescent="0.2">
      <c r="A288" t="s">
        <v>308</v>
      </c>
      <c r="B288" s="2">
        <v>40858</v>
      </c>
      <c r="C288" s="3" t="s">
        <v>24</v>
      </c>
      <c r="D288">
        <v>7</v>
      </c>
      <c r="E288">
        <v>11</v>
      </c>
      <c r="F288" t="s">
        <v>44</v>
      </c>
      <c r="G288">
        <v>0</v>
      </c>
      <c r="H288">
        <v>1</v>
      </c>
      <c r="I288">
        <v>0</v>
      </c>
      <c r="J288">
        <v>0</v>
      </c>
      <c r="K288" t="str">
        <f t="shared" si="4"/>
        <v>Train</v>
      </c>
    </row>
    <row r="289" spans="1:11" x14ac:dyDescent="0.2">
      <c r="A289" t="s">
        <v>309</v>
      </c>
      <c r="B289" s="2">
        <v>40859</v>
      </c>
      <c r="C289" s="3" t="s">
        <v>11</v>
      </c>
      <c r="D289">
        <v>1</v>
      </c>
      <c r="E289">
        <v>11</v>
      </c>
      <c r="F289" t="s">
        <v>12</v>
      </c>
      <c r="G289">
        <v>0</v>
      </c>
      <c r="H289">
        <v>0</v>
      </c>
      <c r="I289">
        <v>0</v>
      </c>
      <c r="J289">
        <v>2</v>
      </c>
      <c r="K289" t="str">
        <f t="shared" si="4"/>
        <v>Train</v>
      </c>
    </row>
    <row r="290" spans="1:11" x14ac:dyDescent="0.2">
      <c r="A290" t="s">
        <v>310</v>
      </c>
      <c r="B290" s="2">
        <v>40860</v>
      </c>
      <c r="C290" s="3" t="s">
        <v>14</v>
      </c>
      <c r="D290">
        <v>2</v>
      </c>
      <c r="E290">
        <v>11</v>
      </c>
      <c r="F290" t="s">
        <v>12</v>
      </c>
      <c r="G290">
        <v>0</v>
      </c>
      <c r="H290">
        <v>6</v>
      </c>
      <c r="I290">
        <v>0</v>
      </c>
      <c r="J290">
        <v>0</v>
      </c>
      <c r="K290" t="str">
        <f t="shared" si="4"/>
        <v>Train</v>
      </c>
    </row>
    <row r="291" spans="1:11" x14ac:dyDescent="0.2">
      <c r="A291" t="s">
        <v>311</v>
      </c>
      <c r="B291" s="2">
        <v>40861</v>
      </c>
      <c r="C291" s="3" t="s">
        <v>16</v>
      </c>
      <c r="D291">
        <v>3</v>
      </c>
      <c r="E291">
        <v>11</v>
      </c>
      <c r="F291" t="s">
        <v>12</v>
      </c>
      <c r="G291">
        <v>0</v>
      </c>
      <c r="H291">
        <v>1</v>
      </c>
      <c r="I291">
        <v>1</v>
      </c>
      <c r="J291">
        <v>0</v>
      </c>
      <c r="K291" t="str">
        <f t="shared" si="4"/>
        <v>Train</v>
      </c>
    </row>
    <row r="292" spans="1:11" x14ac:dyDescent="0.2">
      <c r="A292" t="s">
        <v>312</v>
      </c>
      <c r="B292" s="2">
        <v>40862</v>
      </c>
      <c r="C292" s="3" t="s">
        <v>18</v>
      </c>
      <c r="D292">
        <v>4</v>
      </c>
      <c r="E292">
        <v>11</v>
      </c>
      <c r="F292" t="s">
        <v>12</v>
      </c>
      <c r="G292">
        <v>0</v>
      </c>
      <c r="H292">
        <v>0</v>
      </c>
      <c r="I292">
        <v>1</v>
      </c>
      <c r="J292">
        <v>1</v>
      </c>
      <c r="K292" t="str">
        <f t="shared" si="4"/>
        <v>Train</v>
      </c>
    </row>
    <row r="293" spans="1:11" x14ac:dyDescent="0.2">
      <c r="A293" t="s">
        <v>313</v>
      </c>
      <c r="B293" s="2">
        <v>40863</v>
      </c>
      <c r="C293" s="3" t="s">
        <v>20</v>
      </c>
      <c r="D293">
        <v>5</v>
      </c>
      <c r="E293">
        <v>11</v>
      </c>
      <c r="F293" t="s">
        <v>12</v>
      </c>
      <c r="G293">
        <v>0</v>
      </c>
      <c r="H293">
        <v>0</v>
      </c>
      <c r="I293">
        <v>1</v>
      </c>
      <c r="J293">
        <v>0</v>
      </c>
      <c r="K293" t="str">
        <f t="shared" si="4"/>
        <v>Train</v>
      </c>
    </row>
    <row r="294" spans="1:11" x14ac:dyDescent="0.2">
      <c r="A294" t="s">
        <v>314</v>
      </c>
      <c r="B294" s="2">
        <v>40864</v>
      </c>
      <c r="C294" s="3" t="s">
        <v>22</v>
      </c>
      <c r="D294">
        <v>6</v>
      </c>
      <c r="E294">
        <v>11</v>
      </c>
      <c r="F294" t="s">
        <v>12</v>
      </c>
      <c r="G294">
        <v>0</v>
      </c>
      <c r="H294">
        <v>0</v>
      </c>
      <c r="I294">
        <v>1</v>
      </c>
      <c r="J294">
        <v>1</v>
      </c>
      <c r="K294" t="str">
        <f t="shared" si="4"/>
        <v>Train</v>
      </c>
    </row>
    <row r="295" spans="1:11" x14ac:dyDescent="0.2">
      <c r="A295" t="s">
        <v>315</v>
      </c>
      <c r="B295" s="2">
        <v>40865</v>
      </c>
      <c r="C295" s="3" t="s">
        <v>24</v>
      </c>
      <c r="D295">
        <v>7</v>
      </c>
      <c r="E295">
        <v>11</v>
      </c>
      <c r="F295" t="s">
        <v>12</v>
      </c>
      <c r="G295">
        <v>0</v>
      </c>
      <c r="H295">
        <v>1</v>
      </c>
      <c r="I295">
        <v>4</v>
      </c>
      <c r="J295">
        <v>1</v>
      </c>
      <c r="K295" t="str">
        <f t="shared" si="4"/>
        <v>Train</v>
      </c>
    </row>
    <row r="296" spans="1:11" x14ac:dyDescent="0.2">
      <c r="A296" t="s">
        <v>316</v>
      </c>
      <c r="B296" s="2">
        <v>40866</v>
      </c>
      <c r="C296" s="3" t="s">
        <v>11</v>
      </c>
      <c r="D296">
        <v>1</v>
      </c>
      <c r="E296">
        <v>11</v>
      </c>
      <c r="F296" t="s">
        <v>12</v>
      </c>
      <c r="G296">
        <v>0</v>
      </c>
      <c r="H296">
        <v>3</v>
      </c>
      <c r="I296">
        <v>0</v>
      </c>
      <c r="J296">
        <v>3</v>
      </c>
      <c r="K296" t="str">
        <f t="shared" si="4"/>
        <v>Train</v>
      </c>
    </row>
    <row r="297" spans="1:11" x14ac:dyDescent="0.2">
      <c r="A297" t="s">
        <v>317</v>
      </c>
      <c r="B297" s="2">
        <v>40867</v>
      </c>
      <c r="C297" s="3" t="s">
        <v>14</v>
      </c>
      <c r="D297">
        <v>2</v>
      </c>
      <c r="E297">
        <v>11</v>
      </c>
      <c r="F297" t="s">
        <v>12</v>
      </c>
      <c r="G297">
        <v>0</v>
      </c>
      <c r="H297">
        <v>4</v>
      </c>
      <c r="I297">
        <v>2</v>
      </c>
      <c r="J297">
        <v>3</v>
      </c>
      <c r="K297" t="str">
        <f t="shared" si="4"/>
        <v>Train</v>
      </c>
    </row>
    <row r="298" spans="1:11" x14ac:dyDescent="0.2">
      <c r="A298" t="s">
        <v>318</v>
      </c>
      <c r="B298" s="2">
        <v>40868</v>
      </c>
      <c r="C298" s="3" t="s">
        <v>16</v>
      </c>
      <c r="D298">
        <v>3</v>
      </c>
      <c r="E298">
        <v>11</v>
      </c>
      <c r="F298" t="s">
        <v>12</v>
      </c>
      <c r="G298">
        <v>0</v>
      </c>
      <c r="H298">
        <v>0</v>
      </c>
      <c r="I298">
        <v>1</v>
      </c>
      <c r="J298">
        <v>0</v>
      </c>
      <c r="K298" t="str">
        <f t="shared" si="4"/>
        <v>Train</v>
      </c>
    </row>
    <row r="299" spans="1:11" x14ac:dyDescent="0.2">
      <c r="A299" t="s">
        <v>319</v>
      </c>
      <c r="B299" s="2">
        <v>40869</v>
      </c>
      <c r="C299" s="3" t="s">
        <v>18</v>
      </c>
      <c r="D299">
        <v>4</v>
      </c>
      <c r="E299">
        <v>11</v>
      </c>
      <c r="F299" t="s">
        <v>12</v>
      </c>
      <c r="G299">
        <v>0</v>
      </c>
      <c r="H299">
        <v>0</v>
      </c>
      <c r="I299">
        <v>2</v>
      </c>
      <c r="J299">
        <v>1</v>
      </c>
      <c r="K299" t="str">
        <f t="shared" si="4"/>
        <v>Train</v>
      </c>
    </row>
    <row r="300" spans="1:11" x14ac:dyDescent="0.2">
      <c r="A300" t="s">
        <v>320</v>
      </c>
      <c r="B300" s="2">
        <v>40870</v>
      </c>
      <c r="C300" s="3" t="s">
        <v>20</v>
      </c>
      <c r="D300">
        <v>5</v>
      </c>
      <c r="E300">
        <v>11</v>
      </c>
      <c r="F300" t="s">
        <v>12</v>
      </c>
      <c r="G300">
        <v>0</v>
      </c>
      <c r="H300">
        <v>1</v>
      </c>
      <c r="I300">
        <v>1</v>
      </c>
      <c r="J300">
        <v>0</v>
      </c>
      <c r="K300" t="str">
        <f t="shared" si="4"/>
        <v>Train</v>
      </c>
    </row>
    <row r="301" spans="1:11" x14ac:dyDescent="0.2">
      <c r="A301" t="s">
        <v>321</v>
      </c>
      <c r="B301" s="2">
        <v>40871</v>
      </c>
      <c r="C301" s="3" t="s">
        <v>22</v>
      </c>
      <c r="D301">
        <v>6</v>
      </c>
      <c r="E301">
        <v>11</v>
      </c>
      <c r="F301" t="s">
        <v>44</v>
      </c>
      <c r="G301">
        <v>0</v>
      </c>
      <c r="H301">
        <v>0</v>
      </c>
      <c r="I301">
        <v>0</v>
      </c>
      <c r="J301">
        <v>0</v>
      </c>
      <c r="K301" t="str">
        <f t="shared" si="4"/>
        <v>Train</v>
      </c>
    </row>
    <row r="302" spans="1:11" x14ac:dyDescent="0.2">
      <c r="A302" t="s">
        <v>322</v>
      </c>
      <c r="B302" s="2">
        <v>40872</v>
      </c>
      <c r="C302" s="3" t="s">
        <v>24</v>
      </c>
      <c r="D302">
        <v>7</v>
      </c>
      <c r="E302">
        <v>11</v>
      </c>
      <c r="F302" t="s">
        <v>12</v>
      </c>
      <c r="G302">
        <v>0</v>
      </c>
      <c r="H302">
        <v>2</v>
      </c>
      <c r="I302">
        <v>1</v>
      </c>
      <c r="J302">
        <v>2</v>
      </c>
      <c r="K302" t="str">
        <f t="shared" si="4"/>
        <v>Validation</v>
      </c>
    </row>
    <row r="303" spans="1:11" x14ac:dyDescent="0.2">
      <c r="A303" t="s">
        <v>323</v>
      </c>
      <c r="B303" s="2">
        <v>40873</v>
      </c>
      <c r="C303" s="3" t="s">
        <v>11</v>
      </c>
      <c r="D303">
        <v>1</v>
      </c>
      <c r="E303">
        <v>11</v>
      </c>
      <c r="F303" t="s">
        <v>12</v>
      </c>
      <c r="G303">
        <v>0</v>
      </c>
      <c r="H303">
        <v>0</v>
      </c>
      <c r="I303">
        <v>0</v>
      </c>
      <c r="J303">
        <v>0</v>
      </c>
      <c r="K303" t="str">
        <f t="shared" si="4"/>
        <v>Validation</v>
      </c>
    </row>
    <row r="304" spans="1:11" x14ac:dyDescent="0.2">
      <c r="A304" t="s">
        <v>324</v>
      </c>
      <c r="B304" s="2">
        <v>40874</v>
      </c>
      <c r="C304" s="3" t="s">
        <v>14</v>
      </c>
      <c r="D304">
        <v>2</v>
      </c>
      <c r="E304">
        <v>11</v>
      </c>
      <c r="F304" t="s">
        <v>12</v>
      </c>
      <c r="G304">
        <v>0</v>
      </c>
      <c r="H304">
        <v>0</v>
      </c>
      <c r="I304">
        <v>1</v>
      </c>
      <c r="J304">
        <v>0</v>
      </c>
      <c r="K304" t="str">
        <f t="shared" si="4"/>
        <v>Validation</v>
      </c>
    </row>
    <row r="305" spans="1:11" x14ac:dyDescent="0.2">
      <c r="A305" t="s">
        <v>325</v>
      </c>
      <c r="B305" s="2">
        <v>40875</v>
      </c>
      <c r="C305" s="3" t="s">
        <v>16</v>
      </c>
      <c r="D305">
        <v>3</v>
      </c>
      <c r="E305">
        <v>11</v>
      </c>
      <c r="F305" t="s">
        <v>12</v>
      </c>
      <c r="G305">
        <v>0</v>
      </c>
      <c r="H305">
        <v>1</v>
      </c>
      <c r="I305">
        <v>1</v>
      </c>
      <c r="J305">
        <v>0</v>
      </c>
      <c r="K305" t="str">
        <f t="shared" si="4"/>
        <v>Validation</v>
      </c>
    </row>
    <row r="306" spans="1:11" x14ac:dyDescent="0.2">
      <c r="A306" t="s">
        <v>326</v>
      </c>
      <c r="B306" s="2">
        <v>40876</v>
      </c>
      <c r="C306" s="3" t="s">
        <v>18</v>
      </c>
      <c r="D306">
        <v>4</v>
      </c>
      <c r="E306">
        <v>11</v>
      </c>
      <c r="F306" t="s">
        <v>12</v>
      </c>
      <c r="G306">
        <v>0</v>
      </c>
      <c r="H306">
        <v>0</v>
      </c>
      <c r="I306">
        <v>0</v>
      </c>
      <c r="J306">
        <v>0</v>
      </c>
      <c r="K306" t="str">
        <f t="shared" si="4"/>
        <v>Validation</v>
      </c>
    </row>
    <row r="307" spans="1:11" x14ac:dyDescent="0.2">
      <c r="A307" t="s">
        <v>327</v>
      </c>
      <c r="B307" s="2">
        <v>40877</v>
      </c>
      <c r="C307" s="3" t="s">
        <v>20</v>
      </c>
      <c r="D307">
        <v>5</v>
      </c>
      <c r="E307">
        <v>11</v>
      </c>
      <c r="F307" t="s">
        <v>12</v>
      </c>
      <c r="G307">
        <v>0</v>
      </c>
      <c r="H307">
        <v>8</v>
      </c>
      <c r="I307">
        <v>0</v>
      </c>
      <c r="J307">
        <v>2</v>
      </c>
      <c r="K307" t="str">
        <f t="shared" si="4"/>
        <v>Validation</v>
      </c>
    </row>
    <row r="308" spans="1:11" x14ac:dyDescent="0.2">
      <c r="A308" t="s">
        <v>328</v>
      </c>
      <c r="B308" s="2">
        <v>40878</v>
      </c>
      <c r="C308" s="3" t="s">
        <v>22</v>
      </c>
      <c r="D308">
        <v>6</v>
      </c>
      <c r="E308">
        <v>12</v>
      </c>
      <c r="F308" t="s">
        <v>12</v>
      </c>
      <c r="G308">
        <v>1</v>
      </c>
      <c r="H308">
        <v>3</v>
      </c>
      <c r="I308">
        <v>0</v>
      </c>
      <c r="J308">
        <v>1</v>
      </c>
      <c r="K308" t="str">
        <f t="shared" si="4"/>
        <v>Validation</v>
      </c>
    </row>
    <row r="309" spans="1:11" x14ac:dyDescent="0.2">
      <c r="A309" t="s">
        <v>329</v>
      </c>
      <c r="B309" s="2">
        <v>40879</v>
      </c>
      <c r="C309" s="3" t="s">
        <v>24</v>
      </c>
      <c r="D309">
        <v>7</v>
      </c>
      <c r="E309">
        <v>12</v>
      </c>
      <c r="F309" t="s">
        <v>12</v>
      </c>
      <c r="G309">
        <v>1</v>
      </c>
      <c r="H309">
        <v>1</v>
      </c>
      <c r="I309">
        <v>2</v>
      </c>
      <c r="J309">
        <v>0</v>
      </c>
      <c r="K309" t="str">
        <f t="shared" si="4"/>
        <v>Validation</v>
      </c>
    </row>
    <row r="310" spans="1:11" x14ac:dyDescent="0.2">
      <c r="A310" t="s">
        <v>330</v>
      </c>
      <c r="B310" s="2">
        <v>40880</v>
      </c>
      <c r="C310" s="3" t="s">
        <v>11</v>
      </c>
      <c r="D310">
        <v>1</v>
      </c>
      <c r="E310">
        <v>12</v>
      </c>
      <c r="F310" t="s">
        <v>12</v>
      </c>
      <c r="G310">
        <v>1</v>
      </c>
      <c r="H310">
        <v>1</v>
      </c>
      <c r="I310">
        <v>2</v>
      </c>
      <c r="J310">
        <v>1</v>
      </c>
      <c r="K310" t="str">
        <f t="shared" si="4"/>
        <v>Validation</v>
      </c>
    </row>
    <row r="311" spans="1:11" x14ac:dyDescent="0.2">
      <c r="A311" t="s">
        <v>331</v>
      </c>
      <c r="B311" s="2">
        <v>40881</v>
      </c>
      <c r="C311" s="3" t="s">
        <v>14</v>
      </c>
      <c r="D311">
        <v>2</v>
      </c>
      <c r="E311">
        <v>12</v>
      </c>
      <c r="F311" t="s">
        <v>12</v>
      </c>
      <c r="G311">
        <v>1</v>
      </c>
      <c r="H311">
        <v>5</v>
      </c>
      <c r="I311">
        <v>1</v>
      </c>
      <c r="J311">
        <v>2</v>
      </c>
      <c r="K311" t="str">
        <f t="shared" si="4"/>
        <v>Validation</v>
      </c>
    </row>
    <row r="312" spans="1:11" x14ac:dyDescent="0.2">
      <c r="A312" t="s">
        <v>332</v>
      </c>
      <c r="B312" s="2">
        <v>40882</v>
      </c>
      <c r="C312" s="3" t="s">
        <v>16</v>
      </c>
      <c r="D312">
        <v>3</v>
      </c>
      <c r="E312">
        <v>12</v>
      </c>
      <c r="F312" t="s">
        <v>12</v>
      </c>
      <c r="G312">
        <v>1</v>
      </c>
      <c r="H312">
        <v>3</v>
      </c>
      <c r="I312">
        <v>2</v>
      </c>
      <c r="J312">
        <v>0</v>
      </c>
      <c r="K312" t="str">
        <f t="shared" si="4"/>
        <v>Validation</v>
      </c>
    </row>
    <row r="313" spans="1:11" x14ac:dyDescent="0.2">
      <c r="A313" t="s">
        <v>333</v>
      </c>
      <c r="B313" s="2">
        <v>40883</v>
      </c>
      <c r="C313" s="3" t="s">
        <v>18</v>
      </c>
      <c r="D313">
        <v>4</v>
      </c>
      <c r="E313">
        <v>12</v>
      </c>
      <c r="F313" t="s">
        <v>12</v>
      </c>
      <c r="G313">
        <v>1</v>
      </c>
      <c r="H313">
        <v>2</v>
      </c>
      <c r="I313">
        <v>3</v>
      </c>
      <c r="J313">
        <v>1</v>
      </c>
      <c r="K313" t="str">
        <f t="shared" si="4"/>
        <v>Validation</v>
      </c>
    </row>
    <row r="314" spans="1:11" x14ac:dyDescent="0.2">
      <c r="A314" t="s">
        <v>334</v>
      </c>
      <c r="B314" s="2">
        <v>40884</v>
      </c>
      <c r="C314" s="3" t="s">
        <v>20</v>
      </c>
      <c r="D314">
        <v>5</v>
      </c>
      <c r="E314">
        <v>12</v>
      </c>
      <c r="F314" t="s">
        <v>12</v>
      </c>
      <c r="G314">
        <v>1</v>
      </c>
      <c r="H314">
        <v>0</v>
      </c>
      <c r="I314">
        <v>0</v>
      </c>
      <c r="J314">
        <v>0</v>
      </c>
      <c r="K314" t="str">
        <f t="shared" si="4"/>
        <v>Validation</v>
      </c>
    </row>
    <row r="315" spans="1:11" x14ac:dyDescent="0.2">
      <c r="A315" t="s">
        <v>335</v>
      </c>
      <c r="B315" s="2">
        <v>40885</v>
      </c>
      <c r="C315" s="3" t="s">
        <v>22</v>
      </c>
      <c r="D315">
        <v>6</v>
      </c>
      <c r="E315">
        <v>12</v>
      </c>
      <c r="F315" t="s">
        <v>12</v>
      </c>
      <c r="G315">
        <v>1</v>
      </c>
      <c r="H315">
        <v>1</v>
      </c>
      <c r="I315">
        <v>2</v>
      </c>
      <c r="J315">
        <v>0</v>
      </c>
      <c r="K315" t="str">
        <f t="shared" si="4"/>
        <v>Validation</v>
      </c>
    </row>
    <row r="316" spans="1:11" x14ac:dyDescent="0.2">
      <c r="A316" t="s">
        <v>336</v>
      </c>
      <c r="B316" s="2">
        <v>40886</v>
      </c>
      <c r="C316" s="3" t="s">
        <v>24</v>
      </c>
      <c r="D316">
        <v>7</v>
      </c>
      <c r="E316">
        <v>12</v>
      </c>
      <c r="F316" t="s">
        <v>12</v>
      </c>
      <c r="G316">
        <v>1</v>
      </c>
      <c r="H316">
        <v>0</v>
      </c>
      <c r="I316">
        <v>0</v>
      </c>
      <c r="J316">
        <v>0</v>
      </c>
      <c r="K316" t="str">
        <f t="shared" si="4"/>
        <v>Validation</v>
      </c>
    </row>
    <row r="317" spans="1:11" x14ac:dyDescent="0.2">
      <c r="A317" t="s">
        <v>337</v>
      </c>
      <c r="B317" s="2">
        <v>40887</v>
      </c>
      <c r="C317" s="3" t="s">
        <v>11</v>
      </c>
      <c r="D317">
        <v>1</v>
      </c>
      <c r="E317">
        <v>12</v>
      </c>
      <c r="F317" t="s">
        <v>12</v>
      </c>
      <c r="G317">
        <v>1</v>
      </c>
      <c r="H317">
        <v>0</v>
      </c>
      <c r="I317">
        <v>0</v>
      </c>
      <c r="J317">
        <v>2</v>
      </c>
      <c r="K317" t="str">
        <f t="shared" si="4"/>
        <v>Validation</v>
      </c>
    </row>
    <row r="318" spans="1:11" x14ac:dyDescent="0.2">
      <c r="A318" t="s">
        <v>338</v>
      </c>
      <c r="B318" s="2">
        <v>40888</v>
      </c>
      <c r="C318" s="3" t="s">
        <v>14</v>
      </c>
      <c r="D318">
        <v>2</v>
      </c>
      <c r="E318">
        <v>12</v>
      </c>
      <c r="F318" t="s">
        <v>12</v>
      </c>
      <c r="G318">
        <v>0</v>
      </c>
      <c r="H318">
        <v>2</v>
      </c>
      <c r="I318">
        <v>0</v>
      </c>
      <c r="J318">
        <v>1</v>
      </c>
      <c r="K318" t="str">
        <f t="shared" si="4"/>
        <v>Validation</v>
      </c>
    </row>
    <row r="319" spans="1:11" x14ac:dyDescent="0.2">
      <c r="A319" t="s">
        <v>339</v>
      </c>
      <c r="B319" s="2">
        <v>40889</v>
      </c>
      <c r="C319" s="3" t="s">
        <v>16</v>
      </c>
      <c r="D319">
        <v>3</v>
      </c>
      <c r="E319">
        <v>12</v>
      </c>
      <c r="F319" t="s">
        <v>12</v>
      </c>
      <c r="G319">
        <v>0</v>
      </c>
      <c r="H319">
        <v>0</v>
      </c>
      <c r="I319">
        <v>0</v>
      </c>
      <c r="J319">
        <v>0</v>
      </c>
      <c r="K319" t="str">
        <f t="shared" si="4"/>
        <v>Validation</v>
      </c>
    </row>
    <row r="320" spans="1:11" x14ac:dyDescent="0.2">
      <c r="A320" t="s">
        <v>340</v>
      </c>
      <c r="B320" s="2">
        <v>40890</v>
      </c>
      <c r="C320" s="3" t="s">
        <v>18</v>
      </c>
      <c r="D320">
        <v>4</v>
      </c>
      <c r="E320">
        <v>12</v>
      </c>
      <c r="F320" t="s">
        <v>12</v>
      </c>
      <c r="G320">
        <v>0</v>
      </c>
      <c r="H320">
        <v>1</v>
      </c>
      <c r="I320">
        <v>2</v>
      </c>
      <c r="J320">
        <v>2</v>
      </c>
      <c r="K320" t="str">
        <f t="shared" si="4"/>
        <v>Validation</v>
      </c>
    </row>
    <row r="321" spans="1:11" x14ac:dyDescent="0.2">
      <c r="A321" t="s">
        <v>341</v>
      </c>
      <c r="B321" s="2">
        <v>40891</v>
      </c>
      <c r="C321" s="3" t="s">
        <v>20</v>
      </c>
      <c r="D321">
        <v>5</v>
      </c>
      <c r="E321">
        <v>12</v>
      </c>
      <c r="F321" t="s">
        <v>12</v>
      </c>
      <c r="G321">
        <v>0</v>
      </c>
      <c r="H321">
        <v>0</v>
      </c>
      <c r="I321">
        <v>1</v>
      </c>
      <c r="J321">
        <v>2</v>
      </c>
      <c r="K321" t="str">
        <f t="shared" si="4"/>
        <v>Validation</v>
      </c>
    </row>
    <row r="322" spans="1:11" x14ac:dyDescent="0.2">
      <c r="A322" t="s">
        <v>342</v>
      </c>
      <c r="B322" s="2">
        <v>40892</v>
      </c>
      <c r="C322" s="3" t="s">
        <v>22</v>
      </c>
      <c r="D322">
        <v>6</v>
      </c>
      <c r="E322">
        <v>12</v>
      </c>
      <c r="F322" t="s">
        <v>12</v>
      </c>
      <c r="G322">
        <v>0</v>
      </c>
      <c r="H322">
        <v>1</v>
      </c>
      <c r="I322">
        <v>1</v>
      </c>
      <c r="J322">
        <v>1</v>
      </c>
      <c r="K322" t="str">
        <f t="shared" ref="K322:K366" si="5">IF(ROW()-1&lt;=300,"Train","Validation")</f>
        <v>Validation</v>
      </c>
    </row>
    <row r="323" spans="1:11" x14ac:dyDescent="0.2">
      <c r="A323" t="s">
        <v>343</v>
      </c>
      <c r="B323" s="2">
        <v>40893</v>
      </c>
      <c r="C323" s="3" t="s">
        <v>24</v>
      </c>
      <c r="D323">
        <v>7</v>
      </c>
      <c r="E323">
        <v>12</v>
      </c>
      <c r="F323" t="s">
        <v>12</v>
      </c>
      <c r="G323">
        <v>0</v>
      </c>
      <c r="H323">
        <v>2</v>
      </c>
      <c r="I323">
        <v>0</v>
      </c>
      <c r="J323">
        <v>1</v>
      </c>
      <c r="K323" t="str">
        <f t="shared" si="5"/>
        <v>Validation</v>
      </c>
    </row>
    <row r="324" spans="1:11" x14ac:dyDescent="0.2">
      <c r="A324" t="s">
        <v>344</v>
      </c>
      <c r="B324" s="2">
        <v>40894</v>
      </c>
      <c r="C324" s="3" t="s">
        <v>11</v>
      </c>
      <c r="D324">
        <v>1</v>
      </c>
      <c r="E324">
        <v>12</v>
      </c>
      <c r="F324" t="s">
        <v>12</v>
      </c>
      <c r="G324">
        <v>0</v>
      </c>
      <c r="H324">
        <v>2</v>
      </c>
      <c r="I324">
        <v>0</v>
      </c>
      <c r="J324">
        <v>6</v>
      </c>
      <c r="K324" t="str">
        <f t="shared" si="5"/>
        <v>Validation</v>
      </c>
    </row>
    <row r="325" spans="1:11" x14ac:dyDescent="0.2">
      <c r="A325" t="s">
        <v>345</v>
      </c>
      <c r="B325" s="2">
        <v>40895</v>
      </c>
      <c r="C325" s="3" t="s">
        <v>14</v>
      </c>
      <c r="D325">
        <v>2</v>
      </c>
      <c r="E325">
        <v>12</v>
      </c>
      <c r="F325" t="s">
        <v>12</v>
      </c>
      <c r="G325">
        <v>0</v>
      </c>
      <c r="H325">
        <v>6</v>
      </c>
      <c r="I325">
        <v>2</v>
      </c>
      <c r="J325">
        <v>0</v>
      </c>
      <c r="K325" t="str">
        <f t="shared" si="5"/>
        <v>Validation</v>
      </c>
    </row>
    <row r="326" spans="1:11" x14ac:dyDescent="0.2">
      <c r="A326" t="s">
        <v>346</v>
      </c>
      <c r="B326" s="2">
        <v>40896</v>
      </c>
      <c r="C326" s="3" t="s">
        <v>16</v>
      </c>
      <c r="D326">
        <v>3</v>
      </c>
      <c r="E326">
        <v>12</v>
      </c>
      <c r="F326" t="s">
        <v>12</v>
      </c>
      <c r="G326">
        <v>0</v>
      </c>
      <c r="H326">
        <v>2</v>
      </c>
      <c r="I326">
        <v>4</v>
      </c>
      <c r="J326">
        <v>1</v>
      </c>
      <c r="K326" t="str">
        <f t="shared" si="5"/>
        <v>Validation</v>
      </c>
    </row>
    <row r="327" spans="1:11" x14ac:dyDescent="0.2">
      <c r="A327" t="s">
        <v>347</v>
      </c>
      <c r="B327" s="2">
        <v>40897</v>
      </c>
      <c r="C327" s="3" t="s">
        <v>18</v>
      </c>
      <c r="D327">
        <v>4</v>
      </c>
      <c r="E327">
        <v>12</v>
      </c>
      <c r="F327" t="s">
        <v>12</v>
      </c>
      <c r="G327">
        <v>0</v>
      </c>
      <c r="H327">
        <v>3</v>
      </c>
      <c r="I327">
        <v>1</v>
      </c>
      <c r="J327">
        <v>0</v>
      </c>
      <c r="K327" t="str">
        <f t="shared" si="5"/>
        <v>Validation</v>
      </c>
    </row>
    <row r="328" spans="1:11" x14ac:dyDescent="0.2">
      <c r="A328" t="s">
        <v>348</v>
      </c>
      <c r="B328" s="2">
        <v>40898</v>
      </c>
      <c r="C328" s="3" t="s">
        <v>20</v>
      </c>
      <c r="D328">
        <v>5</v>
      </c>
      <c r="E328">
        <v>12</v>
      </c>
      <c r="F328" t="s">
        <v>12</v>
      </c>
      <c r="G328">
        <v>0</v>
      </c>
      <c r="H328">
        <v>5</v>
      </c>
      <c r="I328">
        <v>0</v>
      </c>
      <c r="J328">
        <v>0</v>
      </c>
      <c r="K328" t="str">
        <f t="shared" si="5"/>
        <v>Validation</v>
      </c>
    </row>
    <row r="329" spans="1:11" x14ac:dyDescent="0.2">
      <c r="A329" t="s">
        <v>349</v>
      </c>
      <c r="B329" s="2">
        <v>40899</v>
      </c>
      <c r="C329" s="3" t="s">
        <v>22</v>
      </c>
      <c r="D329">
        <v>6</v>
      </c>
      <c r="E329">
        <v>12</v>
      </c>
      <c r="F329" t="s">
        <v>12</v>
      </c>
      <c r="G329">
        <v>0</v>
      </c>
      <c r="H329">
        <v>3</v>
      </c>
      <c r="I329">
        <v>0</v>
      </c>
      <c r="J329">
        <v>2</v>
      </c>
      <c r="K329" t="str">
        <f t="shared" si="5"/>
        <v>Validation</v>
      </c>
    </row>
    <row r="330" spans="1:11" x14ac:dyDescent="0.2">
      <c r="A330" t="s">
        <v>350</v>
      </c>
      <c r="B330" s="2">
        <v>40900</v>
      </c>
      <c r="C330" s="3" t="s">
        <v>24</v>
      </c>
      <c r="D330">
        <v>7</v>
      </c>
      <c r="E330">
        <v>12</v>
      </c>
      <c r="F330" t="s">
        <v>12</v>
      </c>
      <c r="G330">
        <v>0</v>
      </c>
      <c r="H330">
        <v>5</v>
      </c>
      <c r="I330">
        <v>1</v>
      </c>
      <c r="J330">
        <v>0</v>
      </c>
      <c r="K330" t="str">
        <f t="shared" si="5"/>
        <v>Validation</v>
      </c>
    </row>
    <row r="331" spans="1:11" x14ac:dyDescent="0.2">
      <c r="A331" t="s">
        <v>351</v>
      </c>
      <c r="B331" s="2">
        <v>40901</v>
      </c>
      <c r="C331" s="3" t="s">
        <v>11</v>
      </c>
      <c r="D331">
        <v>1</v>
      </c>
      <c r="E331">
        <v>12</v>
      </c>
      <c r="F331" t="s">
        <v>12</v>
      </c>
      <c r="G331">
        <v>0</v>
      </c>
      <c r="H331">
        <v>1</v>
      </c>
      <c r="I331">
        <v>2</v>
      </c>
      <c r="J331">
        <v>0</v>
      </c>
      <c r="K331" t="str">
        <f t="shared" si="5"/>
        <v>Validation</v>
      </c>
    </row>
    <row r="332" spans="1:11" x14ac:dyDescent="0.2">
      <c r="A332" t="s">
        <v>352</v>
      </c>
      <c r="B332" s="2">
        <v>40902</v>
      </c>
      <c r="C332" s="3" t="s">
        <v>14</v>
      </c>
      <c r="D332">
        <v>2</v>
      </c>
      <c r="E332">
        <v>12</v>
      </c>
      <c r="F332" t="s">
        <v>44</v>
      </c>
      <c r="G332">
        <v>0</v>
      </c>
      <c r="H332">
        <v>0</v>
      </c>
      <c r="I332">
        <v>0</v>
      </c>
      <c r="J332">
        <v>0</v>
      </c>
      <c r="K332" t="str">
        <f t="shared" si="5"/>
        <v>Validation</v>
      </c>
    </row>
    <row r="333" spans="1:11" x14ac:dyDescent="0.2">
      <c r="A333" t="s">
        <v>353</v>
      </c>
      <c r="B333" s="2">
        <v>40903</v>
      </c>
      <c r="C333" s="3" t="s">
        <v>16</v>
      </c>
      <c r="D333">
        <v>3</v>
      </c>
      <c r="E333">
        <v>12</v>
      </c>
      <c r="F333" t="s">
        <v>12</v>
      </c>
      <c r="G333">
        <v>0</v>
      </c>
      <c r="H333">
        <v>1</v>
      </c>
      <c r="I333">
        <v>0</v>
      </c>
      <c r="J333">
        <v>0</v>
      </c>
      <c r="K333" t="str">
        <f t="shared" si="5"/>
        <v>Validation</v>
      </c>
    </row>
    <row r="334" spans="1:11" x14ac:dyDescent="0.2">
      <c r="A334" t="s">
        <v>354</v>
      </c>
      <c r="B334" s="2">
        <v>40904</v>
      </c>
      <c r="C334" s="3" t="s">
        <v>18</v>
      </c>
      <c r="D334">
        <v>4</v>
      </c>
      <c r="E334">
        <v>12</v>
      </c>
      <c r="F334" t="s">
        <v>12</v>
      </c>
      <c r="G334">
        <v>0</v>
      </c>
      <c r="H334">
        <v>1</v>
      </c>
      <c r="I334">
        <v>1</v>
      </c>
      <c r="J334">
        <v>0</v>
      </c>
      <c r="K334" t="str">
        <f t="shared" si="5"/>
        <v>Validation</v>
      </c>
    </row>
    <row r="335" spans="1:11" x14ac:dyDescent="0.2">
      <c r="A335" t="s">
        <v>355</v>
      </c>
      <c r="B335" s="2">
        <v>40905</v>
      </c>
      <c r="C335" s="3" t="s">
        <v>20</v>
      </c>
      <c r="D335">
        <v>5</v>
      </c>
      <c r="E335">
        <v>12</v>
      </c>
      <c r="F335" t="s">
        <v>61</v>
      </c>
      <c r="G335">
        <v>0</v>
      </c>
      <c r="H335">
        <v>1</v>
      </c>
      <c r="I335">
        <v>0</v>
      </c>
      <c r="J335">
        <v>0</v>
      </c>
      <c r="K335" t="str">
        <f t="shared" si="5"/>
        <v>Validation</v>
      </c>
    </row>
    <row r="336" spans="1:11" x14ac:dyDescent="0.2">
      <c r="A336" t="s">
        <v>356</v>
      </c>
      <c r="B336" s="2">
        <v>40906</v>
      </c>
      <c r="C336" s="3" t="s">
        <v>22</v>
      </c>
      <c r="D336">
        <v>6</v>
      </c>
      <c r="E336">
        <v>12</v>
      </c>
      <c r="F336" t="s">
        <v>12</v>
      </c>
      <c r="G336">
        <v>0</v>
      </c>
      <c r="H336">
        <v>0</v>
      </c>
      <c r="I336">
        <v>1</v>
      </c>
      <c r="J336">
        <v>0</v>
      </c>
      <c r="K336" t="str">
        <f t="shared" si="5"/>
        <v>Validation</v>
      </c>
    </row>
    <row r="337" spans="1:11" x14ac:dyDescent="0.2">
      <c r="A337" t="s">
        <v>357</v>
      </c>
      <c r="B337" s="2">
        <v>40907</v>
      </c>
      <c r="C337" s="3" t="s">
        <v>24</v>
      </c>
      <c r="D337">
        <v>7</v>
      </c>
      <c r="E337">
        <v>12</v>
      </c>
      <c r="F337" t="s">
        <v>12</v>
      </c>
      <c r="G337">
        <v>0</v>
      </c>
      <c r="H337">
        <v>0</v>
      </c>
      <c r="I337">
        <v>0</v>
      </c>
      <c r="J337">
        <v>1</v>
      </c>
      <c r="K337" t="str">
        <f t="shared" si="5"/>
        <v>Validation</v>
      </c>
    </row>
    <row r="338" spans="1:11" x14ac:dyDescent="0.2">
      <c r="A338" t="s">
        <v>358</v>
      </c>
      <c r="B338" s="2">
        <v>40908</v>
      </c>
      <c r="C338" s="3" t="s">
        <v>11</v>
      </c>
      <c r="D338">
        <v>1</v>
      </c>
      <c r="E338">
        <v>12</v>
      </c>
      <c r="F338" t="s">
        <v>12</v>
      </c>
      <c r="G338">
        <v>0</v>
      </c>
      <c r="H338">
        <v>2</v>
      </c>
      <c r="I338">
        <v>1</v>
      </c>
      <c r="J338">
        <v>1</v>
      </c>
      <c r="K338" t="str">
        <f t="shared" si="5"/>
        <v>Validation</v>
      </c>
    </row>
    <row r="339" spans="1:11" x14ac:dyDescent="0.2">
      <c r="A339" t="s">
        <v>359</v>
      </c>
      <c r="B339" s="2">
        <v>40909</v>
      </c>
      <c r="C339" s="3" t="s">
        <v>14</v>
      </c>
      <c r="D339">
        <v>2</v>
      </c>
      <c r="E339">
        <v>1</v>
      </c>
      <c r="F339" t="s">
        <v>44</v>
      </c>
      <c r="G339">
        <v>1</v>
      </c>
      <c r="H339">
        <v>2</v>
      </c>
      <c r="I339">
        <v>0</v>
      </c>
      <c r="J339">
        <v>0</v>
      </c>
      <c r="K339" t="str">
        <f t="shared" si="5"/>
        <v>Validation</v>
      </c>
    </row>
    <row r="340" spans="1:11" x14ac:dyDescent="0.2">
      <c r="A340" t="s">
        <v>360</v>
      </c>
      <c r="B340" s="2">
        <v>40910</v>
      </c>
      <c r="C340" s="3" t="s">
        <v>16</v>
      </c>
      <c r="D340">
        <v>3</v>
      </c>
      <c r="E340">
        <v>1</v>
      </c>
      <c r="F340" t="s">
        <v>12</v>
      </c>
      <c r="G340">
        <v>1</v>
      </c>
      <c r="H340">
        <v>0</v>
      </c>
      <c r="I340">
        <v>2</v>
      </c>
      <c r="J340">
        <v>0</v>
      </c>
      <c r="K340" t="str">
        <f t="shared" si="5"/>
        <v>Validation</v>
      </c>
    </row>
    <row r="341" spans="1:11" x14ac:dyDescent="0.2">
      <c r="A341" t="s">
        <v>361</v>
      </c>
      <c r="B341" s="2">
        <v>40911</v>
      </c>
      <c r="C341" s="3" t="s">
        <v>18</v>
      </c>
      <c r="D341">
        <v>4</v>
      </c>
      <c r="E341">
        <v>1</v>
      </c>
      <c r="F341" t="s">
        <v>12</v>
      </c>
      <c r="G341">
        <v>1</v>
      </c>
      <c r="H341">
        <v>0</v>
      </c>
      <c r="I341">
        <v>0</v>
      </c>
      <c r="J341">
        <v>0</v>
      </c>
      <c r="K341" t="str">
        <f t="shared" si="5"/>
        <v>Validation</v>
      </c>
    </row>
    <row r="342" spans="1:11" x14ac:dyDescent="0.2">
      <c r="A342" t="s">
        <v>362</v>
      </c>
      <c r="B342" s="2">
        <v>40912</v>
      </c>
      <c r="C342" s="3" t="s">
        <v>20</v>
      </c>
      <c r="D342">
        <v>5</v>
      </c>
      <c r="E342">
        <v>1</v>
      </c>
      <c r="F342" t="s">
        <v>12</v>
      </c>
      <c r="G342">
        <v>1</v>
      </c>
      <c r="H342">
        <v>1</v>
      </c>
      <c r="I342">
        <v>2</v>
      </c>
      <c r="J342">
        <v>0</v>
      </c>
      <c r="K342" t="str">
        <f t="shared" si="5"/>
        <v>Validation</v>
      </c>
    </row>
    <row r="343" spans="1:11" x14ac:dyDescent="0.2">
      <c r="A343" t="s">
        <v>363</v>
      </c>
      <c r="B343" s="2">
        <v>40913</v>
      </c>
      <c r="C343" s="3" t="s">
        <v>22</v>
      </c>
      <c r="D343">
        <v>6</v>
      </c>
      <c r="E343">
        <v>1</v>
      </c>
      <c r="F343" t="s">
        <v>12</v>
      </c>
      <c r="G343">
        <v>1</v>
      </c>
      <c r="H343">
        <v>1</v>
      </c>
      <c r="I343">
        <v>0</v>
      </c>
      <c r="J343">
        <v>1</v>
      </c>
      <c r="K343" t="str">
        <f t="shared" si="5"/>
        <v>Validation</v>
      </c>
    </row>
    <row r="344" spans="1:11" x14ac:dyDescent="0.2">
      <c r="A344" t="s">
        <v>364</v>
      </c>
      <c r="B344" s="2">
        <v>40914</v>
      </c>
      <c r="C344" s="3" t="s">
        <v>24</v>
      </c>
      <c r="D344">
        <v>7</v>
      </c>
      <c r="E344">
        <v>1</v>
      </c>
      <c r="F344" t="s">
        <v>12</v>
      </c>
      <c r="G344">
        <v>1</v>
      </c>
      <c r="H344">
        <v>0</v>
      </c>
      <c r="I344">
        <v>0</v>
      </c>
      <c r="J344">
        <v>0</v>
      </c>
      <c r="K344" t="str">
        <f t="shared" si="5"/>
        <v>Validation</v>
      </c>
    </row>
    <row r="345" spans="1:11" x14ac:dyDescent="0.2">
      <c r="A345" t="s">
        <v>365</v>
      </c>
      <c r="B345" s="2">
        <v>40915</v>
      </c>
      <c r="C345" s="3" t="s">
        <v>11</v>
      </c>
      <c r="D345">
        <v>1</v>
      </c>
      <c r="E345">
        <v>1</v>
      </c>
      <c r="F345" t="s">
        <v>61</v>
      </c>
      <c r="G345">
        <v>1</v>
      </c>
      <c r="H345">
        <v>1</v>
      </c>
      <c r="I345">
        <v>0</v>
      </c>
      <c r="J345">
        <v>0</v>
      </c>
      <c r="K345" t="str">
        <f t="shared" si="5"/>
        <v>Validation</v>
      </c>
    </row>
    <row r="346" spans="1:11" x14ac:dyDescent="0.2">
      <c r="A346" t="s">
        <v>366</v>
      </c>
      <c r="B346" s="2">
        <v>40916</v>
      </c>
      <c r="C346" s="3" t="s">
        <v>14</v>
      </c>
      <c r="D346">
        <v>2</v>
      </c>
      <c r="E346">
        <v>1</v>
      </c>
      <c r="F346" t="s">
        <v>12</v>
      </c>
      <c r="G346">
        <v>1</v>
      </c>
      <c r="H346">
        <v>0</v>
      </c>
      <c r="I346">
        <v>4</v>
      </c>
      <c r="J346">
        <v>0</v>
      </c>
      <c r="K346" t="str">
        <f t="shared" si="5"/>
        <v>Validation</v>
      </c>
    </row>
    <row r="347" spans="1:11" x14ac:dyDescent="0.2">
      <c r="A347" t="s">
        <v>367</v>
      </c>
      <c r="B347" s="2">
        <v>40917</v>
      </c>
      <c r="C347" s="3" t="s">
        <v>16</v>
      </c>
      <c r="D347">
        <v>3</v>
      </c>
      <c r="E347">
        <v>1</v>
      </c>
      <c r="F347" t="s">
        <v>12</v>
      </c>
      <c r="G347">
        <v>1</v>
      </c>
      <c r="H347">
        <v>0</v>
      </c>
      <c r="I347">
        <v>2</v>
      </c>
      <c r="J347">
        <v>0</v>
      </c>
      <c r="K347" t="str">
        <f t="shared" si="5"/>
        <v>Validation</v>
      </c>
    </row>
    <row r="348" spans="1:11" x14ac:dyDescent="0.2">
      <c r="A348" t="s">
        <v>368</v>
      </c>
      <c r="B348" s="2">
        <v>40918</v>
      </c>
      <c r="C348" s="3" t="s">
        <v>18</v>
      </c>
      <c r="D348">
        <v>4</v>
      </c>
      <c r="E348">
        <v>1</v>
      </c>
      <c r="F348" t="s">
        <v>12</v>
      </c>
      <c r="G348">
        <v>1</v>
      </c>
      <c r="H348">
        <v>0</v>
      </c>
      <c r="I348">
        <v>0</v>
      </c>
      <c r="J348">
        <v>1</v>
      </c>
      <c r="K348" t="str">
        <f t="shared" si="5"/>
        <v>Validation</v>
      </c>
    </row>
    <row r="349" spans="1:11" x14ac:dyDescent="0.2">
      <c r="A349" t="s">
        <v>369</v>
      </c>
      <c r="B349" s="2">
        <v>40919</v>
      </c>
      <c r="C349" s="3" t="s">
        <v>20</v>
      </c>
      <c r="D349">
        <v>5</v>
      </c>
      <c r="E349">
        <v>1</v>
      </c>
      <c r="F349" t="s">
        <v>12</v>
      </c>
      <c r="G349">
        <v>0</v>
      </c>
      <c r="H349">
        <v>2</v>
      </c>
      <c r="I349">
        <v>2</v>
      </c>
      <c r="J349">
        <v>1</v>
      </c>
      <c r="K349" t="str">
        <f t="shared" si="5"/>
        <v>Validation</v>
      </c>
    </row>
    <row r="350" spans="1:11" x14ac:dyDescent="0.2">
      <c r="A350" t="s">
        <v>370</v>
      </c>
      <c r="B350" s="2">
        <v>40920</v>
      </c>
      <c r="C350" s="3" t="s">
        <v>22</v>
      </c>
      <c r="D350">
        <v>6</v>
      </c>
      <c r="E350">
        <v>1</v>
      </c>
      <c r="F350" t="s">
        <v>12</v>
      </c>
      <c r="G350">
        <v>0</v>
      </c>
      <c r="H350">
        <v>0</v>
      </c>
      <c r="I350">
        <v>1</v>
      </c>
      <c r="J350">
        <v>0</v>
      </c>
      <c r="K350" t="str">
        <f t="shared" si="5"/>
        <v>Validation</v>
      </c>
    </row>
    <row r="351" spans="1:11" x14ac:dyDescent="0.2">
      <c r="A351" t="s">
        <v>371</v>
      </c>
      <c r="B351" s="2">
        <v>40921</v>
      </c>
      <c r="C351" s="3" t="s">
        <v>24</v>
      </c>
      <c r="D351">
        <v>7</v>
      </c>
      <c r="E351">
        <v>1</v>
      </c>
      <c r="F351" t="s">
        <v>12</v>
      </c>
      <c r="G351">
        <v>0</v>
      </c>
      <c r="H351">
        <v>1</v>
      </c>
      <c r="I351">
        <v>0</v>
      </c>
      <c r="J351">
        <v>1</v>
      </c>
      <c r="K351" t="str">
        <f t="shared" si="5"/>
        <v>Validation</v>
      </c>
    </row>
    <row r="352" spans="1:11" x14ac:dyDescent="0.2">
      <c r="A352" t="s">
        <v>372</v>
      </c>
      <c r="B352" s="2">
        <v>40922</v>
      </c>
      <c r="C352" s="3" t="s">
        <v>11</v>
      </c>
      <c r="D352">
        <v>1</v>
      </c>
      <c r="E352">
        <v>1</v>
      </c>
      <c r="F352" t="s">
        <v>12</v>
      </c>
      <c r="G352">
        <v>0</v>
      </c>
      <c r="H352">
        <v>0</v>
      </c>
      <c r="I352">
        <v>1</v>
      </c>
      <c r="J352">
        <v>4</v>
      </c>
      <c r="K352" t="str">
        <f t="shared" si="5"/>
        <v>Validation</v>
      </c>
    </row>
    <row r="353" spans="1:11" x14ac:dyDescent="0.2">
      <c r="A353" t="s">
        <v>373</v>
      </c>
      <c r="B353" s="2">
        <v>40923</v>
      </c>
      <c r="C353" s="3" t="s">
        <v>14</v>
      </c>
      <c r="D353">
        <v>2</v>
      </c>
      <c r="E353">
        <v>1</v>
      </c>
      <c r="F353" t="s">
        <v>12</v>
      </c>
      <c r="G353">
        <v>0</v>
      </c>
      <c r="H353">
        <v>1</v>
      </c>
      <c r="I353">
        <v>0</v>
      </c>
      <c r="J353">
        <v>0</v>
      </c>
      <c r="K353" t="str">
        <f t="shared" si="5"/>
        <v>Validation</v>
      </c>
    </row>
    <row r="354" spans="1:11" x14ac:dyDescent="0.2">
      <c r="A354" t="s">
        <v>374</v>
      </c>
      <c r="B354" s="2">
        <v>40924</v>
      </c>
      <c r="C354" s="3" t="s">
        <v>16</v>
      </c>
      <c r="D354">
        <v>3</v>
      </c>
      <c r="E354">
        <v>1</v>
      </c>
      <c r="F354" t="s">
        <v>44</v>
      </c>
      <c r="G354">
        <v>0</v>
      </c>
      <c r="H354">
        <v>1</v>
      </c>
      <c r="I354">
        <v>0</v>
      </c>
      <c r="J354">
        <v>0</v>
      </c>
      <c r="K354" t="str">
        <f t="shared" si="5"/>
        <v>Validation</v>
      </c>
    </row>
    <row r="355" spans="1:11" x14ac:dyDescent="0.2">
      <c r="A355" t="s">
        <v>375</v>
      </c>
      <c r="B355" s="2">
        <v>40925</v>
      </c>
      <c r="C355" s="3" t="s">
        <v>18</v>
      </c>
      <c r="D355">
        <v>4</v>
      </c>
      <c r="E355">
        <v>1</v>
      </c>
      <c r="F355" t="s">
        <v>12</v>
      </c>
      <c r="G355">
        <v>0</v>
      </c>
      <c r="H355">
        <v>1</v>
      </c>
      <c r="I355">
        <v>1</v>
      </c>
      <c r="J355">
        <v>2</v>
      </c>
      <c r="K355" t="str">
        <f t="shared" si="5"/>
        <v>Validation</v>
      </c>
    </row>
    <row r="356" spans="1:11" x14ac:dyDescent="0.2">
      <c r="A356" t="s">
        <v>376</v>
      </c>
      <c r="B356" s="2">
        <v>40926</v>
      </c>
      <c r="C356" s="3" t="s">
        <v>20</v>
      </c>
      <c r="D356">
        <v>5</v>
      </c>
      <c r="E356">
        <v>1</v>
      </c>
      <c r="F356" t="s">
        <v>12</v>
      </c>
      <c r="G356">
        <v>0</v>
      </c>
      <c r="H356">
        <v>0</v>
      </c>
      <c r="I356">
        <v>1</v>
      </c>
      <c r="J356">
        <v>0</v>
      </c>
      <c r="K356" t="str">
        <f t="shared" si="5"/>
        <v>Validation</v>
      </c>
    </row>
    <row r="357" spans="1:11" x14ac:dyDescent="0.2">
      <c r="A357" t="s">
        <v>377</v>
      </c>
      <c r="B357" s="2">
        <v>40927</v>
      </c>
      <c r="C357" s="3" t="s">
        <v>22</v>
      </c>
      <c r="D357">
        <v>6</v>
      </c>
      <c r="E357">
        <v>1</v>
      </c>
      <c r="F357" t="s">
        <v>12</v>
      </c>
      <c r="G357">
        <v>0</v>
      </c>
      <c r="H357">
        <v>0</v>
      </c>
      <c r="I357">
        <v>1</v>
      </c>
      <c r="J357">
        <v>0</v>
      </c>
      <c r="K357" t="str">
        <f t="shared" si="5"/>
        <v>Validation</v>
      </c>
    </row>
    <row r="358" spans="1:11" x14ac:dyDescent="0.2">
      <c r="A358" t="s">
        <v>378</v>
      </c>
      <c r="B358" s="2">
        <v>40928</v>
      </c>
      <c r="C358" s="3" t="s">
        <v>24</v>
      </c>
      <c r="D358">
        <v>7</v>
      </c>
      <c r="E358">
        <v>1</v>
      </c>
      <c r="F358" t="s">
        <v>12</v>
      </c>
      <c r="G358">
        <v>0</v>
      </c>
      <c r="H358">
        <v>4</v>
      </c>
      <c r="I358">
        <v>0</v>
      </c>
      <c r="J358">
        <v>0</v>
      </c>
      <c r="K358" t="str">
        <f t="shared" si="5"/>
        <v>Validation</v>
      </c>
    </row>
    <row r="359" spans="1:11" x14ac:dyDescent="0.2">
      <c r="A359" t="s">
        <v>379</v>
      </c>
      <c r="B359" s="2">
        <v>40929</v>
      </c>
      <c r="C359" s="3" t="s">
        <v>11</v>
      </c>
      <c r="D359">
        <v>1</v>
      </c>
      <c r="E359">
        <v>1</v>
      </c>
      <c r="F359" t="s">
        <v>12</v>
      </c>
      <c r="G359">
        <v>0</v>
      </c>
      <c r="H359">
        <v>1</v>
      </c>
      <c r="I359">
        <v>0</v>
      </c>
      <c r="J359">
        <v>0</v>
      </c>
      <c r="K359" t="str">
        <f t="shared" si="5"/>
        <v>Validation</v>
      </c>
    </row>
    <row r="360" spans="1:11" x14ac:dyDescent="0.2">
      <c r="A360" t="s">
        <v>380</v>
      </c>
      <c r="B360" s="2">
        <v>40930</v>
      </c>
      <c r="C360" s="3" t="s">
        <v>14</v>
      </c>
      <c r="D360">
        <v>2</v>
      </c>
      <c r="E360">
        <v>1</v>
      </c>
      <c r="F360" t="s">
        <v>12</v>
      </c>
      <c r="G360">
        <v>0</v>
      </c>
      <c r="H360">
        <v>1</v>
      </c>
      <c r="I360">
        <v>0</v>
      </c>
      <c r="J360">
        <v>0</v>
      </c>
      <c r="K360" t="str">
        <f t="shared" si="5"/>
        <v>Validation</v>
      </c>
    </row>
    <row r="361" spans="1:11" x14ac:dyDescent="0.2">
      <c r="A361" t="s">
        <v>381</v>
      </c>
      <c r="B361" s="2">
        <v>40931</v>
      </c>
      <c r="C361" s="3" t="s">
        <v>16</v>
      </c>
      <c r="D361">
        <v>3</v>
      </c>
      <c r="E361">
        <v>1</v>
      </c>
      <c r="F361" t="s">
        <v>12</v>
      </c>
      <c r="G361">
        <v>0</v>
      </c>
      <c r="H361">
        <v>0</v>
      </c>
      <c r="I361">
        <v>2</v>
      </c>
      <c r="J361">
        <v>0</v>
      </c>
      <c r="K361" t="str">
        <f t="shared" si="5"/>
        <v>Validation</v>
      </c>
    </row>
    <row r="362" spans="1:11" x14ac:dyDescent="0.2">
      <c r="A362" t="s">
        <v>382</v>
      </c>
      <c r="B362" s="2">
        <v>40932</v>
      </c>
      <c r="C362" s="3" t="s">
        <v>18</v>
      </c>
      <c r="D362">
        <v>4</v>
      </c>
      <c r="E362">
        <v>1</v>
      </c>
      <c r="F362" t="s">
        <v>12</v>
      </c>
      <c r="G362">
        <v>0</v>
      </c>
      <c r="H362">
        <v>0</v>
      </c>
      <c r="I362">
        <v>0</v>
      </c>
      <c r="J362">
        <v>1</v>
      </c>
      <c r="K362" t="str">
        <f t="shared" si="5"/>
        <v>Validation</v>
      </c>
    </row>
    <row r="363" spans="1:11" x14ac:dyDescent="0.2">
      <c r="A363" t="s">
        <v>383</v>
      </c>
      <c r="B363" s="2">
        <v>40933</v>
      </c>
      <c r="C363" s="3" t="s">
        <v>20</v>
      </c>
      <c r="D363">
        <v>5</v>
      </c>
      <c r="E363">
        <v>1</v>
      </c>
      <c r="F363" t="s">
        <v>12</v>
      </c>
      <c r="G363">
        <v>0</v>
      </c>
      <c r="H363">
        <v>0</v>
      </c>
      <c r="I363">
        <v>1</v>
      </c>
      <c r="J363">
        <v>1</v>
      </c>
      <c r="K363" t="str">
        <f t="shared" si="5"/>
        <v>Validation</v>
      </c>
    </row>
    <row r="364" spans="1:11" x14ac:dyDescent="0.2">
      <c r="A364" t="s">
        <v>384</v>
      </c>
      <c r="B364" s="2">
        <v>40934</v>
      </c>
      <c r="C364" s="3" t="s">
        <v>22</v>
      </c>
      <c r="D364">
        <v>6</v>
      </c>
      <c r="E364">
        <v>1</v>
      </c>
      <c r="F364" t="s">
        <v>12</v>
      </c>
      <c r="G364">
        <v>0</v>
      </c>
      <c r="H364">
        <v>0</v>
      </c>
      <c r="I364">
        <v>3</v>
      </c>
      <c r="J364">
        <v>1</v>
      </c>
      <c r="K364" t="str">
        <f t="shared" si="5"/>
        <v>Validation</v>
      </c>
    </row>
    <row r="365" spans="1:11" x14ac:dyDescent="0.2">
      <c r="A365" t="s">
        <v>385</v>
      </c>
      <c r="B365" s="2">
        <v>40935</v>
      </c>
      <c r="C365" s="3" t="s">
        <v>24</v>
      </c>
      <c r="D365">
        <v>7</v>
      </c>
      <c r="E365">
        <v>1</v>
      </c>
      <c r="F365" t="s">
        <v>12</v>
      </c>
      <c r="G365">
        <v>0</v>
      </c>
      <c r="H365">
        <v>0</v>
      </c>
      <c r="I365">
        <v>0</v>
      </c>
      <c r="J365">
        <v>0</v>
      </c>
      <c r="K365" t="str">
        <f t="shared" si="5"/>
        <v>Validation</v>
      </c>
    </row>
    <row r="366" spans="1:11" x14ac:dyDescent="0.2">
      <c r="A366" t="s">
        <v>386</v>
      </c>
      <c r="B366" s="2">
        <v>40936</v>
      </c>
      <c r="C366" s="3" t="s">
        <v>11</v>
      </c>
      <c r="D366">
        <v>1</v>
      </c>
      <c r="E366">
        <v>1</v>
      </c>
      <c r="F366" t="s">
        <v>12</v>
      </c>
      <c r="G366">
        <v>0</v>
      </c>
      <c r="H366">
        <v>2</v>
      </c>
      <c r="I366">
        <v>0</v>
      </c>
      <c r="J366">
        <v>1</v>
      </c>
      <c r="K366" t="str">
        <f t="shared" si="5"/>
        <v>Validation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A7BE-F608-8F49-987E-8FE4CE103196}">
  <dimension ref="A1:N374"/>
  <sheetViews>
    <sheetView topLeftCell="A348" workbookViewId="0">
      <selection activeCell="C14" sqref="C14"/>
    </sheetView>
  </sheetViews>
  <sheetFormatPr baseColWidth="10" defaultRowHeight="16" x14ac:dyDescent="0.2"/>
  <cols>
    <col min="2" max="2" width="13" customWidth="1"/>
  </cols>
  <sheetData>
    <row r="1" spans="1:14" x14ac:dyDescent="0.2">
      <c r="A1" t="s">
        <v>0</v>
      </c>
      <c r="B1" t="s">
        <v>1</v>
      </c>
      <c r="C1" t="s">
        <v>388</v>
      </c>
      <c r="D1" t="s">
        <v>389</v>
      </c>
      <c r="E1" t="s">
        <v>390</v>
      </c>
      <c r="F1" t="s">
        <v>391</v>
      </c>
      <c r="G1" t="s">
        <v>392</v>
      </c>
      <c r="H1" t="s">
        <v>393</v>
      </c>
      <c r="I1" t="s">
        <v>394</v>
      </c>
      <c r="J1" t="s">
        <v>395</v>
      </c>
      <c r="K1" t="s">
        <v>396</v>
      </c>
      <c r="L1" t="s">
        <v>397</v>
      </c>
      <c r="M1" t="s">
        <v>398</v>
      </c>
      <c r="N1" t="s">
        <v>399</v>
      </c>
    </row>
    <row r="2" spans="1:14" x14ac:dyDescent="0.2">
      <c r="A2" t="str" cm="1">
        <f t="array" ref="A2:A366">Table2[d]</f>
        <v>d_1</v>
      </c>
      <c r="B2" s="2" cm="1">
        <f t="array" ref="B2:B366">Table2[date]</f>
        <v>40572</v>
      </c>
      <c r="C2" s="4" cm="1">
        <f t="array" ref="C2:C366">Table2[SKU1_Sales]</f>
        <v>3</v>
      </c>
      <c r="D2" s="4" cm="1">
        <f t="array" ref="D2:D366">Table2[SKU2_Sales]</f>
        <v>0</v>
      </c>
      <c r="E2" s="4" cm="1">
        <f t="array" ref="E2:E366">Table2[SKU3_Sales]</f>
        <v>0</v>
      </c>
    </row>
    <row r="3" spans="1:14" x14ac:dyDescent="0.2">
      <c r="A3" t="str">
        <v>d_2</v>
      </c>
      <c r="B3" s="2">
        <v>40573</v>
      </c>
      <c r="C3" s="4">
        <v>0</v>
      </c>
      <c r="D3" s="4">
        <v>1</v>
      </c>
      <c r="E3" s="4">
        <v>0</v>
      </c>
    </row>
    <row r="4" spans="1:14" x14ac:dyDescent="0.2">
      <c r="A4" t="str">
        <v>d_3</v>
      </c>
      <c r="B4" s="2">
        <v>40574</v>
      </c>
      <c r="C4" s="4">
        <v>0</v>
      </c>
      <c r="D4" s="4">
        <v>0</v>
      </c>
      <c r="E4" s="4">
        <v>0</v>
      </c>
    </row>
    <row r="5" spans="1:14" x14ac:dyDescent="0.2">
      <c r="A5" t="str">
        <v>d_4</v>
      </c>
      <c r="B5" s="2">
        <v>40575</v>
      </c>
      <c r="C5" s="4">
        <v>1</v>
      </c>
      <c r="D5" s="4">
        <v>1</v>
      </c>
      <c r="E5" s="4">
        <v>0</v>
      </c>
    </row>
    <row r="6" spans="1:14" x14ac:dyDescent="0.2">
      <c r="A6" t="str">
        <v>d_5</v>
      </c>
      <c r="B6" s="2">
        <v>40576</v>
      </c>
      <c r="C6" s="4">
        <v>4</v>
      </c>
      <c r="D6" s="4">
        <v>1</v>
      </c>
      <c r="E6" s="4">
        <v>1</v>
      </c>
    </row>
    <row r="7" spans="1:14" x14ac:dyDescent="0.2">
      <c r="A7" t="str">
        <v>d_6</v>
      </c>
      <c r="B7" s="2">
        <v>40577</v>
      </c>
      <c r="C7" s="4">
        <v>2</v>
      </c>
      <c r="D7" s="4">
        <v>1</v>
      </c>
      <c r="E7" s="4">
        <v>3</v>
      </c>
    </row>
    <row r="8" spans="1:14" x14ac:dyDescent="0.2">
      <c r="A8" t="str">
        <v>d_7</v>
      </c>
      <c r="B8" s="2">
        <v>40578</v>
      </c>
      <c r="C8" s="4">
        <v>0</v>
      </c>
      <c r="D8" s="4">
        <v>0</v>
      </c>
      <c r="E8" s="4">
        <v>1</v>
      </c>
      <c r="F8">
        <f>AVERAGE(C2,C8)</f>
        <v>1.5</v>
      </c>
      <c r="G8">
        <f>AVERAGE(D2,D8)</f>
        <v>0</v>
      </c>
      <c r="H8" s="4">
        <f>AVERAGE(E2,E8)</f>
        <v>0.5</v>
      </c>
    </row>
    <row r="9" spans="1:14" x14ac:dyDescent="0.2">
      <c r="A9" t="str">
        <v>d_8</v>
      </c>
      <c r="B9" s="2">
        <v>40579</v>
      </c>
      <c r="C9" s="4">
        <v>2</v>
      </c>
      <c r="D9" s="4">
        <v>0</v>
      </c>
      <c r="E9" s="4">
        <v>1</v>
      </c>
      <c r="F9">
        <f t="shared" ref="F9:F72" si="0">AVERAGE(C3,C9)</f>
        <v>1</v>
      </c>
      <c r="G9">
        <f t="shared" ref="G9:G72" si="1">AVERAGE(D3,D9)</f>
        <v>0.5</v>
      </c>
      <c r="H9" s="4">
        <f t="shared" ref="H9:H72" si="2">AVERAGE(E3,E9)</f>
        <v>0.5</v>
      </c>
    </row>
    <row r="10" spans="1:14" x14ac:dyDescent="0.2">
      <c r="A10" t="str">
        <v>d_9</v>
      </c>
      <c r="B10" s="2">
        <v>40580</v>
      </c>
      <c r="C10" s="4">
        <v>0</v>
      </c>
      <c r="D10" s="4">
        <v>0</v>
      </c>
      <c r="E10" s="4">
        <v>1</v>
      </c>
      <c r="F10">
        <f t="shared" si="0"/>
        <v>0</v>
      </c>
      <c r="G10">
        <f t="shared" si="1"/>
        <v>0</v>
      </c>
      <c r="H10" s="4">
        <f t="shared" si="2"/>
        <v>0.5</v>
      </c>
    </row>
    <row r="11" spans="1:14" x14ac:dyDescent="0.2">
      <c r="A11" t="str">
        <v>d_10</v>
      </c>
      <c r="B11" s="2">
        <v>40581</v>
      </c>
      <c r="C11" s="4">
        <v>0</v>
      </c>
      <c r="D11" s="4">
        <v>0</v>
      </c>
      <c r="E11" s="4">
        <v>0</v>
      </c>
      <c r="F11">
        <f t="shared" si="0"/>
        <v>0.5</v>
      </c>
      <c r="G11">
        <f t="shared" si="1"/>
        <v>0.5</v>
      </c>
      <c r="H11" s="4">
        <f t="shared" si="2"/>
        <v>0</v>
      </c>
    </row>
    <row r="12" spans="1:14" x14ac:dyDescent="0.2">
      <c r="A12" t="str">
        <v>d_11</v>
      </c>
      <c r="B12" s="2">
        <v>40582</v>
      </c>
      <c r="C12" s="4">
        <v>0</v>
      </c>
      <c r="D12" s="4">
        <v>1</v>
      </c>
      <c r="E12" s="4">
        <v>1</v>
      </c>
      <c r="F12">
        <f t="shared" si="0"/>
        <v>2</v>
      </c>
      <c r="G12">
        <f t="shared" si="1"/>
        <v>1</v>
      </c>
      <c r="H12" s="4">
        <f t="shared" si="2"/>
        <v>1</v>
      </c>
    </row>
    <row r="13" spans="1:14" x14ac:dyDescent="0.2">
      <c r="A13" t="str">
        <v>d_12</v>
      </c>
      <c r="B13" s="2">
        <v>40583</v>
      </c>
      <c r="C13" s="4">
        <v>0</v>
      </c>
      <c r="D13" s="4">
        <v>1</v>
      </c>
      <c r="E13" s="4">
        <v>0</v>
      </c>
      <c r="F13">
        <f t="shared" si="0"/>
        <v>1</v>
      </c>
      <c r="G13">
        <f t="shared" si="1"/>
        <v>1</v>
      </c>
      <c r="H13" s="4">
        <f t="shared" si="2"/>
        <v>1.5</v>
      </c>
    </row>
    <row r="14" spans="1:14" x14ac:dyDescent="0.2">
      <c r="A14" t="str">
        <v>d_13</v>
      </c>
      <c r="B14" s="2">
        <v>40584</v>
      </c>
      <c r="C14" s="4">
        <v>3</v>
      </c>
      <c r="D14" s="4">
        <v>0</v>
      </c>
      <c r="E14" s="4">
        <v>0</v>
      </c>
      <c r="F14">
        <f t="shared" si="0"/>
        <v>1.5</v>
      </c>
      <c r="G14">
        <f t="shared" si="1"/>
        <v>0</v>
      </c>
      <c r="H14" s="4">
        <f t="shared" si="2"/>
        <v>0.5</v>
      </c>
    </row>
    <row r="15" spans="1:14" x14ac:dyDescent="0.2">
      <c r="A15" t="str">
        <v>d_14</v>
      </c>
      <c r="B15" s="2">
        <v>40585</v>
      </c>
      <c r="C15" s="4">
        <v>1</v>
      </c>
      <c r="D15" s="4">
        <v>2</v>
      </c>
      <c r="E15" s="4">
        <v>2</v>
      </c>
      <c r="F15">
        <f t="shared" si="0"/>
        <v>1.5</v>
      </c>
      <c r="G15">
        <f t="shared" si="1"/>
        <v>1</v>
      </c>
      <c r="H15" s="4">
        <f t="shared" si="2"/>
        <v>1.5</v>
      </c>
    </row>
    <row r="16" spans="1:14" x14ac:dyDescent="0.2">
      <c r="A16" t="str">
        <v>d_15</v>
      </c>
      <c r="B16" s="2">
        <v>40586</v>
      </c>
      <c r="C16" s="4">
        <v>3</v>
      </c>
      <c r="D16" s="4">
        <v>0</v>
      </c>
      <c r="E16" s="4">
        <v>1</v>
      </c>
      <c r="F16">
        <f t="shared" si="0"/>
        <v>1.5</v>
      </c>
      <c r="G16">
        <f t="shared" si="1"/>
        <v>0</v>
      </c>
      <c r="H16" s="4">
        <f t="shared" si="2"/>
        <v>1</v>
      </c>
      <c r="I16" s="4">
        <f>AVERAGE(C2,C15)</f>
        <v>2</v>
      </c>
      <c r="J16" s="4">
        <f>AVERAGE(D2,D15)</f>
        <v>1</v>
      </c>
      <c r="K16" s="4">
        <f>AVERAGE(E2,E15)</f>
        <v>1</v>
      </c>
    </row>
    <row r="17" spans="1:14" x14ac:dyDescent="0.2">
      <c r="A17" t="str">
        <v>d_16</v>
      </c>
      <c r="B17" s="2">
        <v>40587</v>
      </c>
      <c r="C17" s="4">
        <v>0</v>
      </c>
      <c r="D17" s="4">
        <v>1</v>
      </c>
      <c r="E17" s="4">
        <v>1</v>
      </c>
      <c r="F17">
        <f t="shared" si="0"/>
        <v>0</v>
      </c>
      <c r="G17">
        <f t="shared" si="1"/>
        <v>0.5</v>
      </c>
      <c r="H17" s="4">
        <f t="shared" si="2"/>
        <v>0.5</v>
      </c>
      <c r="I17" s="4">
        <f t="shared" ref="I17:I80" si="3">AVERAGE(C3,C16)</f>
        <v>1.5</v>
      </c>
      <c r="J17" s="4">
        <f t="shared" ref="J17:J80" si="4">AVERAGE(D3,D16)</f>
        <v>0.5</v>
      </c>
      <c r="K17" s="4">
        <f t="shared" ref="K17:K80" si="5">AVERAGE(E3,E16)</f>
        <v>0.5</v>
      </c>
    </row>
    <row r="18" spans="1:14" x14ac:dyDescent="0.2">
      <c r="A18" t="str">
        <v>d_17</v>
      </c>
      <c r="B18" s="2">
        <v>40588</v>
      </c>
      <c r="C18" s="4">
        <v>2</v>
      </c>
      <c r="D18" s="4">
        <v>0</v>
      </c>
      <c r="E18" s="4">
        <v>1</v>
      </c>
      <c r="F18">
        <f t="shared" si="0"/>
        <v>1</v>
      </c>
      <c r="G18">
        <f t="shared" si="1"/>
        <v>0.5</v>
      </c>
      <c r="H18" s="4">
        <f t="shared" si="2"/>
        <v>1</v>
      </c>
      <c r="I18" s="4">
        <f t="shared" si="3"/>
        <v>0</v>
      </c>
      <c r="J18" s="4">
        <f t="shared" si="4"/>
        <v>0.5</v>
      </c>
      <c r="K18" s="4">
        <f t="shared" si="5"/>
        <v>0.5</v>
      </c>
    </row>
    <row r="19" spans="1:14" x14ac:dyDescent="0.2">
      <c r="A19" t="str">
        <v>d_18</v>
      </c>
      <c r="B19" s="2">
        <v>40589</v>
      </c>
      <c r="C19" s="4">
        <v>1</v>
      </c>
      <c r="D19" s="4">
        <v>0</v>
      </c>
      <c r="E19" s="4">
        <v>0</v>
      </c>
      <c r="F19">
        <f t="shared" si="0"/>
        <v>0.5</v>
      </c>
      <c r="G19">
        <f t="shared" si="1"/>
        <v>0.5</v>
      </c>
      <c r="H19" s="4">
        <f t="shared" si="2"/>
        <v>0</v>
      </c>
      <c r="I19" s="4">
        <f t="shared" si="3"/>
        <v>1.5</v>
      </c>
      <c r="J19" s="4">
        <f t="shared" si="4"/>
        <v>0.5</v>
      </c>
      <c r="K19" s="4">
        <f t="shared" si="5"/>
        <v>0.5</v>
      </c>
    </row>
    <row r="20" spans="1:14" x14ac:dyDescent="0.2">
      <c r="A20" t="str">
        <v>d_19</v>
      </c>
      <c r="B20" s="2">
        <v>40590</v>
      </c>
      <c r="C20" s="4">
        <v>2</v>
      </c>
      <c r="D20" s="4">
        <v>0</v>
      </c>
      <c r="E20" s="4">
        <v>0</v>
      </c>
      <c r="F20">
        <f t="shared" si="0"/>
        <v>2.5</v>
      </c>
      <c r="G20">
        <f t="shared" si="1"/>
        <v>0</v>
      </c>
      <c r="H20" s="4">
        <f t="shared" si="2"/>
        <v>0</v>
      </c>
      <c r="I20" s="4">
        <f t="shared" si="3"/>
        <v>2.5</v>
      </c>
      <c r="J20" s="4">
        <f t="shared" si="4"/>
        <v>0.5</v>
      </c>
      <c r="K20" s="4">
        <f t="shared" si="5"/>
        <v>0.5</v>
      </c>
    </row>
    <row r="21" spans="1:14" x14ac:dyDescent="0.2">
      <c r="A21" t="str">
        <v>d_20</v>
      </c>
      <c r="B21" s="2">
        <v>40591</v>
      </c>
      <c r="C21" s="4">
        <v>0</v>
      </c>
      <c r="D21" s="4">
        <v>0</v>
      </c>
      <c r="E21" s="4">
        <v>1</v>
      </c>
      <c r="F21">
        <f t="shared" si="0"/>
        <v>0.5</v>
      </c>
      <c r="G21">
        <f t="shared" si="1"/>
        <v>1</v>
      </c>
      <c r="H21" s="4">
        <f t="shared" si="2"/>
        <v>1.5</v>
      </c>
      <c r="I21" s="4">
        <f t="shared" si="3"/>
        <v>2</v>
      </c>
      <c r="J21" s="4">
        <f t="shared" si="4"/>
        <v>0.5</v>
      </c>
      <c r="K21" s="4">
        <f t="shared" si="5"/>
        <v>1.5</v>
      </c>
    </row>
    <row r="22" spans="1:14" x14ac:dyDescent="0.2">
      <c r="A22" t="str">
        <v>d_21</v>
      </c>
      <c r="B22" s="2">
        <v>40592</v>
      </c>
      <c r="C22" s="4">
        <v>2</v>
      </c>
      <c r="D22" s="4">
        <v>0</v>
      </c>
      <c r="E22" s="4">
        <v>0</v>
      </c>
      <c r="F22">
        <f t="shared" si="0"/>
        <v>2.5</v>
      </c>
      <c r="G22">
        <f t="shared" si="1"/>
        <v>0</v>
      </c>
      <c r="H22" s="4">
        <f t="shared" si="2"/>
        <v>0.5</v>
      </c>
      <c r="I22" s="4">
        <f t="shared" si="3"/>
        <v>0</v>
      </c>
      <c r="J22" s="4">
        <f t="shared" si="4"/>
        <v>0</v>
      </c>
      <c r="K22" s="4">
        <f t="shared" si="5"/>
        <v>1</v>
      </c>
    </row>
    <row r="23" spans="1:14" x14ac:dyDescent="0.2">
      <c r="A23" t="str">
        <v>d_22</v>
      </c>
      <c r="B23" s="2">
        <v>40593</v>
      </c>
      <c r="C23" s="4">
        <v>1</v>
      </c>
      <c r="D23" s="4">
        <v>0</v>
      </c>
      <c r="E23" s="4">
        <v>2</v>
      </c>
      <c r="F23">
        <f t="shared" si="0"/>
        <v>0.5</v>
      </c>
      <c r="G23">
        <f t="shared" si="1"/>
        <v>0.5</v>
      </c>
      <c r="H23" s="4">
        <f t="shared" si="2"/>
        <v>1.5</v>
      </c>
      <c r="I23" s="4">
        <f t="shared" si="3"/>
        <v>2</v>
      </c>
      <c r="J23" s="4">
        <f t="shared" si="4"/>
        <v>0</v>
      </c>
      <c r="K23" s="4">
        <f t="shared" si="5"/>
        <v>0.5</v>
      </c>
    </row>
    <row r="24" spans="1:14" x14ac:dyDescent="0.2">
      <c r="A24" t="str">
        <v>d_23</v>
      </c>
      <c r="B24" s="2">
        <v>40594</v>
      </c>
      <c r="C24" s="4">
        <v>2</v>
      </c>
      <c r="D24" s="4">
        <v>0</v>
      </c>
      <c r="E24" s="4">
        <v>4</v>
      </c>
      <c r="F24">
        <f t="shared" si="0"/>
        <v>2</v>
      </c>
      <c r="G24">
        <f t="shared" si="1"/>
        <v>0</v>
      </c>
      <c r="H24" s="4">
        <f t="shared" si="2"/>
        <v>2.5</v>
      </c>
      <c r="I24" s="4">
        <f t="shared" si="3"/>
        <v>0.5</v>
      </c>
      <c r="J24" s="4">
        <f t="shared" si="4"/>
        <v>0</v>
      </c>
      <c r="K24" s="4">
        <f t="shared" si="5"/>
        <v>1.5</v>
      </c>
    </row>
    <row r="25" spans="1:14" x14ac:dyDescent="0.2">
      <c r="A25" t="str">
        <v>d_24</v>
      </c>
      <c r="B25" s="2">
        <v>40595</v>
      </c>
      <c r="C25" s="4">
        <v>0</v>
      </c>
      <c r="D25" s="4">
        <v>0</v>
      </c>
      <c r="E25" s="4">
        <v>1</v>
      </c>
      <c r="F25">
        <f t="shared" si="0"/>
        <v>0.5</v>
      </c>
      <c r="G25">
        <f t="shared" si="1"/>
        <v>0</v>
      </c>
      <c r="H25" s="4">
        <f t="shared" si="2"/>
        <v>0.5</v>
      </c>
      <c r="I25" s="4">
        <f t="shared" si="3"/>
        <v>1</v>
      </c>
      <c r="J25" s="4">
        <f t="shared" si="4"/>
        <v>0</v>
      </c>
      <c r="K25" s="4">
        <f t="shared" si="5"/>
        <v>2</v>
      </c>
    </row>
    <row r="26" spans="1:14" x14ac:dyDescent="0.2">
      <c r="A26" t="str">
        <v>d_25</v>
      </c>
      <c r="B26" s="2">
        <v>40596</v>
      </c>
      <c r="C26" s="4">
        <v>2</v>
      </c>
      <c r="D26" s="4">
        <v>0</v>
      </c>
      <c r="E26" s="4">
        <v>1</v>
      </c>
      <c r="F26">
        <f t="shared" si="0"/>
        <v>2</v>
      </c>
      <c r="G26">
        <f t="shared" si="1"/>
        <v>0</v>
      </c>
      <c r="H26" s="4">
        <f t="shared" si="2"/>
        <v>0.5</v>
      </c>
      <c r="I26" s="4">
        <f t="shared" si="3"/>
        <v>0</v>
      </c>
      <c r="J26" s="4">
        <f t="shared" si="4"/>
        <v>0.5</v>
      </c>
      <c r="K26" s="4">
        <f t="shared" si="5"/>
        <v>1</v>
      </c>
    </row>
    <row r="27" spans="1:14" x14ac:dyDescent="0.2">
      <c r="A27" t="str">
        <v>d_26</v>
      </c>
      <c r="B27" s="2">
        <v>40597</v>
      </c>
      <c r="C27" s="4">
        <v>2</v>
      </c>
      <c r="D27" s="4">
        <v>0</v>
      </c>
      <c r="E27" s="4">
        <v>2</v>
      </c>
      <c r="F27">
        <f t="shared" si="0"/>
        <v>1</v>
      </c>
      <c r="G27">
        <f t="shared" si="1"/>
        <v>0</v>
      </c>
      <c r="H27" s="4">
        <f t="shared" si="2"/>
        <v>1.5</v>
      </c>
      <c r="I27" s="4">
        <f t="shared" si="3"/>
        <v>1</v>
      </c>
      <c r="J27" s="4">
        <f t="shared" si="4"/>
        <v>0.5</v>
      </c>
      <c r="K27" s="4">
        <f t="shared" si="5"/>
        <v>0.5</v>
      </c>
    </row>
    <row r="28" spans="1:14" x14ac:dyDescent="0.2">
      <c r="A28" t="str">
        <v>d_27</v>
      </c>
      <c r="B28" s="2">
        <v>40598</v>
      </c>
      <c r="C28" s="4">
        <v>2</v>
      </c>
      <c r="D28" s="4">
        <v>0</v>
      </c>
      <c r="E28" s="4">
        <v>1</v>
      </c>
      <c r="F28">
        <f t="shared" si="0"/>
        <v>2</v>
      </c>
      <c r="G28">
        <f t="shared" si="1"/>
        <v>0</v>
      </c>
      <c r="H28" s="4">
        <f t="shared" si="2"/>
        <v>0.5</v>
      </c>
      <c r="I28" s="4">
        <f t="shared" si="3"/>
        <v>2.5</v>
      </c>
      <c r="J28" s="4">
        <f t="shared" si="4"/>
        <v>0</v>
      </c>
      <c r="K28" s="4">
        <f t="shared" si="5"/>
        <v>1</v>
      </c>
    </row>
    <row r="29" spans="1:14" x14ac:dyDescent="0.2">
      <c r="A29" t="str">
        <v>d_28</v>
      </c>
      <c r="B29" s="2">
        <v>40599</v>
      </c>
      <c r="C29" s="4">
        <v>4</v>
      </c>
      <c r="D29" s="4">
        <v>0</v>
      </c>
      <c r="E29" s="4">
        <v>0</v>
      </c>
      <c r="F29">
        <f t="shared" si="0"/>
        <v>2.5</v>
      </c>
      <c r="G29">
        <f t="shared" si="1"/>
        <v>0</v>
      </c>
      <c r="H29" s="4">
        <f t="shared" si="2"/>
        <v>1</v>
      </c>
      <c r="I29" s="4">
        <f t="shared" si="3"/>
        <v>1.5</v>
      </c>
      <c r="J29" s="4">
        <f t="shared" si="4"/>
        <v>1</v>
      </c>
      <c r="K29" s="4">
        <f t="shared" si="5"/>
        <v>1.5</v>
      </c>
    </row>
    <row r="30" spans="1:14" x14ac:dyDescent="0.2">
      <c r="A30" t="str">
        <v>d_29</v>
      </c>
      <c r="B30" s="2">
        <v>40600</v>
      </c>
      <c r="C30" s="4">
        <v>2</v>
      </c>
      <c r="D30" s="4">
        <v>1</v>
      </c>
      <c r="E30" s="4">
        <v>1</v>
      </c>
      <c r="F30">
        <f t="shared" si="0"/>
        <v>2</v>
      </c>
      <c r="G30">
        <f t="shared" si="1"/>
        <v>0.5</v>
      </c>
      <c r="H30" s="4">
        <f t="shared" si="2"/>
        <v>2.5</v>
      </c>
      <c r="I30" s="4">
        <f t="shared" si="3"/>
        <v>3.5</v>
      </c>
      <c r="J30" s="4">
        <f t="shared" si="4"/>
        <v>0</v>
      </c>
      <c r="K30" s="4">
        <f t="shared" si="5"/>
        <v>0.5</v>
      </c>
      <c r="L30" s="4">
        <f>AVERAGE(C2,C29)</f>
        <v>3.5</v>
      </c>
      <c r="M30" s="4">
        <f>AVERAGE(D2,D29)</f>
        <v>0</v>
      </c>
      <c r="N30" s="4">
        <f>AVERAGE(E2,E29)</f>
        <v>0</v>
      </c>
    </row>
    <row r="31" spans="1:14" x14ac:dyDescent="0.2">
      <c r="A31" t="str">
        <v>d_30</v>
      </c>
      <c r="B31" s="2">
        <v>40601</v>
      </c>
      <c r="C31" s="4">
        <v>2</v>
      </c>
      <c r="D31" s="4">
        <v>0</v>
      </c>
      <c r="E31" s="4">
        <v>0</v>
      </c>
      <c r="F31">
        <f t="shared" si="0"/>
        <v>1</v>
      </c>
      <c r="G31">
        <f t="shared" si="1"/>
        <v>0</v>
      </c>
      <c r="H31" s="4">
        <f t="shared" si="2"/>
        <v>0.5</v>
      </c>
      <c r="I31" s="4">
        <f t="shared" si="3"/>
        <v>1</v>
      </c>
      <c r="J31" s="4">
        <f t="shared" si="4"/>
        <v>1</v>
      </c>
      <c r="K31" s="4">
        <f t="shared" si="5"/>
        <v>1</v>
      </c>
      <c r="L31" s="4">
        <f t="shared" ref="L31:L94" si="6">AVERAGE(C3,C30)</f>
        <v>1</v>
      </c>
      <c r="M31" s="4">
        <f t="shared" ref="M31:M94" si="7">AVERAGE(D3,D30)</f>
        <v>1</v>
      </c>
      <c r="N31" s="4">
        <f t="shared" ref="N31:N94" si="8">AVERAGE(E3,E30)</f>
        <v>0.5</v>
      </c>
    </row>
    <row r="32" spans="1:14" x14ac:dyDescent="0.2">
      <c r="A32" t="str">
        <v>d_31</v>
      </c>
      <c r="B32" s="2">
        <v>40602</v>
      </c>
      <c r="C32" s="4">
        <v>0</v>
      </c>
      <c r="D32" s="4">
        <v>0</v>
      </c>
      <c r="E32" s="4">
        <v>1</v>
      </c>
      <c r="F32">
        <f t="shared" si="0"/>
        <v>1</v>
      </c>
      <c r="G32">
        <f t="shared" si="1"/>
        <v>0</v>
      </c>
      <c r="H32" s="4">
        <f t="shared" si="2"/>
        <v>1</v>
      </c>
      <c r="I32" s="4">
        <f t="shared" si="3"/>
        <v>2</v>
      </c>
      <c r="J32" s="4">
        <f t="shared" si="4"/>
        <v>0</v>
      </c>
      <c r="K32" s="4">
        <f t="shared" si="5"/>
        <v>0.5</v>
      </c>
      <c r="L32" s="4">
        <f t="shared" si="6"/>
        <v>1</v>
      </c>
      <c r="M32" s="4">
        <f t="shared" si="7"/>
        <v>0</v>
      </c>
      <c r="N32" s="4">
        <f t="shared" si="8"/>
        <v>0</v>
      </c>
    </row>
    <row r="33" spans="1:14" x14ac:dyDescent="0.2">
      <c r="A33" t="str">
        <v>d_32</v>
      </c>
      <c r="B33" s="2">
        <v>40603</v>
      </c>
      <c r="C33" s="4">
        <v>2</v>
      </c>
      <c r="D33" s="4">
        <v>1</v>
      </c>
      <c r="E33" s="4">
        <v>0</v>
      </c>
      <c r="F33">
        <f t="shared" si="0"/>
        <v>2</v>
      </c>
      <c r="G33">
        <f t="shared" si="1"/>
        <v>0.5</v>
      </c>
      <c r="H33" s="4">
        <f t="shared" si="2"/>
        <v>1</v>
      </c>
      <c r="I33" s="4">
        <f t="shared" si="3"/>
        <v>0.5</v>
      </c>
      <c r="J33" s="4">
        <f t="shared" si="4"/>
        <v>0</v>
      </c>
      <c r="K33" s="4">
        <f t="shared" si="5"/>
        <v>0.5</v>
      </c>
      <c r="L33" s="4">
        <f t="shared" si="6"/>
        <v>0.5</v>
      </c>
      <c r="M33" s="4">
        <f t="shared" si="7"/>
        <v>0.5</v>
      </c>
      <c r="N33" s="4">
        <f t="shared" si="8"/>
        <v>0.5</v>
      </c>
    </row>
    <row r="34" spans="1:14" x14ac:dyDescent="0.2">
      <c r="A34" t="str">
        <v>d_33</v>
      </c>
      <c r="B34" s="2">
        <v>40604</v>
      </c>
      <c r="C34" s="4">
        <v>1</v>
      </c>
      <c r="D34" s="4">
        <v>1</v>
      </c>
      <c r="E34" s="4">
        <v>1</v>
      </c>
      <c r="F34">
        <f t="shared" si="0"/>
        <v>1.5</v>
      </c>
      <c r="G34">
        <f t="shared" si="1"/>
        <v>0.5</v>
      </c>
      <c r="H34" s="4">
        <f t="shared" si="2"/>
        <v>1</v>
      </c>
      <c r="I34" s="4">
        <f t="shared" si="3"/>
        <v>2</v>
      </c>
      <c r="J34" s="4">
        <f t="shared" si="4"/>
        <v>0.5</v>
      </c>
      <c r="K34" s="4">
        <f t="shared" si="5"/>
        <v>0</v>
      </c>
      <c r="L34" s="4">
        <f t="shared" si="6"/>
        <v>3</v>
      </c>
      <c r="M34" s="4">
        <f t="shared" si="7"/>
        <v>1</v>
      </c>
      <c r="N34" s="4">
        <f t="shared" si="8"/>
        <v>0.5</v>
      </c>
    </row>
    <row r="35" spans="1:14" x14ac:dyDescent="0.2">
      <c r="A35" t="str">
        <v>d_34</v>
      </c>
      <c r="B35" s="2">
        <v>40605</v>
      </c>
      <c r="C35" s="4">
        <v>7</v>
      </c>
      <c r="D35" s="4">
        <v>0</v>
      </c>
      <c r="E35" s="4">
        <v>1</v>
      </c>
      <c r="F35">
        <f t="shared" si="0"/>
        <v>5.5</v>
      </c>
      <c r="G35">
        <f t="shared" si="1"/>
        <v>0</v>
      </c>
      <c r="H35" s="4">
        <f t="shared" si="2"/>
        <v>0.5</v>
      </c>
      <c r="I35" s="4">
        <f t="shared" si="3"/>
        <v>0.5</v>
      </c>
      <c r="J35" s="4">
        <f t="shared" si="4"/>
        <v>0.5</v>
      </c>
      <c r="K35" s="4">
        <f t="shared" si="5"/>
        <v>1</v>
      </c>
      <c r="L35" s="4">
        <f t="shared" si="6"/>
        <v>1.5</v>
      </c>
      <c r="M35" s="4">
        <f t="shared" si="7"/>
        <v>1</v>
      </c>
      <c r="N35" s="4">
        <f t="shared" si="8"/>
        <v>2</v>
      </c>
    </row>
    <row r="36" spans="1:14" x14ac:dyDescent="0.2">
      <c r="A36" t="str">
        <v>d_35</v>
      </c>
      <c r="B36" s="2">
        <v>40606</v>
      </c>
      <c r="C36" s="4">
        <v>1</v>
      </c>
      <c r="D36" s="4">
        <v>1</v>
      </c>
      <c r="E36" s="4">
        <v>2</v>
      </c>
      <c r="F36">
        <f t="shared" si="0"/>
        <v>1.5</v>
      </c>
      <c r="G36">
        <f t="shared" si="1"/>
        <v>1</v>
      </c>
      <c r="H36" s="4">
        <f t="shared" si="2"/>
        <v>1.5</v>
      </c>
      <c r="I36" s="4">
        <f t="shared" si="3"/>
        <v>4.5</v>
      </c>
      <c r="J36" s="4">
        <f t="shared" si="4"/>
        <v>0</v>
      </c>
      <c r="K36" s="4">
        <f t="shared" si="5"/>
        <v>0.5</v>
      </c>
      <c r="L36" s="4">
        <f t="shared" si="6"/>
        <v>3.5</v>
      </c>
      <c r="M36" s="4">
        <f t="shared" si="7"/>
        <v>0</v>
      </c>
      <c r="N36" s="4">
        <f t="shared" si="8"/>
        <v>1</v>
      </c>
    </row>
    <row r="37" spans="1:14" x14ac:dyDescent="0.2">
      <c r="A37" t="str">
        <v>d_36</v>
      </c>
      <c r="B37" s="2">
        <v>40607</v>
      </c>
      <c r="C37" s="4">
        <v>2</v>
      </c>
      <c r="D37" s="4">
        <v>1</v>
      </c>
      <c r="E37" s="4">
        <v>3</v>
      </c>
      <c r="F37">
        <f t="shared" si="0"/>
        <v>2</v>
      </c>
      <c r="G37">
        <f t="shared" si="1"/>
        <v>0.5</v>
      </c>
      <c r="H37" s="4">
        <f t="shared" si="2"/>
        <v>1.5</v>
      </c>
      <c r="I37" s="4">
        <f t="shared" si="3"/>
        <v>1</v>
      </c>
      <c r="J37" s="4">
        <f t="shared" si="4"/>
        <v>0.5</v>
      </c>
      <c r="K37" s="4">
        <f t="shared" si="5"/>
        <v>2</v>
      </c>
      <c r="L37" s="4">
        <f t="shared" si="6"/>
        <v>1.5</v>
      </c>
      <c r="M37" s="4">
        <f t="shared" si="7"/>
        <v>0.5</v>
      </c>
      <c r="N37" s="4">
        <f t="shared" si="8"/>
        <v>1.5</v>
      </c>
    </row>
    <row r="38" spans="1:14" x14ac:dyDescent="0.2">
      <c r="A38" t="str">
        <v>d_37</v>
      </c>
      <c r="B38" s="2">
        <v>40608</v>
      </c>
      <c r="C38" s="4">
        <v>3</v>
      </c>
      <c r="D38" s="4">
        <v>3</v>
      </c>
      <c r="E38" s="4">
        <v>1</v>
      </c>
      <c r="F38">
        <f t="shared" si="0"/>
        <v>1.5</v>
      </c>
      <c r="G38">
        <f t="shared" si="1"/>
        <v>1.5</v>
      </c>
      <c r="H38" s="4">
        <f t="shared" si="2"/>
        <v>1</v>
      </c>
      <c r="I38" s="4">
        <f t="shared" si="3"/>
        <v>2</v>
      </c>
      <c r="J38" s="4">
        <f t="shared" si="4"/>
        <v>0.5</v>
      </c>
      <c r="K38" s="4">
        <f t="shared" si="5"/>
        <v>3.5</v>
      </c>
      <c r="L38" s="4">
        <f t="shared" si="6"/>
        <v>1</v>
      </c>
      <c r="M38" s="4">
        <f t="shared" si="7"/>
        <v>0.5</v>
      </c>
      <c r="N38" s="4">
        <f t="shared" si="8"/>
        <v>2</v>
      </c>
    </row>
    <row r="39" spans="1:14" x14ac:dyDescent="0.2">
      <c r="A39" t="str">
        <v>d_38</v>
      </c>
      <c r="B39" s="2">
        <v>40609</v>
      </c>
      <c r="C39" s="4">
        <v>0</v>
      </c>
      <c r="D39" s="4">
        <v>0</v>
      </c>
      <c r="E39" s="4">
        <v>0</v>
      </c>
      <c r="F39">
        <f t="shared" si="0"/>
        <v>1</v>
      </c>
      <c r="G39">
        <f t="shared" si="1"/>
        <v>0.5</v>
      </c>
      <c r="H39" s="4">
        <f t="shared" si="2"/>
        <v>0</v>
      </c>
      <c r="I39" s="4">
        <f t="shared" si="3"/>
        <v>1.5</v>
      </c>
      <c r="J39" s="4">
        <f t="shared" si="4"/>
        <v>1.5</v>
      </c>
      <c r="K39" s="4">
        <f t="shared" si="5"/>
        <v>1</v>
      </c>
      <c r="L39" s="4">
        <f t="shared" si="6"/>
        <v>1.5</v>
      </c>
      <c r="M39" s="4">
        <f t="shared" si="7"/>
        <v>1.5</v>
      </c>
      <c r="N39" s="4">
        <f t="shared" si="8"/>
        <v>0.5</v>
      </c>
    </row>
    <row r="40" spans="1:14" x14ac:dyDescent="0.2">
      <c r="A40" t="str">
        <v>d_39</v>
      </c>
      <c r="B40" s="2">
        <v>40610</v>
      </c>
      <c r="C40" s="4">
        <v>1</v>
      </c>
      <c r="D40" s="4">
        <v>0</v>
      </c>
      <c r="E40" s="4">
        <v>0</v>
      </c>
      <c r="F40">
        <f t="shared" si="0"/>
        <v>1</v>
      </c>
      <c r="G40">
        <f t="shared" si="1"/>
        <v>0.5</v>
      </c>
      <c r="H40" s="4">
        <f t="shared" si="2"/>
        <v>0.5</v>
      </c>
      <c r="I40" s="4">
        <f t="shared" si="3"/>
        <v>1</v>
      </c>
      <c r="J40" s="4">
        <f t="shared" si="4"/>
        <v>0</v>
      </c>
      <c r="K40" s="4">
        <f t="shared" si="5"/>
        <v>0.5</v>
      </c>
      <c r="L40" s="4">
        <f t="shared" si="6"/>
        <v>0</v>
      </c>
      <c r="M40" s="4">
        <f t="shared" si="7"/>
        <v>0.5</v>
      </c>
      <c r="N40" s="4">
        <f t="shared" si="8"/>
        <v>0.5</v>
      </c>
    </row>
    <row r="41" spans="1:14" x14ac:dyDescent="0.2">
      <c r="A41" t="str">
        <v>d_40</v>
      </c>
      <c r="B41" s="2">
        <v>40611</v>
      </c>
      <c r="C41" s="4">
        <v>2</v>
      </c>
      <c r="D41" s="4">
        <v>0</v>
      </c>
      <c r="E41" s="4">
        <v>0</v>
      </c>
      <c r="F41">
        <f t="shared" si="0"/>
        <v>4.5</v>
      </c>
      <c r="G41">
        <f t="shared" si="1"/>
        <v>0</v>
      </c>
      <c r="H41" s="4">
        <f t="shared" si="2"/>
        <v>0.5</v>
      </c>
      <c r="I41" s="4">
        <f t="shared" si="3"/>
        <v>1.5</v>
      </c>
      <c r="J41" s="4">
        <f t="shared" si="4"/>
        <v>0</v>
      </c>
      <c r="K41" s="4">
        <f t="shared" si="5"/>
        <v>1</v>
      </c>
      <c r="L41" s="4">
        <f t="shared" si="6"/>
        <v>0.5</v>
      </c>
      <c r="M41" s="4">
        <f t="shared" si="7"/>
        <v>0.5</v>
      </c>
      <c r="N41" s="4">
        <f t="shared" si="8"/>
        <v>0</v>
      </c>
    </row>
    <row r="42" spans="1:14" x14ac:dyDescent="0.2">
      <c r="A42" t="str">
        <v>d_41</v>
      </c>
      <c r="B42" s="2">
        <v>40612</v>
      </c>
      <c r="C42" s="4">
        <v>3</v>
      </c>
      <c r="D42" s="4">
        <v>0</v>
      </c>
      <c r="E42" s="4">
        <v>2</v>
      </c>
      <c r="F42">
        <f t="shared" si="0"/>
        <v>2</v>
      </c>
      <c r="G42">
        <f t="shared" si="1"/>
        <v>0.5</v>
      </c>
      <c r="H42" s="4">
        <f t="shared" si="2"/>
        <v>2</v>
      </c>
      <c r="I42" s="4">
        <f t="shared" si="3"/>
        <v>2</v>
      </c>
      <c r="J42" s="4">
        <f t="shared" si="4"/>
        <v>0</v>
      </c>
      <c r="K42" s="4">
        <f t="shared" si="5"/>
        <v>0.5</v>
      </c>
      <c r="L42" s="4">
        <f t="shared" si="6"/>
        <v>2.5</v>
      </c>
      <c r="M42" s="4">
        <f t="shared" si="7"/>
        <v>0</v>
      </c>
      <c r="N42" s="4">
        <f t="shared" si="8"/>
        <v>0</v>
      </c>
    </row>
    <row r="43" spans="1:14" x14ac:dyDescent="0.2">
      <c r="A43" t="str">
        <v>d_42</v>
      </c>
      <c r="B43" s="2">
        <v>40613</v>
      </c>
      <c r="C43" s="4">
        <v>0</v>
      </c>
      <c r="D43" s="4">
        <v>0</v>
      </c>
      <c r="E43" s="4">
        <v>0</v>
      </c>
      <c r="F43">
        <f t="shared" si="0"/>
        <v>1</v>
      </c>
      <c r="G43">
        <f t="shared" si="1"/>
        <v>0.5</v>
      </c>
      <c r="H43" s="4">
        <f t="shared" si="2"/>
        <v>1.5</v>
      </c>
      <c r="I43" s="4">
        <f t="shared" si="3"/>
        <v>3.5</v>
      </c>
      <c r="J43" s="4">
        <f t="shared" si="4"/>
        <v>0</v>
      </c>
      <c r="K43" s="4">
        <f t="shared" si="5"/>
        <v>1</v>
      </c>
      <c r="L43" s="4">
        <f t="shared" si="6"/>
        <v>2</v>
      </c>
      <c r="M43" s="4">
        <f t="shared" si="7"/>
        <v>1</v>
      </c>
      <c r="N43" s="4">
        <f t="shared" si="8"/>
        <v>2</v>
      </c>
    </row>
    <row r="44" spans="1:14" x14ac:dyDescent="0.2">
      <c r="A44" t="str">
        <v>d_43</v>
      </c>
      <c r="B44" s="2">
        <v>40614</v>
      </c>
      <c r="C44" s="4">
        <v>1</v>
      </c>
      <c r="D44" s="4">
        <v>0</v>
      </c>
      <c r="E44" s="4">
        <v>0</v>
      </c>
      <c r="F44">
        <f t="shared" si="0"/>
        <v>2</v>
      </c>
      <c r="G44">
        <f t="shared" si="1"/>
        <v>1.5</v>
      </c>
      <c r="H44" s="4">
        <f t="shared" si="2"/>
        <v>0.5</v>
      </c>
      <c r="I44" s="4">
        <f t="shared" si="3"/>
        <v>1</v>
      </c>
      <c r="J44" s="4">
        <f t="shared" si="4"/>
        <v>0.5</v>
      </c>
      <c r="K44" s="4">
        <f t="shared" si="5"/>
        <v>0.5</v>
      </c>
      <c r="L44" s="4">
        <f t="shared" si="6"/>
        <v>1.5</v>
      </c>
      <c r="M44" s="4">
        <f t="shared" si="7"/>
        <v>0</v>
      </c>
      <c r="N44" s="4">
        <f t="shared" si="8"/>
        <v>0.5</v>
      </c>
    </row>
    <row r="45" spans="1:14" x14ac:dyDescent="0.2">
      <c r="A45" t="str">
        <v>d_44</v>
      </c>
      <c r="B45" s="2">
        <v>40615</v>
      </c>
      <c r="C45" s="4">
        <v>5</v>
      </c>
      <c r="D45" s="4">
        <v>0</v>
      </c>
      <c r="E45" s="4">
        <v>0</v>
      </c>
      <c r="F45">
        <f t="shared" si="0"/>
        <v>2.5</v>
      </c>
      <c r="G45">
        <f t="shared" si="1"/>
        <v>0</v>
      </c>
      <c r="H45" s="4">
        <f t="shared" si="2"/>
        <v>0</v>
      </c>
      <c r="I45" s="4">
        <f t="shared" si="3"/>
        <v>1.5</v>
      </c>
      <c r="J45" s="4">
        <f t="shared" si="4"/>
        <v>0</v>
      </c>
      <c r="K45" s="4">
        <f t="shared" si="5"/>
        <v>0</v>
      </c>
      <c r="L45" s="4">
        <f t="shared" si="6"/>
        <v>0.5</v>
      </c>
      <c r="M45" s="4">
        <f t="shared" si="7"/>
        <v>0.5</v>
      </c>
      <c r="N45" s="4">
        <f t="shared" si="8"/>
        <v>0.5</v>
      </c>
    </row>
    <row r="46" spans="1:14" x14ac:dyDescent="0.2">
      <c r="A46" t="str">
        <v>d_45</v>
      </c>
      <c r="B46" s="2">
        <v>40616</v>
      </c>
      <c r="C46" s="4">
        <v>0</v>
      </c>
      <c r="D46" s="4">
        <v>0</v>
      </c>
      <c r="E46" s="4">
        <v>0</v>
      </c>
      <c r="F46">
        <f t="shared" si="0"/>
        <v>0.5</v>
      </c>
      <c r="G46">
        <f t="shared" si="1"/>
        <v>0</v>
      </c>
      <c r="H46" s="4">
        <f t="shared" si="2"/>
        <v>0</v>
      </c>
      <c r="I46" s="4">
        <f t="shared" si="3"/>
        <v>2.5</v>
      </c>
      <c r="J46" s="4">
        <f t="shared" si="4"/>
        <v>0</v>
      </c>
      <c r="K46" s="4">
        <f t="shared" si="5"/>
        <v>0.5</v>
      </c>
      <c r="L46" s="4">
        <f t="shared" si="6"/>
        <v>3.5</v>
      </c>
      <c r="M46" s="4">
        <f t="shared" si="7"/>
        <v>0</v>
      </c>
      <c r="N46" s="4">
        <f t="shared" si="8"/>
        <v>0.5</v>
      </c>
    </row>
    <row r="47" spans="1:14" x14ac:dyDescent="0.2">
      <c r="A47" t="str">
        <v>d_46</v>
      </c>
      <c r="B47" s="2">
        <v>40617</v>
      </c>
      <c r="C47" s="4">
        <v>0</v>
      </c>
      <c r="D47" s="4">
        <v>0</v>
      </c>
      <c r="E47" s="4">
        <v>2</v>
      </c>
      <c r="F47">
        <f t="shared" si="0"/>
        <v>1</v>
      </c>
      <c r="G47">
        <f t="shared" si="1"/>
        <v>0</v>
      </c>
      <c r="H47" s="4">
        <f t="shared" si="2"/>
        <v>1</v>
      </c>
      <c r="I47" s="4">
        <f t="shared" si="3"/>
        <v>1</v>
      </c>
      <c r="J47" s="4">
        <f t="shared" si="4"/>
        <v>0.5</v>
      </c>
      <c r="K47" s="4">
        <f t="shared" si="5"/>
        <v>0</v>
      </c>
      <c r="L47" s="4">
        <f t="shared" si="6"/>
        <v>0.5</v>
      </c>
      <c r="M47" s="4">
        <f t="shared" si="7"/>
        <v>0</v>
      </c>
      <c r="N47" s="4">
        <f t="shared" si="8"/>
        <v>0</v>
      </c>
    </row>
    <row r="48" spans="1:14" x14ac:dyDescent="0.2">
      <c r="A48" t="str">
        <v>d_47</v>
      </c>
      <c r="B48" s="2">
        <v>40618</v>
      </c>
      <c r="C48" s="4">
        <v>1</v>
      </c>
      <c r="D48" s="4">
        <v>0</v>
      </c>
      <c r="E48" s="4">
        <v>2</v>
      </c>
      <c r="F48">
        <f t="shared" si="0"/>
        <v>2</v>
      </c>
      <c r="G48">
        <f t="shared" si="1"/>
        <v>0</v>
      </c>
      <c r="H48" s="4">
        <f t="shared" si="2"/>
        <v>2</v>
      </c>
      <c r="I48" s="4">
        <f t="shared" si="3"/>
        <v>0.5</v>
      </c>
      <c r="J48" s="4">
        <f t="shared" si="4"/>
        <v>0.5</v>
      </c>
      <c r="K48" s="4">
        <f t="shared" si="5"/>
        <v>1.5</v>
      </c>
      <c r="L48" s="4">
        <f t="shared" si="6"/>
        <v>1</v>
      </c>
      <c r="M48" s="4">
        <f t="shared" si="7"/>
        <v>0</v>
      </c>
      <c r="N48" s="4">
        <f t="shared" si="8"/>
        <v>1</v>
      </c>
    </row>
    <row r="49" spans="1:14" x14ac:dyDescent="0.2">
      <c r="A49" t="str">
        <v>d_48</v>
      </c>
      <c r="B49" s="2">
        <v>40619</v>
      </c>
      <c r="C49" s="4">
        <v>0</v>
      </c>
      <c r="D49" s="4">
        <v>0</v>
      </c>
      <c r="E49" s="4">
        <v>1</v>
      </c>
      <c r="F49">
        <f t="shared" si="0"/>
        <v>0</v>
      </c>
      <c r="G49">
        <f t="shared" si="1"/>
        <v>0</v>
      </c>
      <c r="H49" s="4">
        <f t="shared" si="2"/>
        <v>0.5</v>
      </c>
      <c r="I49" s="4">
        <f t="shared" si="3"/>
        <v>4</v>
      </c>
      <c r="J49" s="4">
        <f t="shared" si="4"/>
        <v>0</v>
      </c>
      <c r="K49" s="4">
        <f t="shared" si="5"/>
        <v>1.5</v>
      </c>
      <c r="L49" s="4">
        <f t="shared" si="6"/>
        <v>0.5</v>
      </c>
      <c r="M49" s="4">
        <f t="shared" si="7"/>
        <v>0</v>
      </c>
      <c r="N49" s="4">
        <f t="shared" si="8"/>
        <v>1.5</v>
      </c>
    </row>
    <row r="50" spans="1:14" x14ac:dyDescent="0.2">
      <c r="A50" t="str">
        <v>d_49</v>
      </c>
      <c r="B50" s="2">
        <v>40620</v>
      </c>
      <c r="C50" s="4">
        <v>0</v>
      </c>
      <c r="D50" s="4">
        <v>2</v>
      </c>
      <c r="E50" s="4">
        <v>0</v>
      </c>
      <c r="F50">
        <f t="shared" si="0"/>
        <v>0.5</v>
      </c>
      <c r="G50">
        <f t="shared" si="1"/>
        <v>1</v>
      </c>
      <c r="H50" s="4">
        <f t="shared" si="2"/>
        <v>0</v>
      </c>
      <c r="I50" s="4">
        <f t="shared" si="3"/>
        <v>0.5</v>
      </c>
      <c r="J50" s="4">
        <f t="shared" si="4"/>
        <v>0.5</v>
      </c>
      <c r="K50" s="4">
        <f t="shared" si="5"/>
        <v>1.5</v>
      </c>
      <c r="L50" s="4">
        <f t="shared" si="6"/>
        <v>1</v>
      </c>
      <c r="M50" s="4">
        <f t="shared" si="7"/>
        <v>0</v>
      </c>
      <c r="N50" s="4">
        <f t="shared" si="8"/>
        <v>0.5</v>
      </c>
    </row>
    <row r="51" spans="1:14" x14ac:dyDescent="0.2">
      <c r="A51" t="str">
        <v>d_50</v>
      </c>
      <c r="B51" s="2">
        <v>40621</v>
      </c>
      <c r="C51" s="4">
        <v>1</v>
      </c>
      <c r="D51" s="4">
        <v>1</v>
      </c>
      <c r="E51" s="4">
        <v>3</v>
      </c>
      <c r="F51">
        <f t="shared" si="0"/>
        <v>3</v>
      </c>
      <c r="G51">
        <f t="shared" si="1"/>
        <v>0.5</v>
      </c>
      <c r="H51" s="4">
        <f t="shared" si="2"/>
        <v>1.5</v>
      </c>
      <c r="I51" s="4">
        <f t="shared" si="3"/>
        <v>1</v>
      </c>
      <c r="J51" s="4">
        <f t="shared" si="4"/>
        <v>1.5</v>
      </c>
      <c r="K51" s="4">
        <f t="shared" si="5"/>
        <v>1.5</v>
      </c>
      <c r="L51" s="4">
        <f t="shared" si="6"/>
        <v>0.5</v>
      </c>
      <c r="M51" s="4">
        <f t="shared" si="7"/>
        <v>1</v>
      </c>
      <c r="N51" s="4">
        <f t="shared" si="8"/>
        <v>1</v>
      </c>
    </row>
    <row r="52" spans="1:14" x14ac:dyDescent="0.2">
      <c r="A52" t="str">
        <v>d_51</v>
      </c>
      <c r="B52" s="2">
        <v>40622</v>
      </c>
      <c r="C52" s="4">
        <v>1</v>
      </c>
      <c r="D52" s="4">
        <v>0</v>
      </c>
      <c r="E52" s="4">
        <v>2</v>
      </c>
      <c r="F52">
        <f t="shared" si="0"/>
        <v>0.5</v>
      </c>
      <c r="G52">
        <f t="shared" si="1"/>
        <v>0</v>
      </c>
      <c r="H52" s="4">
        <f t="shared" si="2"/>
        <v>1</v>
      </c>
      <c r="I52" s="4">
        <f t="shared" si="3"/>
        <v>2</v>
      </c>
      <c r="J52" s="4">
        <f t="shared" si="4"/>
        <v>2</v>
      </c>
      <c r="K52" s="4">
        <f t="shared" si="5"/>
        <v>2</v>
      </c>
      <c r="L52" s="4">
        <f t="shared" si="6"/>
        <v>1.5</v>
      </c>
      <c r="M52" s="4">
        <f t="shared" si="7"/>
        <v>0.5</v>
      </c>
      <c r="N52" s="4">
        <f t="shared" si="8"/>
        <v>3.5</v>
      </c>
    </row>
    <row r="53" spans="1:14" x14ac:dyDescent="0.2">
      <c r="A53" t="str">
        <v>d_52</v>
      </c>
      <c r="B53" s="2">
        <v>40623</v>
      </c>
      <c r="C53" s="4">
        <v>1</v>
      </c>
      <c r="D53" s="4">
        <v>1</v>
      </c>
      <c r="E53" s="4">
        <v>1</v>
      </c>
      <c r="F53">
        <f t="shared" si="0"/>
        <v>0.5</v>
      </c>
      <c r="G53">
        <f t="shared" si="1"/>
        <v>0.5</v>
      </c>
      <c r="H53" s="4">
        <f t="shared" si="2"/>
        <v>1.5</v>
      </c>
      <c r="I53" s="4">
        <f t="shared" si="3"/>
        <v>0.5</v>
      </c>
      <c r="J53" s="4">
        <f t="shared" si="4"/>
        <v>0</v>
      </c>
      <c r="K53" s="4">
        <f t="shared" si="5"/>
        <v>1</v>
      </c>
      <c r="L53" s="4">
        <f t="shared" si="6"/>
        <v>0.5</v>
      </c>
      <c r="M53" s="4">
        <f t="shared" si="7"/>
        <v>0</v>
      </c>
      <c r="N53" s="4">
        <f t="shared" si="8"/>
        <v>1.5</v>
      </c>
    </row>
    <row r="54" spans="1:14" x14ac:dyDescent="0.2">
      <c r="A54" t="str">
        <v>d_53</v>
      </c>
      <c r="B54" s="2">
        <v>40624</v>
      </c>
      <c r="C54" s="4">
        <v>1</v>
      </c>
      <c r="D54" s="4">
        <v>0</v>
      </c>
      <c r="E54" s="4">
        <v>0</v>
      </c>
      <c r="F54">
        <f t="shared" si="0"/>
        <v>1</v>
      </c>
      <c r="G54">
        <f t="shared" si="1"/>
        <v>0</v>
      </c>
      <c r="H54" s="4">
        <f t="shared" si="2"/>
        <v>1</v>
      </c>
      <c r="I54" s="4">
        <f t="shared" si="3"/>
        <v>1</v>
      </c>
      <c r="J54" s="4">
        <f t="shared" si="4"/>
        <v>0.5</v>
      </c>
      <c r="K54" s="4">
        <f t="shared" si="5"/>
        <v>0.5</v>
      </c>
      <c r="L54" s="4">
        <f t="shared" si="6"/>
        <v>1.5</v>
      </c>
      <c r="M54" s="4">
        <f t="shared" si="7"/>
        <v>0.5</v>
      </c>
      <c r="N54" s="4">
        <f t="shared" si="8"/>
        <v>1</v>
      </c>
    </row>
    <row r="55" spans="1:14" x14ac:dyDescent="0.2">
      <c r="A55" t="str">
        <v>d_54</v>
      </c>
      <c r="B55" s="2">
        <v>40625</v>
      </c>
      <c r="C55" s="4">
        <v>1</v>
      </c>
      <c r="D55" s="4">
        <v>0</v>
      </c>
      <c r="E55" s="4">
        <v>0</v>
      </c>
      <c r="F55">
        <f t="shared" si="0"/>
        <v>0.5</v>
      </c>
      <c r="G55">
        <f t="shared" si="1"/>
        <v>0</v>
      </c>
      <c r="H55" s="4">
        <f t="shared" si="2"/>
        <v>0.5</v>
      </c>
      <c r="I55" s="4">
        <f t="shared" si="3"/>
        <v>1.5</v>
      </c>
      <c r="J55" s="4">
        <f t="shared" si="4"/>
        <v>0</v>
      </c>
      <c r="K55" s="4">
        <f t="shared" si="5"/>
        <v>0</v>
      </c>
      <c r="L55" s="4">
        <f t="shared" si="6"/>
        <v>1.5</v>
      </c>
      <c r="M55" s="4">
        <f t="shared" si="7"/>
        <v>0</v>
      </c>
      <c r="N55" s="4">
        <f t="shared" si="8"/>
        <v>1</v>
      </c>
    </row>
    <row r="56" spans="1:14" x14ac:dyDescent="0.2">
      <c r="A56" t="str">
        <v>d_55</v>
      </c>
      <c r="B56" s="2">
        <v>40626</v>
      </c>
      <c r="C56" s="4">
        <v>0</v>
      </c>
      <c r="D56" s="4">
        <v>0</v>
      </c>
      <c r="E56" s="4">
        <v>0</v>
      </c>
      <c r="F56">
        <f t="shared" si="0"/>
        <v>0</v>
      </c>
      <c r="G56">
        <f t="shared" si="1"/>
        <v>1</v>
      </c>
      <c r="H56" s="4">
        <f t="shared" si="2"/>
        <v>0</v>
      </c>
      <c r="I56" s="4">
        <f t="shared" si="3"/>
        <v>2</v>
      </c>
      <c r="J56" s="4">
        <f t="shared" si="4"/>
        <v>0</v>
      </c>
      <c r="K56" s="4">
        <f t="shared" si="5"/>
        <v>1</v>
      </c>
      <c r="L56" s="4">
        <f t="shared" si="6"/>
        <v>1.5</v>
      </c>
      <c r="M56" s="4">
        <f t="shared" si="7"/>
        <v>0</v>
      </c>
      <c r="N56" s="4">
        <f t="shared" si="8"/>
        <v>0.5</v>
      </c>
    </row>
    <row r="57" spans="1:14" x14ac:dyDescent="0.2">
      <c r="A57" t="str">
        <v>d_56</v>
      </c>
      <c r="B57" s="2">
        <v>40627</v>
      </c>
      <c r="C57" s="4">
        <v>1</v>
      </c>
      <c r="D57" s="4">
        <v>0</v>
      </c>
      <c r="E57" s="4">
        <v>1</v>
      </c>
      <c r="F57">
        <f t="shared" si="0"/>
        <v>1</v>
      </c>
      <c r="G57">
        <f t="shared" si="1"/>
        <v>0.5</v>
      </c>
      <c r="H57" s="4">
        <f t="shared" si="2"/>
        <v>2</v>
      </c>
      <c r="I57" s="4">
        <f t="shared" si="3"/>
        <v>0</v>
      </c>
      <c r="J57" s="4">
        <f t="shared" si="4"/>
        <v>0</v>
      </c>
      <c r="K57" s="4">
        <f t="shared" si="5"/>
        <v>0</v>
      </c>
      <c r="L57" s="4">
        <f t="shared" si="6"/>
        <v>2</v>
      </c>
      <c r="M57" s="4">
        <f t="shared" si="7"/>
        <v>0</v>
      </c>
      <c r="N57" s="4">
        <f t="shared" si="8"/>
        <v>0</v>
      </c>
    </row>
    <row r="58" spans="1:14" x14ac:dyDescent="0.2">
      <c r="A58" t="str">
        <v>d_57</v>
      </c>
      <c r="B58" s="2">
        <v>40628</v>
      </c>
      <c r="C58" s="4">
        <v>2</v>
      </c>
      <c r="D58" s="4">
        <v>0</v>
      </c>
      <c r="E58" s="4">
        <v>0</v>
      </c>
      <c r="F58">
        <f t="shared" si="0"/>
        <v>1.5</v>
      </c>
      <c r="G58">
        <f t="shared" si="1"/>
        <v>0</v>
      </c>
      <c r="H58" s="4">
        <f t="shared" si="2"/>
        <v>1</v>
      </c>
      <c r="I58" s="4">
        <f t="shared" si="3"/>
        <v>1</v>
      </c>
      <c r="J58" s="4">
        <f t="shared" si="4"/>
        <v>0</v>
      </c>
      <c r="K58" s="4">
        <f t="shared" si="5"/>
        <v>0.5</v>
      </c>
      <c r="L58" s="4">
        <f t="shared" si="6"/>
        <v>1.5</v>
      </c>
      <c r="M58" s="4">
        <f t="shared" si="7"/>
        <v>0.5</v>
      </c>
      <c r="N58" s="4">
        <f t="shared" si="8"/>
        <v>1</v>
      </c>
    </row>
    <row r="59" spans="1:14" x14ac:dyDescent="0.2">
      <c r="A59" t="str">
        <v>d_58</v>
      </c>
      <c r="B59" s="2">
        <v>40629</v>
      </c>
      <c r="C59" s="4">
        <v>2</v>
      </c>
      <c r="D59" s="4">
        <v>1</v>
      </c>
      <c r="E59" s="4">
        <v>3</v>
      </c>
      <c r="F59">
        <f t="shared" si="0"/>
        <v>1.5</v>
      </c>
      <c r="G59">
        <f t="shared" si="1"/>
        <v>1</v>
      </c>
      <c r="H59" s="4">
        <f t="shared" si="2"/>
        <v>2</v>
      </c>
      <c r="I59" s="4">
        <f t="shared" si="3"/>
        <v>3.5</v>
      </c>
      <c r="J59" s="4">
        <f t="shared" si="4"/>
        <v>0</v>
      </c>
      <c r="K59" s="4">
        <f t="shared" si="5"/>
        <v>0</v>
      </c>
      <c r="L59" s="4">
        <f t="shared" si="6"/>
        <v>2</v>
      </c>
      <c r="M59" s="4">
        <f t="shared" si="7"/>
        <v>0</v>
      </c>
      <c r="N59" s="4">
        <f t="shared" si="8"/>
        <v>0</v>
      </c>
    </row>
    <row r="60" spans="1:14" x14ac:dyDescent="0.2">
      <c r="A60" t="str">
        <v>d_59</v>
      </c>
      <c r="B60" s="2">
        <v>40630</v>
      </c>
      <c r="C60" s="4">
        <v>0</v>
      </c>
      <c r="D60" s="4">
        <v>2</v>
      </c>
      <c r="E60" s="4">
        <v>0</v>
      </c>
      <c r="F60">
        <f t="shared" si="0"/>
        <v>0.5</v>
      </c>
      <c r="G60">
        <f t="shared" si="1"/>
        <v>1</v>
      </c>
      <c r="H60" s="4">
        <f t="shared" si="2"/>
        <v>0</v>
      </c>
      <c r="I60" s="4">
        <f t="shared" si="3"/>
        <v>1</v>
      </c>
      <c r="J60" s="4">
        <f t="shared" si="4"/>
        <v>0.5</v>
      </c>
      <c r="K60" s="4">
        <f t="shared" si="5"/>
        <v>1.5</v>
      </c>
      <c r="L60" s="4">
        <f t="shared" si="6"/>
        <v>1</v>
      </c>
      <c r="M60" s="4">
        <f t="shared" si="7"/>
        <v>0.5</v>
      </c>
      <c r="N60" s="4">
        <f t="shared" si="8"/>
        <v>2</v>
      </c>
    </row>
    <row r="61" spans="1:14" x14ac:dyDescent="0.2">
      <c r="A61" t="str">
        <v>d_60</v>
      </c>
      <c r="B61" s="2">
        <v>40631</v>
      </c>
      <c r="C61" s="4">
        <v>1</v>
      </c>
      <c r="D61" s="4">
        <v>0</v>
      </c>
      <c r="E61" s="4">
        <v>2</v>
      </c>
      <c r="F61">
        <f t="shared" si="0"/>
        <v>1</v>
      </c>
      <c r="G61">
        <f t="shared" si="1"/>
        <v>0</v>
      </c>
      <c r="H61" s="4">
        <f t="shared" si="2"/>
        <v>1</v>
      </c>
      <c r="I61" s="4">
        <f t="shared" si="3"/>
        <v>0</v>
      </c>
      <c r="J61" s="4">
        <f t="shared" si="4"/>
        <v>1</v>
      </c>
      <c r="K61" s="4">
        <f t="shared" si="5"/>
        <v>1</v>
      </c>
      <c r="L61" s="4">
        <f t="shared" si="6"/>
        <v>1</v>
      </c>
      <c r="M61" s="4">
        <f t="shared" si="7"/>
        <v>1.5</v>
      </c>
      <c r="N61" s="4">
        <f t="shared" si="8"/>
        <v>0</v>
      </c>
    </row>
    <row r="62" spans="1:14" x14ac:dyDescent="0.2">
      <c r="A62" t="str">
        <v>d_61</v>
      </c>
      <c r="B62" s="2">
        <v>40632</v>
      </c>
      <c r="C62" s="4">
        <v>0</v>
      </c>
      <c r="D62" s="4">
        <v>0</v>
      </c>
      <c r="E62" s="4">
        <v>0</v>
      </c>
      <c r="F62">
        <f t="shared" si="0"/>
        <v>0</v>
      </c>
      <c r="G62">
        <f t="shared" si="1"/>
        <v>0</v>
      </c>
      <c r="H62" s="4">
        <f t="shared" si="2"/>
        <v>0</v>
      </c>
      <c r="I62" s="4">
        <f t="shared" si="3"/>
        <v>1</v>
      </c>
      <c r="J62" s="4">
        <f t="shared" si="4"/>
        <v>0</v>
      </c>
      <c r="K62" s="4">
        <f t="shared" si="5"/>
        <v>2</v>
      </c>
      <c r="L62" s="4">
        <f t="shared" si="6"/>
        <v>1</v>
      </c>
      <c r="M62" s="4">
        <f t="shared" si="7"/>
        <v>0.5</v>
      </c>
      <c r="N62" s="4">
        <f t="shared" si="8"/>
        <v>1.5</v>
      </c>
    </row>
    <row r="63" spans="1:14" x14ac:dyDescent="0.2">
      <c r="A63" t="str">
        <v>d_62</v>
      </c>
      <c r="B63" s="2">
        <v>40633</v>
      </c>
      <c r="C63" s="4">
        <v>0</v>
      </c>
      <c r="D63" s="4">
        <v>0</v>
      </c>
      <c r="E63" s="4">
        <v>2</v>
      </c>
      <c r="F63">
        <f t="shared" si="0"/>
        <v>0.5</v>
      </c>
      <c r="G63">
        <f t="shared" si="1"/>
        <v>0</v>
      </c>
      <c r="H63" s="4">
        <f t="shared" si="2"/>
        <v>1.5</v>
      </c>
      <c r="I63" s="4">
        <f t="shared" si="3"/>
        <v>0</v>
      </c>
      <c r="J63" s="4">
        <f t="shared" si="4"/>
        <v>0</v>
      </c>
      <c r="K63" s="4">
        <f t="shared" si="5"/>
        <v>0.5</v>
      </c>
      <c r="L63" s="4">
        <f t="shared" si="6"/>
        <v>3.5</v>
      </c>
      <c r="M63" s="4">
        <f t="shared" si="7"/>
        <v>0</v>
      </c>
      <c r="N63" s="4">
        <f t="shared" si="8"/>
        <v>0.5</v>
      </c>
    </row>
    <row r="64" spans="1:14" x14ac:dyDescent="0.2">
      <c r="A64" t="str">
        <v>d_63</v>
      </c>
      <c r="B64" s="2">
        <v>40634</v>
      </c>
      <c r="C64" s="4">
        <v>0</v>
      </c>
      <c r="D64" s="4">
        <v>0</v>
      </c>
      <c r="E64" s="4">
        <v>2</v>
      </c>
      <c r="F64">
        <f t="shared" si="0"/>
        <v>1</v>
      </c>
      <c r="G64">
        <f t="shared" si="1"/>
        <v>0</v>
      </c>
      <c r="H64" s="4">
        <f t="shared" si="2"/>
        <v>1</v>
      </c>
      <c r="I64" s="4">
        <f t="shared" si="3"/>
        <v>0</v>
      </c>
      <c r="J64" s="4">
        <f t="shared" si="4"/>
        <v>1</v>
      </c>
      <c r="K64" s="4">
        <f t="shared" si="5"/>
        <v>1</v>
      </c>
      <c r="L64" s="4">
        <f t="shared" si="6"/>
        <v>0.5</v>
      </c>
      <c r="M64" s="4">
        <f t="shared" si="7"/>
        <v>0.5</v>
      </c>
      <c r="N64" s="4">
        <f t="shared" si="8"/>
        <v>2</v>
      </c>
    </row>
    <row r="65" spans="1:14" x14ac:dyDescent="0.2">
      <c r="A65" t="str">
        <v>d_64</v>
      </c>
      <c r="B65" s="2">
        <v>40635</v>
      </c>
      <c r="C65" s="4">
        <v>0</v>
      </c>
      <c r="D65" s="4">
        <v>0</v>
      </c>
      <c r="E65" s="4">
        <v>1</v>
      </c>
      <c r="F65">
        <f t="shared" si="0"/>
        <v>1</v>
      </c>
      <c r="G65">
        <f t="shared" si="1"/>
        <v>0.5</v>
      </c>
      <c r="H65" s="4">
        <f t="shared" si="2"/>
        <v>2</v>
      </c>
      <c r="I65" s="4">
        <f t="shared" si="3"/>
        <v>0.5</v>
      </c>
      <c r="J65" s="4">
        <f t="shared" si="4"/>
        <v>0.5</v>
      </c>
      <c r="K65" s="4">
        <f t="shared" si="5"/>
        <v>2.5</v>
      </c>
      <c r="L65" s="4">
        <f t="shared" si="6"/>
        <v>1</v>
      </c>
      <c r="M65" s="4">
        <f t="shared" si="7"/>
        <v>0.5</v>
      </c>
      <c r="N65" s="4">
        <f t="shared" si="8"/>
        <v>2.5</v>
      </c>
    </row>
    <row r="66" spans="1:14" x14ac:dyDescent="0.2">
      <c r="A66" t="str">
        <v>d_65</v>
      </c>
      <c r="B66" s="2">
        <v>40636</v>
      </c>
      <c r="C66" s="4">
        <v>0</v>
      </c>
      <c r="D66" s="4">
        <v>1</v>
      </c>
      <c r="E66" s="4">
        <v>0</v>
      </c>
      <c r="F66">
        <f t="shared" si="0"/>
        <v>0</v>
      </c>
      <c r="G66">
        <f t="shared" si="1"/>
        <v>1.5</v>
      </c>
      <c r="H66" s="4">
        <f t="shared" si="2"/>
        <v>0</v>
      </c>
      <c r="I66" s="4">
        <f t="shared" si="3"/>
        <v>0.5</v>
      </c>
      <c r="J66" s="4">
        <f t="shared" si="4"/>
        <v>0</v>
      </c>
      <c r="K66" s="4">
        <f t="shared" si="5"/>
        <v>1.5</v>
      </c>
      <c r="L66" s="4">
        <f t="shared" si="6"/>
        <v>1.5</v>
      </c>
      <c r="M66" s="4">
        <f t="shared" si="7"/>
        <v>1.5</v>
      </c>
      <c r="N66" s="4">
        <f t="shared" si="8"/>
        <v>1</v>
      </c>
    </row>
    <row r="67" spans="1:14" x14ac:dyDescent="0.2">
      <c r="A67" t="str">
        <v>d_66</v>
      </c>
      <c r="B67" s="2">
        <v>40637</v>
      </c>
      <c r="C67" s="4">
        <v>4</v>
      </c>
      <c r="D67" s="4">
        <v>0</v>
      </c>
      <c r="E67" s="4">
        <v>1</v>
      </c>
      <c r="F67">
        <f t="shared" si="0"/>
        <v>2.5</v>
      </c>
      <c r="G67">
        <f t="shared" si="1"/>
        <v>0</v>
      </c>
      <c r="H67" s="4">
        <f t="shared" si="2"/>
        <v>1.5</v>
      </c>
      <c r="I67" s="4">
        <f t="shared" si="3"/>
        <v>0.5</v>
      </c>
      <c r="J67" s="4">
        <f t="shared" si="4"/>
        <v>1</v>
      </c>
      <c r="K67" s="4">
        <f t="shared" si="5"/>
        <v>0.5</v>
      </c>
      <c r="L67" s="4">
        <f t="shared" si="6"/>
        <v>0</v>
      </c>
      <c r="M67" s="4">
        <f t="shared" si="7"/>
        <v>0.5</v>
      </c>
      <c r="N67" s="4">
        <f t="shared" si="8"/>
        <v>0</v>
      </c>
    </row>
    <row r="68" spans="1:14" x14ac:dyDescent="0.2">
      <c r="A68" t="str">
        <v>d_67</v>
      </c>
      <c r="B68" s="2">
        <v>40638</v>
      </c>
      <c r="C68" s="4">
        <v>0</v>
      </c>
      <c r="D68" s="4">
        <v>0</v>
      </c>
      <c r="E68" s="4">
        <v>0</v>
      </c>
      <c r="F68">
        <f t="shared" si="0"/>
        <v>0</v>
      </c>
      <c r="G68">
        <f t="shared" si="1"/>
        <v>0</v>
      </c>
      <c r="H68" s="4">
        <f t="shared" si="2"/>
        <v>0</v>
      </c>
      <c r="I68" s="4">
        <f t="shared" si="3"/>
        <v>2.5</v>
      </c>
      <c r="J68" s="4">
        <f t="shared" si="4"/>
        <v>0</v>
      </c>
      <c r="K68" s="4">
        <f t="shared" si="5"/>
        <v>0.5</v>
      </c>
      <c r="L68" s="4">
        <f t="shared" si="6"/>
        <v>2.5</v>
      </c>
      <c r="M68" s="4">
        <f t="shared" si="7"/>
        <v>0</v>
      </c>
      <c r="N68" s="4">
        <f t="shared" si="8"/>
        <v>0.5</v>
      </c>
    </row>
    <row r="69" spans="1:14" x14ac:dyDescent="0.2">
      <c r="A69" t="str">
        <v>d_68</v>
      </c>
      <c r="B69" s="2">
        <v>40639</v>
      </c>
      <c r="C69" s="4">
        <v>1</v>
      </c>
      <c r="D69" s="4">
        <v>2</v>
      </c>
      <c r="E69" s="4">
        <v>0</v>
      </c>
      <c r="F69">
        <f t="shared" si="0"/>
        <v>0.5</v>
      </c>
      <c r="G69">
        <f t="shared" si="1"/>
        <v>1</v>
      </c>
      <c r="H69" s="4">
        <f t="shared" si="2"/>
        <v>1</v>
      </c>
      <c r="I69" s="4">
        <f t="shared" si="3"/>
        <v>0.5</v>
      </c>
      <c r="J69" s="4">
        <f t="shared" si="4"/>
        <v>0</v>
      </c>
      <c r="K69" s="4">
        <f t="shared" si="5"/>
        <v>0</v>
      </c>
      <c r="L69" s="4">
        <f t="shared" si="6"/>
        <v>1</v>
      </c>
      <c r="M69" s="4">
        <f t="shared" si="7"/>
        <v>0</v>
      </c>
      <c r="N69" s="4">
        <f t="shared" si="8"/>
        <v>0</v>
      </c>
    </row>
    <row r="70" spans="1:14" x14ac:dyDescent="0.2">
      <c r="A70" t="str">
        <v>d_69</v>
      </c>
      <c r="B70" s="2">
        <v>40640</v>
      </c>
      <c r="C70" s="4">
        <v>0</v>
      </c>
      <c r="D70" s="4">
        <v>0</v>
      </c>
      <c r="E70" s="4">
        <v>0</v>
      </c>
      <c r="F70">
        <f t="shared" si="0"/>
        <v>0</v>
      </c>
      <c r="G70">
        <f t="shared" si="1"/>
        <v>0</v>
      </c>
      <c r="H70" s="4">
        <f t="shared" si="2"/>
        <v>1</v>
      </c>
      <c r="I70" s="4">
        <f t="shared" si="3"/>
        <v>0.5</v>
      </c>
      <c r="J70" s="4">
        <f t="shared" si="4"/>
        <v>1</v>
      </c>
      <c r="K70" s="4">
        <f t="shared" si="5"/>
        <v>0</v>
      </c>
      <c r="L70" s="4">
        <f t="shared" si="6"/>
        <v>2</v>
      </c>
      <c r="M70" s="4">
        <f t="shared" si="7"/>
        <v>1</v>
      </c>
      <c r="N70" s="4">
        <f t="shared" si="8"/>
        <v>1</v>
      </c>
    </row>
    <row r="71" spans="1:14" x14ac:dyDescent="0.2">
      <c r="A71" t="str">
        <v>d_70</v>
      </c>
      <c r="B71" s="2">
        <v>40641</v>
      </c>
      <c r="C71" s="4">
        <v>1</v>
      </c>
      <c r="D71" s="4">
        <v>0</v>
      </c>
      <c r="E71" s="4">
        <v>0</v>
      </c>
      <c r="F71">
        <f t="shared" si="0"/>
        <v>0.5</v>
      </c>
      <c r="G71">
        <f t="shared" si="1"/>
        <v>0</v>
      </c>
      <c r="H71" s="4">
        <f t="shared" si="2"/>
        <v>0.5</v>
      </c>
      <c r="I71" s="4">
        <f t="shared" si="3"/>
        <v>0.5</v>
      </c>
      <c r="J71" s="4">
        <f t="shared" si="4"/>
        <v>0</v>
      </c>
      <c r="K71" s="4">
        <f t="shared" si="5"/>
        <v>0.5</v>
      </c>
      <c r="L71" s="4">
        <f t="shared" si="6"/>
        <v>0</v>
      </c>
      <c r="M71" s="4">
        <f t="shared" si="7"/>
        <v>0</v>
      </c>
      <c r="N71" s="4">
        <f t="shared" si="8"/>
        <v>0</v>
      </c>
    </row>
    <row r="72" spans="1:14" x14ac:dyDescent="0.2">
      <c r="A72" t="str">
        <v>d_71</v>
      </c>
      <c r="B72" s="2">
        <v>40642</v>
      </c>
      <c r="C72" s="4">
        <v>0</v>
      </c>
      <c r="D72" s="4">
        <v>1</v>
      </c>
      <c r="E72" s="4">
        <v>2</v>
      </c>
      <c r="F72">
        <f t="shared" si="0"/>
        <v>0</v>
      </c>
      <c r="G72">
        <f t="shared" si="1"/>
        <v>1</v>
      </c>
      <c r="H72" s="4">
        <f t="shared" si="2"/>
        <v>1</v>
      </c>
      <c r="I72" s="4">
        <f t="shared" si="3"/>
        <v>1.5</v>
      </c>
      <c r="J72" s="4">
        <f t="shared" si="4"/>
        <v>0</v>
      </c>
      <c r="K72" s="4">
        <f t="shared" si="5"/>
        <v>0</v>
      </c>
      <c r="L72" s="4">
        <f t="shared" si="6"/>
        <v>1</v>
      </c>
      <c r="M72" s="4">
        <f t="shared" si="7"/>
        <v>0</v>
      </c>
      <c r="N72" s="4">
        <f t="shared" si="8"/>
        <v>0</v>
      </c>
    </row>
    <row r="73" spans="1:14" x14ac:dyDescent="0.2">
      <c r="A73" t="str">
        <v>d_72</v>
      </c>
      <c r="B73" s="2">
        <v>40643</v>
      </c>
      <c r="C73" s="4">
        <v>2</v>
      </c>
      <c r="D73" s="4">
        <v>0</v>
      </c>
      <c r="E73" s="4">
        <v>3</v>
      </c>
      <c r="F73">
        <f t="shared" ref="F73:F136" si="9">AVERAGE(C67,C73)</f>
        <v>3</v>
      </c>
      <c r="G73">
        <f t="shared" ref="G73:G136" si="10">AVERAGE(D67,D73)</f>
        <v>0</v>
      </c>
      <c r="H73" s="4">
        <f t="shared" ref="H73:H136" si="11">AVERAGE(E67,E73)</f>
        <v>2</v>
      </c>
      <c r="I73" s="4">
        <f t="shared" si="3"/>
        <v>1</v>
      </c>
      <c r="J73" s="4">
        <f t="shared" si="4"/>
        <v>1</v>
      </c>
      <c r="K73" s="4">
        <f t="shared" si="5"/>
        <v>2.5</v>
      </c>
      <c r="L73" s="4">
        <f t="shared" si="6"/>
        <v>2.5</v>
      </c>
      <c r="M73" s="4">
        <f t="shared" si="7"/>
        <v>0.5</v>
      </c>
      <c r="N73" s="4">
        <f t="shared" si="8"/>
        <v>1</v>
      </c>
    </row>
    <row r="74" spans="1:14" x14ac:dyDescent="0.2">
      <c r="A74" t="str">
        <v>d_73</v>
      </c>
      <c r="B74" s="2">
        <v>40644</v>
      </c>
      <c r="C74" s="4">
        <v>2</v>
      </c>
      <c r="D74" s="4">
        <v>0</v>
      </c>
      <c r="E74" s="4">
        <v>1</v>
      </c>
      <c r="F74">
        <f t="shared" si="9"/>
        <v>1</v>
      </c>
      <c r="G74">
        <f t="shared" si="10"/>
        <v>0</v>
      </c>
      <c r="H74" s="4">
        <f t="shared" si="11"/>
        <v>0.5</v>
      </c>
      <c r="I74" s="4">
        <f t="shared" si="3"/>
        <v>1</v>
      </c>
      <c r="J74" s="4">
        <f t="shared" si="4"/>
        <v>1</v>
      </c>
      <c r="K74" s="4">
        <f t="shared" si="5"/>
        <v>1.5</v>
      </c>
      <c r="L74" s="4">
        <f t="shared" si="6"/>
        <v>1</v>
      </c>
      <c r="M74" s="4">
        <f t="shared" si="7"/>
        <v>0</v>
      </c>
      <c r="N74" s="4">
        <f t="shared" si="8"/>
        <v>1.5</v>
      </c>
    </row>
    <row r="75" spans="1:14" x14ac:dyDescent="0.2">
      <c r="A75" t="str">
        <v>d_74</v>
      </c>
      <c r="B75" s="2">
        <v>40645</v>
      </c>
      <c r="C75" s="4">
        <v>1</v>
      </c>
      <c r="D75" s="4">
        <v>0</v>
      </c>
      <c r="E75" s="4">
        <v>1</v>
      </c>
      <c r="F75">
        <f t="shared" si="9"/>
        <v>1</v>
      </c>
      <c r="G75">
        <f t="shared" si="10"/>
        <v>1</v>
      </c>
      <c r="H75" s="4">
        <f t="shared" si="11"/>
        <v>0.5</v>
      </c>
      <c r="I75" s="4">
        <f t="shared" si="3"/>
        <v>1.5</v>
      </c>
      <c r="J75" s="4">
        <f t="shared" si="4"/>
        <v>0</v>
      </c>
      <c r="K75" s="4">
        <f t="shared" si="5"/>
        <v>1.5</v>
      </c>
      <c r="L75" s="4">
        <f t="shared" si="6"/>
        <v>1</v>
      </c>
      <c r="M75" s="4">
        <f t="shared" si="7"/>
        <v>0</v>
      </c>
      <c r="N75" s="4">
        <f t="shared" si="8"/>
        <v>1.5</v>
      </c>
    </row>
    <row r="76" spans="1:14" x14ac:dyDescent="0.2">
      <c r="A76" t="str">
        <v>d_75</v>
      </c>
      <c r="B76" s="2">
        <v>40646</v>
      </c>
      <c r="C76" s="4">
        <v>1</v>
      </c>
      <c r="D76" s="4">
        <v>0</v>
      </c>
      <c r="E76" s="4">
        <v>0</v>
      </c>
      <c r="F76">
        <f t="shared" si="9"/>
        <v>0.5</v>
      </c>
      <c r="G76">
        <f t="shared" si="10"/>
        <v>0</v>
      </c>
      <c r="H76" s="4">
        <f t="shared" si="11"/>
        <v>0</v>
      </c>
      <c r="I76" s="4">
        <f t="shared" si="3"/>
        <v>0.5</v>
      </c>
      <c r="J76" s="4">
        <f t="shared" si="4"/>
        <v>0</v>
      </c>
      <c r="K76" s="4">
        <f t="shared" si="5"/>
        <v>0.5</v>
      </c>
      <c r="L76" s="4">
        <f t="shared" si="6"/>
        <v>1</v>
      </c>
      <c r="M76" s="4">
        <f t="shared" si="7"/>
        <v>0</v>
      </c>
      <c r="N76" s="4">
        <f t="shared" si="8"/>
        <v>1.5</v>
      </c>
    </row>
    <row r="77" spans="1:14" x14ac:dyDescent="0.2">
      <c r="A77" t="str">
        <v>d_76</v>
      </c>
      <c r="B77" s="2">
        <v>40647</v>
      </c>
      <c r="C77" s="4">
        <v>0</v>
      </c>
      <c r="D77" s="4">
        <v>0</v>
      </c>
      <c r="E77" s="4">
        <v>0</v>
      </c>
      <c r="F77">
        <f t="shared" si="9"/>
        <v>0.5</v>
      </c>
      <c r="G77">
        <f t="shared" si="10"/>
        <v>0</v>
      </c>
      <c r="H77" s="4">
        <f t="shared" si="11"/>
        <v>0</v>
      </c>
      <c r="I77" s="4">
        <f t="shared" si="3"/>
        <v>0.5</v>
      </c>
      <c r="J77" s="4">
        <f t="shared" si="4"/>
        <v>0</v>
      </c>
      <c r="K77" s="4">
        <f t="shared" si="5"/>
        <v>1</v>
      </c>
      <c r="L77" s="4">
        <f t="shared" si="6"/>
        <v>0.5</v>
      </c>
      <c r="M77" s="4">
        <f t="shared" si="7"/>
        <v>0</v>
      </c>
      <c r="N77" s="4">
        <f t="shared" si="8"/>
        <v>0.5</v>
      </c>
    </row>
    <row r="78" spans="1:14" x14ac:dyDescent="0.2">
      <c r="A78" t="str">
        <v>d_77</v>
      </c>
      <c r="B78" s="2">
        <v>40648</v>
      </c>
      <c r="C78" s="4">
        <v>2</v>
      </c>
      <c r="D78" s="4">
        <v>4</v>
      </c>
      <c r="E78" s="4">
        <v>3</v>
      </c>
      <c r="F78">
        <f t="shared" si="9"/>
        <v>1</v>
      </c>
      <c r="G78">
        <f t="shared" si="10"/>
        <v>2.5</v>
      </c>
      <c r="H78" s="4">
        <f t="shared" si="11"/>
        <v>2.5</v>
      </c>
      <c r="I78" s="4">
        <f t="shared" si="3"/>
        <v>0</v>
      </c>
      <c r="J78" s="4">
        <f t="shared" si="4"/>
        <v>0</v>
      </c>
      <c r="K78" s="4">
        <f t="shared" si="5"/>
        <v>1</v>
      </c>
      <c r="L78" s="4">
        <f t="shared" si="6"/>
        <v>0</v>
      </c>
      <c r="M78" s="4">
        <f t="shared" si="7"/>
        <v>1</v>
      </c>
      <c r="N78" s="4">
        <f t="shared" si="8"/>
        <v>0</v>
      </c>
    </row>
    <row r="79" spans="1:14" x14ac:dyDescent="0.2">
      <c r="A79" t="str">
        <v>d_78</v>
      </c>
      <c r="B79" s="2">
        <v>40649</v>
      </c>
      <c r="C79" s="4">
        <v>1</v>
      </c>
      <c r="D79" s="4">
        <v>0</v>
      </c>
      <c r="E79" s="4">
        <v>2</v>
      </c>
      <c r="F79">
        <f t="shared" si="9"/>
        <v>1.5</v>
      </c>
      <c r="G79">
        <f t="shared" si="10"/>
        <v>0</v>
      </c>
      <c r="H79" s="4">
        <f t="shared" si="11"/>
        <v>2.5</v>
      </c>
      <c r="I79" s="4">
        <f t="shared" si="3"/>
        <v>1</v>
      </c>
      <c r="J79" s="4">
        <f t="shared" si="4"/>
        <v>2</v>
      </c>
      <c r="K79" s="4">
        <f t="shared" si="5"/>
        <v>2</v>
      </c>
      <c r="L79" s="4">
        <f t="shared" si="6"/>
        <v>1.5</v>
      </c>
      <c r="M79" s="4">
        <f t="shared" si="7"/>
        <v>2.5</v>
      </c>
      <c r="N79" s="4">
        <f t="shared" si="8"/>
        <v>3</v>
      </c>
    </row>
    <row r="80" spans="1:14" x14ac:dyDescent="0.2">
      <c r="A80" t="str">
        <v>d_79</v>
      </c>
      <c r="B80" s="2">
        <v>40650</v>
      </c>
      <c r="C80" s="4">
        <v>2</v>
      </c>
      <c r="D80" s="4">
        <v>0</v>
      </c>
      <c r="E80" s="4">
        <v>2</v>
      </c>
      <c r="F80">
        <f t="shared" si="9"/>
        <v>2</v>
      </c>
      <c r="G80">
        <f t="shared" si="10"/>
        <v>0</v>
      </c>
      <c r="H80" s="4">
        <f t="shared" si="11"/>
        <v>1.5</v>
      </c>
      <c r="I80" s="4">
        <f t="shared" si="3"/>
        <v>0.5</v>
      </c>
      <c r="J80" s="4">
        <f t="shared" si="4"/>
        <v>0.5</v>
      </c>
      <c r="K80" s="4">
        <f t="shared" si="5"/>
        <v>1</v>
      </c>
      <c r="L80" s="4">
        <f t="shared" si="6"/>
        <v>1</v>
      </c>
      <c r="M80" s="4">
        <f t="shared" si="7"/>
        <v>0</v>
      </c>
      <c r="N80" s="4">
        <f t="shared" si="8"/>
        <v>2</v>
      </c>
    </row>
    <row r="81" spans="1:14" x14ac:dyDescent="0.2">
      <c r="A81" t="str">
        <v>d_80</v>
      </c>
      <c r="B81" s="2">
        <v>40651</v>
      </c>
      <c r="C81" s="4">
        <v>0</v>
      </c>
      <c r="D81" s="4">
        <v>0</v>
      </c>
      <c r="E81" s="4">
        <v>0</v>
      </c>
      <c r="F81">
        <f t="shared" si="9"/>
        <v>0.5</v>
      </c>
      <c r="G81">
        <f t="shared" si="10"/>
        <v>0</v>
      </c>
      <c r="H81" s="4">
        <f t="shared" si="11"/>
        <v>0.5</v>
      </c>
      <c r="I81" s="4">
        <f t="shared" ref="I81:I144" si="12">AVERAGE(C67,C80)</f>
        <v>3</v>
      </c>
      <c r="J81" s="4">
        <f t="shared" ref="J81:J144" si="13">AVERAGE(D67,D80)</f>
        <v>0</v>
      </c>
      <c r="K81" s="4">
        <f t="shared" ref="K81:K144" si="14">AVERAGE(E67,E80)</f>
        <v>1.5</v>
      </c>
      <c r="L81" s="4">
        <f t="shared" si="6"/>
        <v>1.5</v>
      </c>
      <c r="M81" s="4">
        <f t="shared" si="7"/>
        <v>0.5</v>
      </c>
      <c r="N81" s="4">
        <f t="shared" si="8"/>
        <v>1.5</v>
      </c>
    </row>
    <row r="82" spans="1:14" x14ac:dyDescent="0.2">
      <c r="A82" t="str">
        <v>d_81</v>
      </c>
      <c r="B82" s="2">
        <v>40652</v>
      </c>
      <c r="C82" s="4">
        <v>2</v>
      </c>
      <c r="D82" s="4">
        <v>0</v>
      </c>
      <c r="E82" s="4">
        <v>1</v>
      </c>
      <c r="F82">
        <f t="shared" si="9"/>
        <v>1.5</v>
      </c>
      <c r="G82">
        <f t="shared" si="10"/>
        <v>0</v>
      </c>
      <c r="H82" s="4">
        <f t="shared" si="11"/>
        <v>0.5</v>
      </c>
      <c r="I82" s="4">
        <f t="shared" si="12"/>
        <v>0</v>
      </c>
      <c r="J82" s="4">
        <f t="shared" si="13"/>
        <v>0</v>
      </c>
      <c r="K82" s="4">
        <f t="shared" si="14"/>
        <v>0</v>
      </c>
      <c r="L82" s="4">
        <f t="shared" si="6"/>
        <v>0.5</v>
      </c>
      <c r="M82" s="4">
        <f t="shared" si="7"/>
        <v>0</v>
      </c>
      <c r="N82" s="4">
        <f t="shared" si="8"/>
        <v>0</v>
      </c>
    </row>
    <row r="83" spans="1:14" x14ac:dyDescent="0.2">
      <c r="A83" t="str">
        <v>d_82</v>
      </c>
      <c r="B83" s="2">
        <v>40653</v>
      </c>
      <c r="C83" s="4">
        <v>0</v>
      </c>
      <c r="D83" s="4">
        <v>3</v>
      </c>
      <c r="E83" s="4">
        <v>0</v>
      </c>
      <c r="F83">
        <f t="shared" si="9"/>
        <v>0</v>
      </c>
      <c r="G83">
        <f t="shared" si="10"/>
        <v>1.5</v>
      </c>
      <c r="H83" s="4">
        <f t="shared" si="11"/>
        <v>0</v>
      </c>
      <c r="I83" s="4">
        <f t="shared" si="12"/>
        <v>1.5</v>
      </c>
      <c r="J83" s="4">
        <f t="shared" si="13"/>
        <v>1</v>
      </c>
      <c r="K83" s="4">
        <f t="shared" si="14"/>
        <v>0.5</v>
      </c>
      <c r="L83" s="4">
        <f t="shared" si="6"/>
        <v>1.5</v>
      </c>
      <c r="M83" s="4">
        <f t="shared" si="7"/>
        <v>0</v>
      </c>
      <c r="N83" s="4">
        <f t="shared" si="8"/>
        <v>0.5</v>
      </c>
    </row>
    <row r="84" spans="1:14" x14ac:dyDescent="0.2">
      <c r="A84" t="str">
        <v>d_83</v>
      </c>
      <c r="B84" s="2">
        <v>40654</v>
      </c>
      <c r="C84" s="4">
        <v>0</v>
      </c>
      <c r="D84" s="4">
        <v>0</v>
      </c>
      <c r="E84" s="4">
        <v>3</v>
      </c>
      <c r="F84">
        <f t="shared" si="9"/>
        <v>1</v>
      </c>
      <c r="G84">
        <f t="shared" si="10"/>
        <v>2</v>
      </c>
      <c r="H84" s="4">
        <f t="shared" si="11"/>
        <v>3</v>
      </c>
      <c r="I84" s="4">
        <f t="shared" si="12"/>
        <v>0</v>
      </c>
      <c r="J84" s="4">
        <f t="shared" si="13"/>
        <v>1.5</v>
      </c>
      <c r="K84" s="4">
        <f t="shared" si="14"/>
        <v>0</v>
      </c>
      <c r="L84" s="4">
        <f t="shared" si="6"/>
        <v>0</v>
      </c>
      <c r="M84" s="4">
        <f t="shared" si="7"/>
        <v>1.5</v>
      </c>
      <c r="N84" s="4">
        <f t="shared" si="8"/>
        <v>0</v>
      </c>
    </row>
    <row r="85" spans="1:14" x14ac:dyDescent="0.2">
      <c r="A85" t="str">
        <v>d_84</v>
      </c>
      <c r="B85" s="2">
        <v>40655</v>
      </c>
      <c r="C85" s="4">
        <v>0</v>
      </c>
      <c r="D85" s="4">
        <v>1</v>
      </c>
      <c r="E85" s="4">
        <v>1</v>
      </c>
      <c r="F85">
        <f t="shared" si="9"/>
        <v>0.5</v>
      </c>
      <c r="G85">
        <f t="shared" si="10"/>
        <v>0.5</v>
      </c>
      <c r="H85" s="4">
        <f t="shared" si="11"/>
        <v>1.5</v>
      </c>
      <c r="I85" s="4">
        <f t="shared" si="12"/>
        <v>0.5</v>
      </c>
      <c r="J85" s="4">
        <f t="shared" si="13"/>
        <v>0</v>
      </c>
      <c r="K85" s="4">
        <f t="shared" si="14"/>
        <v>1.5</v>
      </c>
      <c r="L85" s="4">
        <f t="shared" si="6"/>
        <v>0.5</v>
      </c>
      <c r="M85" s="4">
        <f t="shared" si="7"/>
        <v>0</v>
      </c>
      <c r="N85" s="4">
        <f t="shared" si="8"/>
        <v>2</v>
      </c>
    </row>
    <row r="86" spans="1:14" x14ac:dyDescent="0.2">
      <c r="A86" t="str">
        <v>d_85</v>
      </c>
      <c r="B86" s="2">
        <v>40656</v>
      </c>
      <c r="C86" s="4">
        <v>1</v>
      </c>
      <c r="D86" s="4">
        <v>0</v>
      </c>
      <c r="E86" s="4">
        <v>0</v>
      </c>
      <c r="F86">
        <f t="shared" si="9"/>
        <v>1.5</v>
      </c>
      <c r="G86">
        <f t="shared" si="10"/>
        <v>0</v>
      </c>
      <c r="H86" s="4">
        <f t="shared" si="11"/>
        <v>1</v>
      </c>
      <c r="I86" s="4">
        <f t="shared" si="12"/>
        <v>0</v>
      </c>
      <c r="J86" s="4">
        <f t="shared" si="13"/>
        <v>1</v>
      </c>
      <c r="K86" s="4">
        <f t="shared" si="14"/>
        <v>1.5</v>
      </c>
      <c r="L86" s="4">
        <f t="shared" si="6"/>
        <v>1</v>
      </c>
      <c r="M86" s="4">
        <f t="shared" si="7"/>
        <v>0.5</v>
      </c>
      <c r="N86" s="4">
        <f t="shared" si="8"/>
        <v>0.5</v>
      </c>
    </row>
    <row r="87" spans="1:14" x14ac:dyDescent="0.2">
      <c r="A87" t="str">
        <v>d_86</v>
      </c>
      <c r="B87" s="2">
        <v>40657</v>
      </c>
      <c r="C87" s="4">
        <v>0</v>
      </c>
      <c r="D87" s="4">
        <v>1</v>
      </c>
      <c r="E87" s="4">
        <v>0</v>
      </c>
      <c r="F87">
        <f t="shared" si="9"/>
        <v>0</v>
      </c>
      <c r="G87">
        <f t="shared" si="10"/>
        <v>0.5</v>
      </c>
      <c r="H87" s="4">
        <f t="shared" si="11"/>
        <v>0</v>
      </c>
      <c r="I87" s="4">
        <f t="shared" si="12"/>
        <v>1.5</v>
      </c>
      <c r="J87" s="4">
        <f t="shared" si="13"/>
        <v>0</v>
      </c>
      <c r="K87" s="4">
        <f t="shared" si="14"/>
        <v>1.5</v>
      </c>
      <c r="L87" s="4">
        <f t="shared" si="6"/>
        <v>1.5</v>
      </c>
      <c r="M87" s="4">
        <f t="shared" si="7"/>
        <v>0.5</v>
      </c>
      <c r="N87" s="4">
        <f t="shared" si="8"/>
        <v>1.5</v>
      </c>
    </row>
    <row r="88" spans="1:14" x14ac:dyDescent="0.2">
      <c r="A88" t="str">
        <v>d_87</v>
      </c>
      <c r="B88" s="2">
        <v>40658</v>
      </c>
      <c r="C88" s="4">
        <v>0</v>
      </c>
      <c r="D88" s="4">
        <v>1</v>
      </c>
      <c r="E88" s="4">
        <v>0</v>
      </c>
      <c r="F88">
        <f t="shared" si="9"/>
        <v>1</v>
      </c>
      <c r="G88">
        <f t="shared" si="10"/>
        <v>0.5</v>
      </c>
      <c r="H88" s="4">
        <f t="shared" si="11"/>
        <v>0.5</v>
      </c>
      <c r="I88" s="4">
        <f t="shared" si="12"/>
        <v>1</v>
      </c>
      <c r="J88" s="4">
        <f t="shared" si="13"/>
        <v>0.5</v>
      </c>
      <c r="K88" s="4">
        <f t="shared" si="14"/>
        <v>0.5</v>
      </c>
      <c r="L88" s="4">
        <f t="shared" si="6"/>
        <v>0</v>
      </c>
      <c r="M88" s="4">
        <f t="shared" si="7"/>
        <v>1.5</v>
      </c>
      <c r="N88" s="4">
        <f t="shared" si="8"/>
        <v>0</v>
      </c>
    </row>
    <row r="89" spans="1:14" x14ac:dyDescent="0.2">
      <c r="A89" t="str">
        <v>d_88</v>
      </c>
      <c r="B89" s="2">
        <v>40659</v>
      </c>
      <c r="C89" s="4">
        <v>0</v>
      </c>
      <c r="D89" s="4">
        <v>1</v>
      </c>
      <c r="E89" s="4">
        <v>2</v>
      </c>
      <c r="F89">
        <f t="shared" si="9"/>
        <v>0</v>
      </c>
      <c r="G89">
        <f t="shared" si="10"/>
        <v>2</v>
      </c>
      <c r="H89" s="4">
        <f t="shared" si="11"/>
        <v>1</v>
      </c>
      <c r="I89" s="4">
        <f t="shared" si="12"/>
        <v>0.5</v>
      </c>
      <c r="J89" s="4">
        <f t="shared" si="13"/>
        <v>0.5</v>
      </c>
      <c r="K89" s="4">
        <f t="shared" si="14"/>
        <v>0.5</v>
      </c>
      <c r="L89" s="4">
        <f t="shared" si="6"/>
        <v>0.5</v>
      </c>
      <c r="M89" s="4">
        <f t="shared" si="7"/>
        <v>0.5</v>
      </c>
      <c r="N89" s="4">
        <f t="shared" si="8"/>
        <v>1</v>
      </c>
    </row>
    <row r="90" spans="1:14" x14ac:dyDescent="0.2">
      <c r="A90" t="str">
        <v>d_89</v>
      </c>
      <c r="B90" s="2">
        <v>40660</v>
      </c>
      <c r="C90" s="4">
        <v>0</v>
      </c>
      <c r="D90" s="4">
        <v>1</v>
      </c>
      <c r="E90" s="4">
        <v>0</v>
      </c>
      <c r="F90">
        <f t="shared" si="9"/>
        <v>0</v>
      </c>
      <c r="G90">
        <f t="shared" si="10"/>
        <v>0.5</v>
      </c>
      <c r="H90" s="4">
        <f t="shared" si="11"/>
        <v>1.5</v>
      </c>
      <c r="I90" s="4">
        <f t="shared" si="12"/>
        <v>0.5</v>
      </c>
      <c r="J90" s="4">
        <f t="shared" si="13"/>
        <v>0.5</v>
      </c>
      <c r="K90" s="4">
        <f t="shared" si="14"/>
        <v>1</v>
      </c>
      <c r="L90" s="4">
        <f t="shared" si="6"/>
        <v>0</v>
      </c>
      <c r="M90" s="4">
        <f t="shared" si="7"/>
        <v>0.5</v>
      </c>
      <c r="N90" s="4">
        <f t="shared" si="8"/>
        <v>1</v>
      </c>
    </row>
    <row r="91" spans="1:14" x14ac:dyDescent="0.2">
      <c r="A91" t="str">
        <v>d_90</v>
      </c>
      <c r="B91" s="2">
        <v>40661</v>
      </c>
      <c r="C91" s="4">
        <v>0</v>
      </c>
      <c r="D91" s="4">
        <v>1</v>
      </c>
      <c r="E91" s="4">
        <v>2</v>
      </c>
      <c r="F91">
        <f t="shared" si="9"/>
        <v>0</v>
      </c>
      <c r="G91">
        <f t="shared" si="10"/>
        <v>1</v>
      </c>
      <c r="H91" s="4">
        <f t="shared" si="11"/>
        <v>1.5</v>
      </c>
      <c r="I91" s="4">
        <f t="shared" si="12"/>
        <v>0</v>
      </c>
      <c r="J91" s="4">
        <f t="shared" si="13"/>
        <v>0.5</v>
      </c>
      <c r="K91" s="4">
        <f t="shared" si="14"/>
        <v>0</v>
      </c>
      <c r="L91" s="4">
        <f t="shared" si="6"/>
        <v>0</v>
      </c>
      <c r="M91" s="4">
        <f t="shared" si="7"/>
        <v>0.5</v>
      </c>
      <c r="N91" s="4">
        <f t="shared" si="8"/>
        <v>1</v>
      </c>
    </row>
    <row r="92" spans="1:14" x14ac:dyDescent="0.2">
      <c r="A92" t="str">
        <v>d_91</v>
      </c>
      <c r="B92" s="2">
        <v>40662</v>
      </c>
      <c r="C92" s="4">
        <v>0</v>
      </c>
      <c r="D92" s="4">
        <v>1</v>
      </c>
      <c r="E92" s="4">
        <v>1</v>
      </c>
      <c r="F92">
        <f t="shared" si="9"/>
        <v>0.5</v>
      </c>
      <c r="G92">
        <f t="shared" si="10"/>
        <v>0.5</v>
      </c>
      <c r="H92" s="4">
        <f t="shared" si="11"/>
        <v>0.5</v>
      </c>
      <c r="I92" s="4">
        <f t="shared" si="12"/>
        <v>1</v>
      </c>
      <c r="J92" s="4">
        <f t="shared" si="13"/>
        <v>2.5</v>
      </c>
      <c r="K92" s="4">
        <f t="shared" si="14"/>
        <v>2.5</v>
      </c>
      <c r="L92" s="4">
        <f t="shared" si="6"/>
        <v>0</v>
      </c>
      <c r="M92" s="4">
        <f t="shared" si="7"/>
        <v>0.5</v>
      </c>
      <c r="N92" s="4">
        <f t="shared" si="8"/>
        <v>2</v>
      </c>
    </row>
    <row r="93" spans="1:14" x14ac:dyDescent="0.2">
      <c r="A93" t="str">
        <v>d_92</v>
      </c>
      <c r="B93" s="2">
        <v>40663</v>
      </c>
      <c r="C93" s="4">
        <v>3</v>
      </c>
      <c r="D93" s="4">
        <v>3</v>
      </c>
      <c r="E93" s="4">
        <v>1</v>
      </c>
      <c r="F93">
        <f t="shared" si="9"/>
        <v>1.5</v>
      </c>
      <c r="G93">
        <f t="shared" si="10"/>
        <v>2</v>
      </c>
      <c r="H93" s="4">
        <f t="shared" si="11"/>
        <v>0.5</v>
      </c>
      <c r="I93" s="4">
        <f t="shared" si="12"/>
        <v>0.5</v>
      </c>
      <c r="J93" s="4">
        <f t="shared" si="13"/>
        <v>0.5</v>
      </c>
      <c r="K93" s="4">
        <f t="shared" si="14"/>
        <v>1.5</v>
      </c>
      <c r="L93" s="4">
        <f t="shared" si="6"/>
        <v>0</v>
      </c>
      <c r="M93" s="4">
        <f t="shared" si="7"/>
        <v>0.5</v>
      </c>
      <c r="N93" s="4">
        <f t="shared" si="8"/>
        <v>1</v>
      </c>
    </row>
    <row r="94" spans="1:14" x14ac:dyDescent="0.2">
      <c r="A94" t="str">
        <v>d_93</v>
      </c>
      <c r="B94" s="2">
        <v>40664</v>
      </c>
      <c r="C94" s="4">
        <v>2</v>
      </c>
      <c r="D94" s="4">
        <v>0</v>
      </c>
      <c r="E94" s="4">
        <v>1</v>
      </c>
      <c r="F94">
        <f t="shared" si="9"/>
        <v>1</v>
      </c>
      <c r="G94">
        <f t="shared" si="10"/>
        <v>0.5</v>
      </c>
      <c r="H94" s="4">
        <f t="shared" si="11"/>
        <v>0.5</v>
      </c>
      <c r="I94" s="4">
        <f t="shared" si="12"/>
        <v>2.5</v>
      </c>
      <c r="J94" s="4">
        <f t="shared" si="13"/>
        <v>1.5</v>
      </c>
      <c r="K94" s="4">
        <f t="shared" si="14"/>
        <v>1.5</v>
      </c>
      <c r="L94" s="4">
        <f t="shared" si="6"/>
        <v>1.5</v>
      </c>
      <c r="M94" s="4">
        <f t="shared" si="7"/>
        <v>2</v>
      </c>
      <c r="N94" s="4">
        <f t="shared" si="8"/>
        <v>0.5</v>
      </c>
    </row>
    <row r="95" spans="1:14" x14ac:dyDescent="0.2">
      <c r="A95" t="str">
        <v>d_94</v>
      </c>
      <c r="B95" s="2">
        <v>40665</v>
      </c>
      <c r="C95" s="4">
        <v>7</v>
      </c>
      <c r="D95" s="4">
        <v>2</v>
      </c>
      <c r="E95" s="4">
        <v>3</v>
      </c>
      <c r="F95">
        <f t="shared" si="9"/>
        <v>3.5</v>
      </c>
      <c r="G95">
        <f t="shared" si="10"/>
        <v>1.5</v>
      </c>
      <c r="H95" s="4">
        <f t="shared" si="11"/>
        <v>2.5</v>
      </c>
      <c r="I95" s="4">
        <f t="shared" si="12"/>
        <v>1</v>
      </c>
      <c r="J95" s="4">
        <f t="shared" si="13"/>
        <v>0</v>
      </c>
      <c r="K95" s="4">
        <f t="shared" si="14"/>
        <v>0.5</v>
      </c>
      <c r="L95" s="4">
        <f t="shared" ref="L95:L158" si="15">AVERAGE(C67,C94)</f>
        <v>3</v>
      </c>
      <c r="M95" s="4">
        <f t="shared" ref="M95:M158" si="16">AVERAGE(D67,D94)</f>
        <v>0</v>
      </c>
      <c r="N95" s="4">
        <f t="shared" ref="N95:N158" si="17">AVERAGE(E67,E94)</f>
        <v>1</v>
      </c>
    </row>
    <row r="96" spans="1:14" x14ac:dyDescent="0.2">
      <c r="A96" t="str">
        <v>d_95</v>
      </c>
      <c r="B96" s="2">
        <v>40666</v>
      </c>
      <c r="C96" s="4">
        <v>1</v>
      </c>
      <c r="D96" s="4">
        <v>1</v>
      </c>
      <c r="E96" s="4">
        <v>4</v>
      </c>
      <c r="F96">
        <f t="shared" si="9"/>
        <v>0.5</v>
      </c>
      <c r="G96">
        <f t="shared" si="10"/>
        <v>1</v>
      </c>
      <c r="H96" s="4">
        <f t="shared" si="11"/>
        <v>2</v>
      </c>
      <c r="I96" s="4">
        <f t="shared" si="12"/>
        <v>4.5</v>
      </c>
      <c r="J96" s="4">
        <f t="shared" si="13"/>
        <v>1</v>
      </c>
      <c r="K96" s="4">
        <f t="shared" si="14"/>
        <v>2</v>
      </c>
      <c r="L96" s="4">
        <f t="shared" si="15"/>
        <v>3.5</v>
      </c>
      <c r="M96" s="4">
        <f t="shared" si="16"/>
        <v>1</v>
      </c>
      <c r="N96" s="4">
        <f t="shared" si="17"/>
        <v>1.5</v>
      </c>
    </row>
    <row r="97" spans="1:14" x14ac:dyDescent="0.2">
      <c r="A97" t="str">
        <v>d_96</v>
      </c>
      <c r="B97" s="2">
        <v>40667</v>
      </c>
      <c r="C97" s="4">
        <v>0</v>
      </c>
      <c r="D97" s="4">
        <v>1</v>
      </c>
      <c r="E97" s="4">
        <v>0</v>
      </c>
      <c r="F97">
        <f t="shared" si="9"/>
        <v>0</v>
      </c>
      <c r="G97">
        <f t="shared" si="10"/>
        <v>1</v>
      </c>
      <c r="H97" s="4">
        <f t="shared" si="11"/>
        <v>1</v>
      </c>
      <c r="I97" s="4">
        <f t="shared" si="12"/>
        <v>0.5</v>
      </c>
      <c r="J97" s="4">
        <f t="shared" si="13"/>
        <v>2</v>
      </c>
      <c r="K97" s="4">
        <f t="shared" si="14"/>
        <v>2</v>
      </c>
      <c r="L97" s="4">
        <f t="shared" si="15"/>
        <v>1</v>
      </c>
      <c r="M97" s="4">
        <f t="shared" si="16"/>
        <v>1.5</v>
      </c>
      <c r="N97" s="4">
        <f t="shared" si="17"/>
        <v>2</v>
      </c>
    </row>
    <row r="98" spans="1:14" x14ac:dyDescent="0.2">
      <c r="A98" t="str">
        <v>d_97</v>
      </c>
      <c r="B98" s="2">
        <v>40668</v>
      </c>
      <c r="C98" s="4">
        <v>0</v>
      </c>
      <c r="D98" s="4">
        <v>0</v>
      </c>
      <c r="E98" s="4">
        <v>3</v>
      </c>
      <c r="F98">
        <f t="shared" si="9"/>
        <v>0</v>
      </c>
      <c r="G98">
        <f t="shared" si="10"/>
        <v>0.5</v>
      </c>
      <c r="H98" s="4">
        <f t="shared" si="11"/>
        <v>2</v>
      </c>
      <c r="I98" s="4">
        <f t="shared" si="12"/>
        <v>0</v>
      </c>
      <c r="J98" s="4">
        <f t="shared" si="13"/>
        <v>0.5</v>
      </c>
      <c r="K98" s="4">
        <f t="shared" si="14"/>
        <v>1.5</v>
      </c>
      <c r="L98" s="4">
        <f t="shared" si="15"/>
        <v>0</v>
      </c>
      <c r="M98" s="4">
        <f t="shared" si="16"/>
        <v>0.5</v>
      </c>
      <c r="N98" s="4">
        <f t="shared" si="17"/>
        <v>0</v>
      </c>
    </row>
    <row r="99" spans="1:14" x14ac:dyDescent="0.2">
      <c r="A99" t="str">
        <v>d_98</v>
      </c>
      <c r="B99" s="2">
        <v>40669</v>
      </c>
      <c r="C99" s="4">
        <v>9</v>
      </c>
      <c r="D99" s="4">
        <v>1</v>
      </c>
      <c r="E99" s="4">
        <v>7</v>
      </c>
      <c r="F99">
        <f t="shared" si="9"/>
        <v>6</v>
      </c>
      <c r="G99">
        <f t="shared" si="10"/>
        <v>2</v>
      </c>
      <c r="H99" s="4">
        <f t="shared" si="11"/>
        <v>4</v>
      </c>
      <c r="I99" s="4">
        <f t="shared" si="12"/>
        <v>0</v>
      </c>
      <c r="J99" s="4">
        <f t="shared" si="13"/>
        <v>0.5</v>
      </c>
      <c r="K99" s="4">
        <f t="shared" si="14"/>
        <v>2</v>
      </c>
      <c r="L99" s="4">
        <f t="shared" si="15"/>
        <v>0.5</v>
      </c>
      <c r="M99" s="4">
        <f t="shared" si="16"/>
        <v>0</v>
      </c>
      <c r="N99" s="4">
        <f t="shared" si="17"/>
        <v>1.5</v>
      </c>
    </row>
    <row r="100" spans="1:14" x14ac:dyDescent="0.2">
      <c r="A100" t="str">
        <v>d_99</v>
      </c>
      <c r="B100" s="2">
        <v>40670</v>
      </c>
      <c r="C100" s="4">
        <v>0</v>
      </c>
      <c r="D100" s="4">
        <v>3</v>
      </c>
      <c r="E100" s="4">
        <v>2</v>
      </c>
      <c r="F100">
        <f t="shared" si="9"/>
        <v>1</v>
      </c>
      <c r="G100">
        <f t="shared" si="10"/>
        <v>1.5</v>
      </c>
      <c r="H100" s="4">
        <f t="shared" si="11"/>
        <v>1.5</v>
      </c>
      <c r="I100" s="4">
        <f t="shared" si="12"/>
        <v>5</v>
      </c>
      <c r="J100" s="4">
        <f t="shared" si="13"/>
        <v>0.5</v>
      </c>
      <c r="K100" s="4">
        <f t="shared" si="14"/>
        <v>3.5</v>
      </c>
      <c r="L100" s="4">
        <f t="shared" si="15"/>
        <v>4.5</v>
      </c>
      <c r="M100" s="4">
        <f t="shared" si="16"/>
        <v>1</v>
      </c>
      <c r="N100" s="4">
        <f t="shared" si="17"/>
        <v>4.5</v>
      </c>
    </row>
    <row r="101" spans="1:14" x14ac:dyDescent="0.2">
      <c r="A101" t="str">
        <v>d_100</v>
      </c>
      <c r="B101" s="2">
        <v>40671</v>
      </c>
      <c r="C101" s="4">
        <v>0</v>
      </c>
      <c r="D101" s="4">
        <v>1</v>
      </c>
      <c r="E101" s="4">
        <v>0</v>
      </c>
      <c r="F101">
        <f t="shared" si="9"/>
        <v>3.5</v>
      </c>
      <c r="G101">
        <f t="shared" si="10"/>
        <v>1.5</v>
      </c>
      <c r="H101" s="4">
        <f t="shared" si="11"/>
        <v>1.5</v>
      </c>
      <c r="I101" s="4">
        <f t="shared" si="12"/>
        <v>0</v>
      </c>
      <c r="J101" s="4">
        <f t="shared" si="13"/>
        <v>2</v>
      </c>
      <c r="K101" s="4">
        <f t="shared" si="14"/>
        <v>1</v>
      </c>
      <c r="L101" s="4">
        <f t="shared" si="15"/>
        <v>1</v>
      </c>
      <c r="M101" s="4">
        <f t="shared" si="16"/>
        <v>1.5</v>
      </c>
      <c r="N101" s="4">
        <f t="shared" si="17"/>
        <v>2.5</v>
      </c>
    </row>
    <row r="102" spans="1:14" x14ac:dyDescent="0.2">
      <c r="A102" t="str">
        <v>d_101</v>
      </c>
      <c r="B102" s="2">
        <v>40672</v>
      </c>
      <c r="C102" s="4">
        <v>0</v>
      </c>
      <c r="D102" s="4">
        <v>2</v>
      </c>
      <c r="E102" s="4">
        <v>0</v>
      </c>
      <c r="F102">
        <f t="shared" si="9"/>
        <v>0.5</v>
      </c>
      <c r="G102">
        <f t="shared" si="10"/>
        <v>1.5</v>
      </c>
      <c r="H102" s="4">
        <f t="shared" si="11"/>
        <v>2</v>
      </c>
      <c r="I102" s="4">
        <f t="shared" si="12"/>
        <v>0</v>
      </c>
      <c r="J102" s="4">
        <f t="shared" si="13"/>
        <v>1</v>
      </c>
      <c r="K102" s="4">
        <f t="shared" si="14"/>
        <v>0</v>
      </c>
      <c r="L102" s="4">
        <f t="shared" si="15"/>
        <v>1</v>
      </c>
      <c r="M102" s="4">
        <f t="shared" si="16"/>
        <v>0.5</v>
      </c>
      <c r="N102" s="4">
        <f t="shared" si="17"/>
        <v>0.5</v>
      </c>
    </row>
    <row r="103" spans="1:14" x14ac:dyDescent="0.2">
      <c r="A103" t="str">
        <v>d_102</v>
      </c>
      <c r="B103" s="2">
        <v>40673</v>
      </c>
      <c r="C103" s="4">
        <v>1</v>
      </c>
      <c r="D103" s="4">
        <v>0</v>
      </c>
      <c r="E103" s="4">
        <v>0</v>
      </c>
      <c r="F103">
        <f t="shared" si="9"/>
        <v>0.5</v>
      </c>
      <c r="G103">
        <f t="shared" si="10"/>
        <v>0.5</v>
      </c>
      <c r="H103" s="4">
        <f t="shared" si="11"/>
        <v>0</v>
      </c>
      <c r="I103" s="4">
        <f t="shared" si="12"/>
        <v>0</v>
      </c>
      <c r="J103" s="4">
        <f t="shared" si="13"/>
        <v>1.5</v>
      </c>
      <c r="K103" s="4">
        <f t="shared" si="14"/>
        <v>1</v>
      </c>
      <c r="L103" s="4">
        <f t="shared" si="15"/>
        <v>0.5</v>
      </c>
      <c r="M103" s="4">
        <f t="shared" si="16"/>
        <v>1</v>
      </c>
      <c r="N103" s="4">
        <f t="shared" si="17"/>
        <v>0.5</v>
      </c>
    </row>
    <row r="104" spans="1:14" x14ac:dyDescent="0.2">
      <c r="A104" t="str">
        <v>d_103</v>
      </c>
      <c r="B104" s="2">
        <v>40674</v>
      </c>
      <c r="C104" s="4">
        <v>2</v>
      </c>
      <c r="D104" s="4">
        <v>0</v>
      </c>
      <c r="E104" s="4">
        <v>0</v>
      </c>
      <c r="F104">
        <f t="shared" si="9"/>
        <v>1</v>
      </c>
      <c r="G104">
        <f t="shared" si="10"/>
        <v>0</v>
      </c>
      <c r="H104" s="4">
        <f t="shared" si="11"/>
        <v>1.5</v>
      </c>
      <c r="I104" s="4">
        <f t="shared" si="12"/>
        <v>0.5</v>
      </c>
      <c r="J104" s="4">
        <f t="shared" si="13"/>
        <v>0.5</v>
      </c>
      <c r="K104" s="4">
        <f t="shared" si="14"/>
        <v>0</v>
      </c>
      <c r="L104" s="4">
        <f t="shared" si="15"/>
        <v>1</v>
      </c>
      <c r="M104" s="4">
        <f t="shared" si="16"/>
        <v>0</v>
      </c>
      <c r="N104" s="4">
        <f t="shared" si="17"/>
        <v>0</v>
      </c>
    </row>
    <row r="105" spans="1:14" x14ac:dyDescent="0.2">
      <c r="A105" t="str">
        <v>d_104</v>
      </c>
      <c r="B105" s="2">
        <v>40675</v>
      </c>
      <c r="C105" s="4">
        <v>0</v>
      </c>
      <c r="D105" s="4">
        <v>0</v>
      </c>
      <c r="E105" s="4">
        <v>0</v>
      </c>
      <c r="F105">
        <f t="shared" si="9"/>
        <v>4.5</v>
      </c>
      <c r="G105">
        <f t="shared" si="10"/>
        <v>0.5</v>
      </c>
      <c r="H105" s="4">
        <f t="shared" si="11"/>
        <v>3.5</v>
      </c>
      <c r="I105" s="4">
        <f t="shared" si="12"/>
        <v>1</v>
      </c>
      <c r="J105" s="4">
        <f t="shared" si="13"/>
        <v>0.5</v>
      </c>
      <c r="K105" s="4">
        <f t="shared" si="14"/>
        <v>1</v>
      </c>
      <c r="L105" s="4">
        <f t="shared" si="15"/>
        <v>1</v>
      </c>
      <c r="M105" s="4">
        <f t="shared" si="16"/>
        <v>0</v>
      </c>
      <c r="N105" s="4">
        <f t="shared" si="17"/>
        <v>0</v>
      </c>
    </row>
    <row r="106" spans="1:14" x14ac:dyDescent="0.2">
      <c r="A106" t="str">
        <v>d_105</v>
      </c>
      <c r="B106" s="2">
        <v>40676</v>
      </c>
      <c r="C106" s="4">
        <v>1</v>
      </c>
      <c r="D106" s="4">
        <v>0</v>
      </c>
      <c r="E106" s="4">
        <v>0</v>
      </c>
      <c r="F106">
        <f t="shared" si="9"/>
        <v>0.5</v>
      </c>
      <c r="G106">
        <f t="shared" si="10"/>
        <v>1.5</v>
      </c>
      <c r="H106" s="4">
        <f t="shared" si="11"/>
        <v>1</v>
      </c>
      <c r="I106" s="4">
        <f t="shared" si="12"/>
        <v>0</v>
      </c>
      <c r="J106" s="4">
        <f t="shared" si="13"/>
        <v>0.5</v>
      </c>
      <c r="K106" s="4">
        <f t="shared" si="14"/>
        <v>0.5</v>
      </c>
      <c r="L106" s="4">
        <f t="shared" si="15"/>
        <v>1</v>
      </c>
      <c r="M106" s="4">
        <f t="shared" si="16"/>
        <v>2</v>
      </c>
      <c r="N106" s="4">
        <f t="shared" si="17"/>
        <v>1.5</v>
      </c>
    </row>
    <row r="107" spans="1:14" x14ac:dyDescent="0.2">
      <c r="A107" t="str">
        <v>d_106</v>
      </c>
      <c r="B107" s="2">
        <v>40677</v>
      </c>
      <c r="C107" s="4">
        <v>3</v>
      </c>
      <c r="D107" s="4">
        <v>2</v>
      </c>
      <c r="E107" s="4">
        <v>2</v>
      </c>
      <c r="F107">
        <f t="shared" si="9"/>
        <v>1.5</v>
      </c>
      <c r="G107">
        <f t="shared" si="10"/>
        <v>1.5</v>
      </c>
      <c r="H107" s="4">
        <f t="shared" si="11"/>
        <v>1</v>
      </c>
      <c r="I107" s="4">
        <f t="shared" si="12"/>
        <v>2</v>
      </c>
      <c r="J107" s="4">
        <f t="shared" si="13"/>
        <v>1.5</v>
      </c>
      <c r="K107" s="4">
        <f t="shared" si="14"/>
        <v>0.5</v>
      </c>
      <c r="L107" s="4">
        <f t="shared" si="15"/>
        <v>1</v>
      </c>
      <c r="M107" s="4">
        <f t="shared" si="16"/>
        <v>0</v>
      </c>
      <c r="N107" s="4">
        <f t="shared" si="17"/>
        <v>1</v>
      </c>
    </row>
    <row r="108" spans="1:14" x14ac:dyDescent="0.2">
      <c r="A108" t="str">
        <v>d_107</v>
      </c>
      <c r="B108" s="2">
        <v>40678</v>
      </c>
      <c r="C108" s="4">
        <v>1</v>
      </c>
      <c r="D108" s="4">
        <v>1</v>
      </c>
      <c r="E108" s="4">
        <v>1</v>
      </c>
      <c r="F108">
        <f t="shared" si="9"/>
        <v>0.5</v>
      </c>
      <c r="G108">
        <f t="shared" si="10"/>
        <v>1.5</v>
      </c>
      <c r="H108" s="4">
        <f t="shared" si="11"/>
        <v>0.5</v>
      </c>
      <c r="I108" s="4">
        <f t="shared" si="12"/>
        <v>2.5</v>
      </c>
      <c r="J108" s="4">
        <f t="shared" si="13"/>
        <v>1</v>
      </c>
      <c r="K108" s="4">
        <f t="shared" si="14"/>
        <v>1.5</v>
      </c>
      <c r="L108" s="4">
        <f t="shared" si="15"/>
        <v>2.5</v>
      </c>
      <c r="M108" s="4">
        <f t="shared" si="16"/>
        <v>1</v>
      </c>
      <c r="N108" s="4">
        <f t="shared" si="17"/>
        <v>2</v>
      </c>
    </row>
    <row r="109" spans="1:14" x14ac:dyDescent="0.2">
      <c r="A109" t="str">
        <v>d_108</v>
      </c>
      <c r="B109" s="2">
        <v>40679</v>
      </c>
      <c r="C109" s="4">
        <v>3</v>
      </c>
      <c r="D109" s="4">
        <v>0</v>
      </c>
      <c r="E109" s="4">
        <v>2</v>
      </c>
      <c r="F109">
        <f t="shared" si="9"/>
        <v>2</v>
      </c>
      <c r="G109">
        <f t="shared" si="10"/>
        <v>0</v>
      </c>
      <c r="H109" s="4">
        <f t="shared" si="11"/>
        <v>1</v>
      </c>
      <c r="I109" s="4">
        <f t="shared" si="12"/>
        <v>4</v>
      </c>
      <c r="J109" s="4">
        <f t="shared" si="13"/>
        <v>1.5</v>
      </c>
      <c r="K109" s="4">
        <f t="shared" si="14"/>
        <v>2</v>
      </c>
      <c r="L109" s="4">
        <f t="shared" si="15"/>
        <v>0.5</v>
      </c>
      <c r="M109" s="4">
        <f t="shared" si="16"/>
        <v>0.5</v>
      </c>
      <c r="N109" s="4">
        <f t="shared" si="17"/>
        <v>0.5</v>
      </c>
    </row>
    <row r="110" spans="1:14" x14ac:dyDescent="0.2">
      <c r="A110" t="str">
        <v>d_109</v>
      </c>
      <c r="B110" s="2">
        <v>40680</v>
      </c>
      <c r="C110" s="4">
        <v>0</v>
      </c>
      <c r="D110" s="4">
        <v>0</v>
      </c>
      <c r="E110" s="4">
        <v>4</v>
      </c>
      <c r="F110">
        <f t="shared" si="9"/>
        <v>1</v>
      </c>
      <c r="G110">
        <f t="shared" si="10"/>
        <v>0</v>
      </c>
      <c r="H110" s="4">
        <f t="shared" si="11"/>
        <v>2</v>
      </c>
      <c r="I110" s="4">
        <f t="shared" si="12"/>
        <v>2</v>
      </c>
      <c r="J110" s="4">
        <f t="shared" si="13"/>
        <v>0.5</v>
      </c>
      <c r="K110" s="4">
        <f t="shared" si="14"/>
        <v>3</v>
      </c>
      <c r="L110" s="4">
        <f t="shared" si="15"/>
        <v>2.5</v>
      </c>
      <c r="M110" s="4">
        <f t="shared" si="16"/>
        <v>0</v>
      </c>
      <c r="N110" s="4">
        <f t="shared" si="17"/>
        <v>1.5</v>
      </c>
    </row>
    <row r="111" spans="1:14" x14ac:dyDescent="0.2">
      <c r="A111" t="str">
        <v>d_110</v>
      </c>
      <c r="B111" s="2">
        <v>40681</v>
      </c>
      <c r="C111" s="4">
        <v>0</v>
      </c>
      <c r="D111" s="4">
        <v>1</v>
      </c>
      <c r="E111" s="4">
        <v>0</v>
      </c>
      <c r="F111">
        <f t="shared" si="9"/>
        <v>0</v>
      </c>
      <c r="G111">
        <f t="shared" si="10"/>
        <v>0.5</v>
      </c>
      <c r="H111" s="4">
        <f t="shared" si="11"/>
        <v>0</v>
      </c>
      <c r="I111" s="4">
        <f t="shared" si="12"/>
        <v>0</v>
      </c>
      <c r="J111" s="4">
        <f t="shared" si="13"/>
        <v>0.5</v>
      </c>
      <c r="K111" s="4">
        <f t="shared" si="14"/>
        <v>2</v>
      </c>
      <c r="L111" s="4">
        <f t="shared" si="15"/>
        <v>0</v>
      </c>
      <c r="M111" s="4">
        <f t="shared" si="16"/>
        <v>1.5</v>
      </c>
      <c r="N111" s="4">
        <f t="shared" si="17"/>
        <v>2</v>
      </c>
    </row>
    <row r="112" spans="1:14" x14ac:dyDescent="0.2">
      <c r="A112" t="str">
        <v>d_111</v>
      </c>
      <c r="B112" s="2">
        <v>40682</v>
      </c>
      <c r="C112" s="4">
        <v>1</v>
      </c>
      <c r="D112" s="4">
        <v>0</v>
      </c>
      <c r="E112" s="4">
        <v>1</v>
      </c>
      <c r="F112">
        <f t="shared" si="9"/>
        <v>1</v>
      </c>
      <c r="G112">
        <f t="shared" si="10"/>
        <v>0</v>
      </c>
      <c r="H112" s="4">
        <f t="shared" si="11"/>
        <v>0.5</v>
      </c>
      <c r="I112" s="4">
        <f t="shared" si="12"/>
        <v>0</v>
      </c>
      <c r="J112" s="4">
        <f t="shared" si="13"/>
        <v>0.5</v>
      </c>
      <c r="K112" s="4">
        <f t="shared" si="14"/>
        <v>1.5</v>
      </c>
      <c r="L112" s="4">
        <f t="shared" si="15"/>
        <v>0</v>
      </c>
      <c r="M112" s="4">
        <f t="shared" si="16"/>
        <v>0.5</v>
      </c>
      <c r="N112" s="4">
        <f t="shared" si="17"/>
        <v>1.5</v>
      </c>
    </row>
    <row r="113" spans="1:14" x14ac:dyDescent="0.2">
      <c r="A113" t="str">
        <v>d_112</v>
      </c>
      <c r="B113" s="2">
        <v>40683</v>
      </c>
      <c r="C113" s="4">
        <v>1</v>
      </c>
      <c r="D113" s="4">
        <v>1</v>
      </c>
      <c r="E113" s="4">
        <v>0</v>
      </c>
      <c r="F113">
        <f t="shared" si="9"/>
        <v>2</v>
      </c>
      <c r="G113">
        <f t="shared" si="10"/>
        <v>1.5</v>
      </c>
      <c r="H113" s="4">
        <f t="shared" si="11"/>
        <v>1</v>
      </c>
      <c r="I113" s="4">
        <f t="shared" si="12"/>
        <v>5</v>
      </c>
      <c r="J113" s="4">
        <f t="shared" si="13"/>
        <v>0.5</v>
      </c>
      <c r="K113" s="4">
        <f t="shared" si="14"/>
        <v>4</v>
      </c>
      <c r="L113" s="4">
        <f t="shared" si="15"/>
        <v>0.5</v>
      </c>
      <c r="M113" s="4">
        <f t="shared" si="16"/>
        <v>0.5</v>
      </c>
      <c r="N113" s="4">
        <f t="shared" si="17"/>
        <v>1</v>
      </c>
    </row>
    <row r="114" spans="1:14" x14ac:dyDescent="0.2">
      <c r="A114" t="str">
        <v>d_113</v>
      </c>
      <c r="B114" s="2">
        <v>40684</v>
      </c>
      <c r="C114" s="4">
        <v>1</v>
      </c>
      <c r="D114" s="4">
        <v>0</v>
      </c>
      <c r="E114" s="4">
        <v>3</v>
      </c>
      <c r="F114">
        <f t="shared" si="9"/>
        <v>1</v>
      </c>
      <c r="G114">
        <f t="shared" si="10"/>
        <v>0.5</v>
      </c>
      <c r="H114" s="4">
        <f t="shared" si="11"/>
        <v>2</v>
      </c>
      <c r="I114" s="4">
        <f t="shared" si="12"/>
        <v>0.5</v>
      </c>
      <c r="J114" s="4">
        <f t="shared" si="13"/>
        <v>2</v>
      </c>
      <c r="K114" s="4">
        <f t="shared" si="14"/>
        <v>1</v>
      </c>
      <c r="L114" s="4">
        <f t="shared" si="15"/>
        <v>1</v>
      </c>
      <c r="M114" s="4">
        <f t="shared" si="16"/>
        <v>0.5</v>
      </c>
      <c r="N114" s="4">
        <f t="shared" si="17"/>
        <v>0</v>
      </c>
    </row>
    <row r="115" spans="1:14" x14ac:dyDescent="0.2">
      <c r="A115" t="str">
        <v>d_114</v>
      </c>
      <c r="B115" s="2">
        <v>40685</v>
      </c>
      <c r="C115" s="4">
        <v>3</v>
      </c>
      <c r="D115" s="4">
        <v>3</v>
      </c>
      <c r="E115" s="4">
        <v>0</v>
      </c>
      <c r="F115">
        <f t="shared" si="9"/>
        <v>3</v>
      </c>
      <c r="G115">
        <f t="shared" si="10"/>
        <v>1.5</v>
      </c>
      <c r="H115" s="4">
        <f t="shared" si="11"/>
        <v>1</v>
      </c>
      <c r="I115" s="4">
        <f t="shared" si="12"/>
        <v>0.5</v>
      </c>
      <c r="J115" s="4">
        <f t="shared" si="13"/>
        <v>0.5</v>
      </c>
      <c r="K115" s="4">
        <f t="shared" si="14"/>
        <v>1.5</v>
      </c>
      <c r="L115" s="4">
        <f t="shared" si="15"/>
        <v>0.5</v>
      </c>
      <c r="M115" s="4">
        <f t="shared" si="16"/>
        <v>0.5</v>
      </c>
      <c r="N115" s="4">
        <f t="shared" si="17"/>
        <v>1.5</v>
      </c>
    </row>
    <row r="116" spans="1:14" x14ac:dyDescent="0.2">
      <c r="A116" t="str">
        <v>d_115</v>
      </c>
      <c r="B116" s="2">
        <v>40686</v>
      </c>
      <c r="C116" s="4">
        <v>0</v>
      </c>
      <c r="D116" s="4">
        <v>2</v>
      </c>
      <c r="E116" s="4">
        <v>1</v>
      </c>
      <c r="F116">
        <f t="shared" si="9"/>
        <v>0</v>
      </c>
      <c r="G116">
        <f t="shared" si="10"/>
        <v>1</v>
      </c>
      <c r="H116" s="4">
        <f t="shared" si="11"/>
        <v>2.5</v>
      </c>
      <c r="I116" s="4">
        <f t="shared" si="12"/>
        <v>1.5</v>
      </c>
      <c r="J116" s="4">
        <f t="shared" si="13"/>
        <v>2.5</v>
      </c>
      <c r="K116" s="4">
        <f t="shared" si="14"/>
        <v>0</v>
      </c>
      <c r="L116" s="4">
        <f t="shared" si="15"/>
        <v>1.5</v>
      </c>
      <c r="M116" s="4">
        <f t="shared" si="16"/>
        <v>2</v>
      </c>
      <c r="N116" s="4">
        <f t="shared" si="17"/>
        <v>0</v>
      </c>
    </row>
    <row r="117" spans="1:14" x14ac:dyDescent="0.2">
      <c r="A117" t="str">
        <v>d_116</v>
      </c>
      <c r="B117" s="2">
        <v>40687</v>
      </c>
      <c r="C117" s="4">
        <v>1</v>
      </c>
      <c r="D117" s="4">
        <v>1</v>
      </c>
      <c r="E117" s="4">
        <v>1</v>
      </c>
      <c r="F117">
        <f t="shared" si="9"/>
        <v>0.5</v>
      </c>
      <c r="G117">
        <f t="shared" si="10"/>
        <v>1</v>
      </c>
      <c r="H117" s="4">
        <f t="shared" si="11"/>
        <v>0.5</v>
      </c>
      <c r="I117" s="4">
        <f t="shared" si="12"/>
        <v>0.5</v>
      </c>
      <c r="J117" s="4">
        <f t="shared" si="13"/>
        <v>1</v>
      </c>
      <c r="K117" s="4">
        <f t="shared" si="14"/>
        <v>0.5</v>
      </c>
      <c r="L117" s="4">
        <f t="shared" si="15"/>
        <v>0</v>
      </c>
      <c r="M117" s="4">
        <f t="shared" si="16"/>
        <v>1.5</v>
      </c>
      <c r="N117" s="4">
        <f t="shared" si="17"/>
        <v>1.5</v>
      </c>
    </row>
    <row r="118" spans="1:14" x14ac:dyDescent="0.2">
      <c r="A118" t="str">
        <v>d_117</v>
      </c>
      <c r="B118" s="2">
        <v>40688</v>
      </c>
      <c r="C118" s="4">
        <v>2</v>
      </c>
      <c r="D118" s="4">
        <v>0</v>
      </c>
      <c r="E118" s="4">
        <v>0</v>
      </c>
      <c r="F118">
        <f t="shared" si="9"/>
        <v>1.5</v>
      </c>
      <c r="G118">
        <f t="shared" si="10"/>
        <v>0</v>
      </c>
      <c r="H118" s="4">
        <f t="shared" si="11"/>
        <v>0.5</v>
      </c>
      <c r="I118" s="4">
        <f t="shared" si="12"/>
        <v>1.5</v>
      </c>
      <c r="J118" s="4">
        <f t="shared" si="13"/>
        <v>0.5</v>
      </c>
      <c r="K118" s="4">
        <f t="shared" si="14"/>
        <v>0.5</v>
      </c>
      <c r="L118" s="4">
        <f t="shared" si="15"/>
        <v>0.5</v>
      </c>
      <c r="M118" s="4">
        <f t="shared" si="16"/>
        <v>1</v>
      </c>
      <c r="N118" s="4">
        <f t="shared" si="17"/>
        <v>0.5</v>
      </c>
    </row>
    <row r="119" spans="1:14" x14ac:dyDescent="0.2">
      <c r="A119" t="str">
        <v>d_118</v>
      </c>
      <c r="B119" s="2">
        <v>40689</v>
      </c>
      <c r="C119" s="4">
        <v>0</v>
      </c>
      <c r="D119" s="4">
        <v>3</v>
      </c>
      <c r="E119" s="4">
        <v>0</v>
      </c>
      <c r="F119">
        <f t="shared" si="9"/>
        <v>0.5</v>
      </c>
      <c r="G119">
        <f t="shared" si="10"/>
        <v>2</v>
      </c>
      <c r="H119" s="4">
        <f t="shared" si="11"/>
        <v>0</v>
      </c>
      <c r="I119" s="4">
        <f t="shared" si="12"/>
        <v>1</v>
      </c>
      <c r="J119" s="4">
        <f t="shared" si="13"/>
        <v>0</v>
      </c>
      <c r="K119" s="4">
        <f t="shared" si="14"/>
        <v>0</v>
      </c>
      <c r="L119" s="4">
        <f t="shared" si="15"/>
        <v>1</v>
      </c>
      <c r="M119" s="4">
        <f t="shared" si="16"/>
        <v>0.5</v>
      </c>
      <c r="N119" s="4">
        <f t="shared" si="17"/>
        <v>1</v>
      </c>
    </row>
    <row r="120" spans="1:14" x14ac:dyDescent="0.2">
      <c r="A120" t="str">
        <v>d_119</v>
      </c>
      <c r="B120" s="2">
        <v>40690</v>
      </c>
      <c r="C120" s="4">
        <v>6</v>
      </c>
      <c r="D120" s="4">
        <v>0</v>
      </c>
      <c r="E120" s="4">
        <v>0</v>
      </c>
      <c r="F120">
        <f t="shared" si="9"/>
        <v>3.5</v>
      </c>
      <c r="G120">
        <f t="shared" si="10"/>
        <v>0</v>
      </c>
      <c r="H120" s="4">
        <f t="shared" si="11"/>
        <v>1.5</v>
      </c>
      <c r="I120" s="4">
        <f t="shared" si="12"/>
        <v>0.5</v>
      </c>
      <c r="J120" s="4">
        <f t="shared" si="13"/>
        <v>1.5</v>
      </c>
      <c r="K120" s="4">
        <f t="shared" si="14"/>
        <v>0</v>
      </c>
      <c r="L120" s="4">
        <f t="shared" si="15"/>
        <v>0</v>
      </c>
      <c r="M120" s="4">
        <f t="shared" si="16"/>
        <v>2</v>
      </c>
      <c r="N120" s="4">
        <f t="shared" si="17"/>
        <v>0.5</v>
      </c>
    </row>
    <row r="121" spans="1:14" x14ac:dyDescent="0.2">
      <c r="A121" t="str">
        <v>d_120</v>
      </c>
      <c r="B121" s="2">
        <v>40691</v>
      </c>
      <c r="C121" s="4">
        <v>3</v>
      </c>
      <c r="D121" s="4">
        <v>0</v>
      </c>
      <c r="E121" s="4">
        <v>0</v>
      </c>
      <c r="F121">
        <f t="shared" si="9"/>
        <v>3</v>
      </c>
      <c r="G121">
        <f t="shared" si="10"/>
        <v>1.5</v>
      </c>
      <c r="H121" s="4">
        <f t="shared" si="11"/>
        <v>0</v>
      </c>
      <c r="I121" s="4">
        <f t="shared" si="12"/>
        <v>4.5</v>
      </c>
      <c r="J121" s="4">
        <f t="shared" si="13"/>
        <v>1</v>
      </c>
      <c r="K121" s="4">
        <f t="shared" si="14"/>
        <v>1</v>
      </c>
      <c r="L121" s="4">
        <f t="shared" si="15"/>
        <v>4.5</v>
      </c>
      <c r="M121" s="4">
        <f t="shared" si="16"/>
        <v>1.5</v>
      </c>
      <c r="N121" s="4">
        <f t="shared" si="17"/>
        <v>0.5</v>
      </c>
    </row>
    <row r="122" spans="1:14" x14ac:dyDescent="0.2">
      <c r="A122" t="str">
        <v>d_121</v>
      </c>
      <c r="B122" s="2">
        <v>40692</v>
      </c>
      <c r="C122" s="4">
        <v>1</v>
      </c>
      <c r="D122" s="4">
        <v>0</v>
      </c>
      <c r="E122" s="4">
        <v>1</v>
      </c>
      <c r="F122">
        <f t="shared" si="9"/>
        <v>0.5</v>
      </c>
      <c r="G122">
        <f t="shared" si="10"/>
        <v>1</v>
      </c>
      <c r="H122" s="4">
        <f t="shared" si="11"/>
        <v>1</v>
      </c>
      <c r="I122" s="4">
        <f t="shared" si="12"/>
        <v>2</v>
      </c>
      <c r="J122" s="4">
        <f t="shared" si="13"/>
        <v>0.5</v>
      </c>
      <c r="K122" s="4">
        <f t="shared" si="14"/>
        <v>0.5</v>
      </c>
      <c r="L122" s="4">
        <f t="shared" si="15"/>
        <v>2.5</v>
      </c>
      <c r="M122" s="4">
        <f t="shared" si="16"/>
        <v>0</v>
      </c>
      <c r="N122" s="4">
        <f t="shared" si="17"/>
        <v>0.5</v>
      </c>
    </row>
    <row r="123" spans="1:14" x14ac:dyDescent="0.2">
      <c r="A123" t="str">
        <v>d_122</v>
      </c>
      <c r="B123" s="2">
        <v>40693</v>
      </c>
      <c r="C123" s="4">
        <v>0</v>
      </c>
      <c r="D123" s="4">
        <v>0</v>
      </c>
      <c r="E123" s="4">
        <v>2</v>
      </c>
      <c r="F123">
        <f t="shared" si="9"/>
        <v>0.5</v>
      </c>
      <c r="G123">
        <f t="shared" si="10"/>
        <v>0.5</v>
      </c>
      <c r="H123" s="4">
        <f t="shared" si="11"/>
        <v>1.5</v>
      </c>
      <c r="I123" s="4">
        <f t="shared" si="12"/>
        <v>2</v>
      </c>
      <c r="J123" s="4">
        <f t="shared" si="13"/>
        <v>0</v>
      </c>
      <c r="K123" s="4">
        <f t="shared" si="14"/>
        <v>1.5</v>
      </c>
      <c r="L123" s="4">
        <f t="shared" si="15"/>
        <v>4</v>
      </c>
      <c r="M123" s="4">
        <f t="shared" si="16"/>
        <v>1</v>
      </c>
      <c r="N123" s="4">
        <f t="shared" si="17"/>
        <v>2</v>
      </c>
    </row>
    <row r="124" spans="1:14" x14ac:dyDescent="0.2">
      <c r="A124" t="str">
        <v>d_123</v>
      </c>
      <c r="B124" s="2">
        <v>40694</v>
      </c>
      <c r="C124" s="4">
        <v>1</v>
      </c>
      <c r="D124" s="4">
        <v>0</v>
      </c>
      <c r="E124" s="4">
        <v>0</v>
      </c>
      <c r="F124">
        <f t="shared" si="9"/>
        <v>1.5</v>
      </c>
      <c r="G124">
        <f t="shared" si="10"/>
        <v>0</v>
      </c>
      <c r="H124" s="4">
        <f t="shared" si="11"/>
        <v>0</v>
      </c>
      <c r="I124" s="4">
        <f t="shared" si="12"/>
        <v>0</v>
      </c>
      <c r="J124" s="4">
        <f t="shared" si="13"/>
        <v>0</v>
      </c>
      <c r="K124" s="4">
        <f t="shared" si="14"/>
        <v>3</v>
      </c>
      <c r="L124" s="4">
        <f t="shared" si="15"/>
        <v>0.5</v>
      </c>
      <c r="M124" s="4">
        <f t="shared" si="16"/>
        <v>0.5</v>
      </c>
      <c r="N124" s="4">
        <f t="shared" si="17"/>
        <v>3</v>
      </c>
    </row>
    <row r="125" spans="1:14" x14ac:dyDescent="0.2">
      <c r="A125" t="str">
        <v>d_124</v>
      </c>
      <c r="B125" s="2">
        <v>40695</v>
      </c>
      <c r="C125" s="4">
        <v>0</v>
      </c>
      <c r="D125" s="4">
        <v>1</v>
      </c>
      <c r="E125" s="4">
        <v>0</v>
      </c>
      <c r="F125">
        <f t="shared" si="9"/>
        <v>0</v>
      </c>
      <c r="G125">
        <f t="shared" si="10"/>
        <v>2</v>
      </c>
      <c r="H125" s="4">
        <f t="shared" si="11"/>
        <v>0</v>
      </c>
      <c r="I125" s="4">
        <f t="shared" si="12"/>
        <v>0.5</v>
      </c>
      <c r="J125" s="4">
        <f t="shared" si="13"/>
        <v>0.5</v>
      </c>
      <c r="K125" s="4">
        <f t="shared" si="14"/>
        <v>0</v>
      </c>
      <c r="L125" s="4">
        <f t="shared" si="15"/>
        <v>0.5</v>
      </c>
      <c r="M125" s="4">
        <f t="shared" si="16"/>
        <v>0.5</v>
      </c>
      <c r="N125" s="4">
        <f t="shared" si="17"/>
        <v>0</v>
      </c>
    </row>
    <row r="126" spans="1:14" x14ac:dyDescent="0.2">
      <c r="A126" t="str">
        <v>d_125</v>
      </c>
      <c r="B126" s="2">
        <v>40696</v>
      </c>
      <c r="C126" s="4">
        <v>2</v>
      </c>
      <c r="D126" s="4">
        <v>0</v>
      </c>
      <c r="E126" s="4">
        <v>3</v>
      </c>
      <c r="F126">
        <f t="shared" si="9"/>
        <v>4</v>
      </c>
      <c r="G126">
        <f t="shared" si="10"/>
        <v>0</v>
      </c>
      <c r="H126" s="4">
        <f t="shared" si="11"/>
        <v>1.5</v>
      </c>
      <c r="I126" s="4">
        <f t="shared" si="12"/>
        <v>0.5</v>
      </c>
      <c r="J126" s="4">
        <f t="shared" si="13"/>
        <v>0.5</v>
      </c>
      <c r="K126" s="4">
        <f t="shared" si="14"/>
        <v>0.5</v>
      </c>
      <c r="L126" s="4">
        <f t="shared" si="15"/>
        <v>0</v>
      </c>
      <c r="M126" s="4">
        <f t="shared" si="16"/>
        <v>0.5</v>
      </c>
      <c r="N126" s="4">
        <f t="shared" si="17"/>
        <v>1.5</v>
      </c>
    </row>
    <row r="127" spans="1:14" x14ac:dyDescent="0.2">
      <c r="A127" t="str">
        <v>d_126</v>
      </c>
      <c r="B127" s="2">
        <v>40697</v>
      </c>
      <c r="C127" s="4">
        <v>0</v>
      </c>
      <c r="D127" s="4">
        <v>2</v>
      </c>
      <c r="E127" s="4">
        <v>0</v>
      </c>
      <c r="F127">
        <f t="shared" si="9"/>
        <v>1.5</v>
      </c>
      <c r="G127">
        <f t="shared" si="10"/>
        <v>1</v>
      </c>
      <c r="H127" s="4">
        <f t="shared" si="11"/>
        <v>0</v>
      </c>
      <c r="I127" s="4">
        <f t="shared" si="12"/>
        <v>1.5</v>
      </c>
      <c r="J127" s="4">
        <f t="shared" si="13"/>
        <v>0.5</v>
      </c>
      <c r="K127" s="4">
        <f t="shared" si="14"/>
        <v>1.5</v>
      </c>
      <c r="L127" s="4">
        <f t="shared" si="15"/>
        <v>5.5</v>
      </c>
      <c r="M127" s="4">
        <f t="shared" si="16"/>
        <v>0.5</v>
      </c>
      <c r="N127" s="4">
        <f t="shared" si="17"/>
        <v>5</v>
      </c>
    </row>
    <row r="128" spans="1:14" x14ac:dyDescent="0.2">
      <c r="A128" t="str">
        <v>d_127</v>
      </c>
      <c r="B128" s="2">
        <v>40698</v>
      </c>
      <c r="C128" s="4">
        <v>0</v>
      </c>
      <c r="D128" s="4">
        <v>0</v>
      </c>
      <c r="E128" s="4">
        <v>1</v>
      </c>
      <c r="F128">
        <f t="shared" si="9"/>
        <v>0.5</v>
      </c>
      <c r="G128">
        <f t="shared" si="10"/>
        <v>0</v>
      </c>
      <c r="H128" s="4">
        <f t="shared" si="11"/>
        <v>1</v>
      </c>
      <c r="I128" s="4">
        <f t="shared" si="12"/>
        <v>0.5</v>
      </c>
      <c r="J128" s="4">
        <f t="shared" si="13"/>
        <v>1</v>
      </c>
      <c r="K128" s="4">
        <f t="shared" si="14"/>
        <v>1.5</v>
      </c>
      <c r="L128" s="4">
        <f t="shared" si="15"/>
        <v>0</v>
      </c>
      <c r="M128" s="4">
        <f t="shared" si="16"/>
        <v>2.5</v>
      </c>
      <c r="N128" s="4">
        <f t="shared" si="17"/>
        <v>1</v>
      </c>
    </row>
    <row r="129" spans="1:14" x14ac:dyDescent="0.2">
      <c r="A129" t="str">
        <v>d_128</v>
      </c>
      <c r="B129" s="2">
        <v>40699</v>
      </c>
      <c r="C129" s="4">
        <v>0</v>
      </c>
      <c r="D129" s="4">
        <v>0</v>
      </c>
      <c r="E129" s="4">
        <v>0</v>
      </c>
      <c r="F129">
        <f t="shared" si="9"/>
        <v>0</v>
      </c>
      <c r="G129">
        <f t="shared" si="10"/>
        <v>0</v>
      </c>
      <c r="H129" s="4">
        <f t="shared" si="11"/>
        <v>1</v>
      </c>
      <c r="I129" s="4">
        <f t="shared" si="12"/>
        <v>1.5</v>
      </c>
      <c r="J129" s="4">
        <f t="shared" si="13"/>
        <v>1.5</v>
      </c>
      <c r="K129" s="4">
        <f t="shared" si="14"/>
        <v>0.5</v>
      </c>
      <c r="L129" s="4">
        <f t="shared" si="15"/>
        <v>0</v>
      </c>
      <c r="M129" s="4">
        <f t="shared" si="16"/>
        <v>0.5</v>
      </c>
      <c r="N129" s="4">
        <f t="shared" si="17"/>
        <v>0.5</v>
      </c>
    </row>
    <row r="130" spans="1:14" x14ac:dyDescent="0.2">
      <c r="A130" t="str">
        <v>d_129</v>
      </c>
      <c r="B130" s="2">
        <v>40700</v>
      </c>
      <c r="C130" s="4">
        <v>0</v>
      </c>
      <c r="D130" s="4">
        <v>4</v>
      </c>
      <c r="E130" s="4">
        <v>4</v>
      </c>
      <c r="F130">
        <f t="shared" si="9"/>
        <v>0.5</v>
      </c>
      <c r="G130">
        <f t="shared" si="10"/>
        <v>2</v>
      </c>
      <c r="H130" s="4">
        <f t="shared" si="11"/>
        <v>2</v>
      </c>
      <c r="I130" s="4">
        <f t="shared" si="12"/>
        <v>0</v>
      </c>
      <c r="J130" s="4">
        <f t="shared" si="13"/>
        <v>1</v>
      </c>
      <c r="K130" s="4">
        <f t="shared" si="14"/>
        <v>0.5</v>
      </c>
      <c r="L130" s="4">
        <f t="shared" si="15"/>
        <v>0</v>
      </c>
      <c r="M130" s="4">
        <f t="shared" si="16"/>
        <v>1</v>
      </c>
      <c r="N130" s="4">
        <f t="shared" si="17"/>
        <v>0</v>
      </c>
    </row>
    <row r="131" spans="1:14" x14ac:dyDescent="0.2">
      <c r="A131" t="str">
        <v>d_130</v>
      </c>
      <c r="B131" s="2">
        <v>40701</v>
      </c>
      <c r="C131" s="4">
        <v>0</v>
      </c>
      <c r="D131" s="4">
        <v>2</v>
      </c>
      <c r="E131" s="4">
        <v>0</v>
      </c>
      <c r="F131">
        <f t="shared" si="9"/>
        <v>0</v>
      </c>
      <c r="G131">
        <f t="shared" si="10"/>
        <v>1.5</v>
      </c>
      <c r="H131" s="4">
        <f t="shared" si="11"/>
        <v>0</v>
      </c>
      <c r="I131" s="4">
        <f t="shared" si="12"/>
        <v>0.5</v>
      </c>
      <c r="J131" s="4">
        <f t="shared" si="13"/>
        <v>2.5</v>
      </c>
      <c r="K131" s="4">
        <f t="shared" si="14"/>
        <v>2.5</v>
      </c>
      <c r="L131" s="4">
        <f t="shared" si="15"/>
        <v>0.5</v>
      </c>
      <c r="M131" s="4">
        <f t="shared" si="16"/>
        <v>2</v>
      </c>
      <c r="N131" s="4">
        <f t="shared" si="17"/>
        <v>2</v>
      </c>
    </row>
    <row r="132" spans="1:14" x14ac:dyDescent="0.2">
      <c r="A132" t="str">
        <v>d_131</v>
      </c>
      <c r="B132" s="2">
        <v>40702</v>
      </c>
      <c r="C132" s="4">
        <v>1</v>
      </c>
      <c r="D132" s="4">
        <v>4</v>
      </c>
      <c r="E132" s="4">
        <v>0</v>
      </c>
      <c r="F132">
        <f t="shared" si="9"/>
        <v>1.5</v>
      </c>
      <c r="G132">
        <f t="shared" si="10"/>
        <v>2</v>
      </c>
      <c r="H132" s="4">
        <f t="shared" si="11"/>
        <v>1.5</v>
      </c>
      <c r="I132" s="4">
        <f t="shared" si="12"/>
        <v>1</v>
      </c>
      <c r="J132" s="4">
        <f t="shared" si="13"/>
        <v>1</v>
      </c>
      <c r="K132" s="4">
        <f t="shared" si="14"/>
        <v>0</v>
      </c>
      <c r="L132" s="4">
        <f t="shared" si="15"/>
        <v>1</v>
      </c>
      <c r="M132" s="4">
        <f t="shared" si="16"/>
        <v>1</v>
      </c>
      <c r="N132" s="4">
        <f t="shared" si="17"/>
        <v>0</v>
      </c>
    </row>
    <row r="133" spans="1:14" x14ac:dyDescent="0.2">
      <c r="A133" t="str">
        <v>d_132</v>
      </c>
      <c r="B133" s="2">
        <v>40703</v>
      </c>
      <c r="C133" s="4">
        <v>4</v>
      </c>
      <c r="D133" s="4">
        <v>0</v>
      </c>
      <c r="E133" s="4">
        <v>0</v>
      </c>
      <c r="F133">
        <f t="shared" si="9"/>
        <v>2</v>
      </c>
      <c r="G133">
        <f t="shared" si="10"/>
        <v>1</v>
      </c>
      <c r="H133" s="4">
        <f t="shared" si="11"/>
        <v>0</v>
      </c>
      <c r="I133" s="4">
        <f t="shared" si="12"/>
        <v>0.5</v>
      </c>
      <c r="J133" s="4">
        <f t="shared" si="13"/>
        <v>3.5</v>
      </c>
      <c r="K133" s="4">
        <f t="shared" si="14"/>
        <v>0</v>
      </c>
      <c r="L133" s="4">
        <f t="shared" si="15"/>
        <v>0.5</v>
      </c>
      <c r="M133" s="4">
        <f t="shared" si="16"/>
        <v>2</v>
      </c>
      <c r="N133" s="4">
        <f t="shared" si="17"/>
        <v>0</v>
      </c>
    </row>
    <row r="134" spans="1:14" x14ac:dyDescent="0.2">
      <c r="A134" t="str">
        <v>d_133</v>
      </c>
      <c r="B134" s="2">
        <v>40704</v>
      </c>
      <c r="C134" s="4">
        <v>0</v>
      </c>
      <c r="D134" s="4">
        <v>3</v>
      </c>
      <c r="E134" s="4">
        <v>0</v>
      </c>
      <c r="F134">
        <f t="shared" si="9"/>
        <v>0</v>
      </c>
      <c r="G134">
        <f t="shared" si="10"/>
        <v>1.5</v>
      </c>
      <c r="H134" s="4">
        <f t="shared" si="11"/>
        <v>0.5</v>
      </c>
      <c r="I134" s="4">
        <f t="shared" si="12"/>
        <v>5</v>
      </c>
      <c r="J134" s="4">
        <f t="shared" si="13"/>
        <v>0</v>
      </c>
      <c r="K134" s="4">
        <f t="shared" si="14"/>
        <v>0</v>
      </c>
      <c r="L134" s="4">
        <f t="shared" si="15"/>
        <v>2.5</v>
      </c>
      <c r="M134" s="4">
        <f t="shared" si="16"/>
        <v>0</v>
      </c>
      <c r="N134" s="4">
        <f t="shared" si="17"/>
        <v>0</v>
      </c>
    </row>
    <row r="135" spans="1:14" x14ac:dyDescent="0.2">
      <c r="A135" t="str">
        <v>d_134</v>
      </c>
      <c r="B135" s="2">
        <v>40705</v>
      </c>
      <c r="C135" s="4">
        <v>0</v>
      </c>
      <c r="D135" s="4">
        <v>1</v>
      </c>
      <c r="E135" s="4">
        <v>6</v>
      </c>
      <c r="F135">
        <f t="shared" si="9"/>
        <v>0</v>
      </c>
      <c r="G135">
        <f t="shared" si="10"/>
        <v>0.5</v>
      </c>
      <c r="H135" s="4">
        <f t="shared" si="11"/>
        <v>3</v>
      </c>
      <c r="I135" s="4">
        <f t="shared" si="12"/>
        <v>1.5</v>
      </c>
      <c r="J135" s="4">
        <f t="shared" si="13"/>
        <v>1.5</v>
      </c>
      <c r="K135" s="4">
        <f t="shared" si="14"/>
        <v>0</v>
      </c>
      <c r="L135" s="4">
        <f t="shared" si="15"/>
        <v>1.5</v>
      </c>
      <c r="M135" s="4">
        <f t="shared" si="16"/>
        <v>2.5</v>
      </c>
      <c r="N135" s="4">
        <f t="shared" si="17"/>
        <v>1</v>
      </c>
    </row>
    <row r="136" spans="1:14" x14ac:dyDescent="0.2">
      <c r="A136" t="str">
        <v>d_135</v>
      </c>
      <c r="B136" s="2">
        <v>40706</v>
      </c>
      <c r="C136" s="4">
        <v>3</v>
      </c>
      <c r="D136" s="4">
        <v>1</v>
      </c>
      <c r="E136" s="4">
        <v>4</v>
      </c>
      <c r="F136">
        <f t="shared" si="9"/>
        <v>1.5</v>
      </c>
      <c r="G136">
        <f t="shared" si="10"/>
        <v>2.5</v>
      </c>
      <c r="H136" s="4">
        <f t="shared" si="11"/>
        <v>4</v>
      </c>
      <c r="I136" s="4">
        <f t="shared" si="12"/>
        <v>0.5</v>
      </c>
      <c r="J136" s="4">
        <f t="shared" si="13"/>
        <v>0.5</v>
      </c>
      <c r="K136" s="4">
        <f t="shared" si="14"/>
        <v>3.5</v>
      </c>
      <c r="L136" s="4">
        <f t="shared" si="15"/>
        <v>0.5</v>
      </c>
      <c r="M136" s="4">
        <f t="shared" si="16"/>
        <v>1</v>
      </c>
      <c r="N136" s="4">
        <f t="shared" si="17"/>
        <v>3.5</v>
      </c>
    </row>
    <row r="137" spans="1:14" x14ac:dyDescent="0.2">
      <c r="A137" t="str">
        <v>d_136</v>
      </c>
      <c r="B137" s="2">
        <v>40707</v>
      </c>
      <c r="C137" s="4">
        <v>0</v>
      </c>
      <c r="D137" s="4">
        <v>1</v>
      </c>
      <c r="E137" s="4">
        <v>0</v>
      </c>
      <c r="F137">
        <f t="shared" ref="F137:F200" si="18">AVERAGE(C131,C137)</f>
        <v>0</v>
      </c>
      <c r="G137">
        <f t="shared" ref="G137:G200" si="19">AVERAGE(D131,D137)</f>
        <v>1.5</v>
      </c>
      <c r="H137" s="4">
        <f t="shared" ref="H137:H200" si="20">AVERAGE(E131,E137)</f>
        <v>0</v>
      </c>
      <c r="I137" s="4">
        <f t="shared" si="12"/>
        <v>1.5</v>
      </c>
      <c r="J137" s="4">
        <f t="shared" si="13"/>
        <v>0.5</v>
      </c>
      <c r="K137" s="4">
        <f t="shared" si="14"/>
        <v>3</v>
      </c>
      <c r="L137" s="4">
        <f t="shared" si="15"/>
        <v>3</v>
      </c>
      <c r="M137" s="4">
        <f t="shared" si="16"/>
        <v>0.5</v>
      </c>
      <c r="N137" s="4">
        <f t="shared" si="17"/>
        <v>3</v>
      </c>
    </row>
    <row r="138" spans="1:14" x14ac:dyDescent="0.2">
      <c r="A138" t="str">
        <v>d_137</v>
      </c>
      <c r="B138" s="2">
        <v>40708</v>
      </c>
      <c r="C138" s="4">
        <v>1</v>
      </c>
      <c r="D138" s="4">
        <v>2</v>
      </c>
      <c r="E138" s="4">
        <v>0</v>
      </c>
      <c r="F138">
        <f t="shared" si="18"/>
        <v>1</v>
      </c>
      <c r="G138">
        <f t="shared" si="19"/>
        <v>3</v>
      </c>
      <c r="H138" s="4">
        <f t="shared" si="20"/>
        <v>0</v>
      </c>
      <c r="I138" s="4">
        <f t="shared" si="12"/>
        <v>0.5</v>
      </c>
      <c r="J138" s="4">
        <f t="shared" si="13"/>
        <v>0.5</v>
      </c>
      <c r="K138" s="4">
        <f t="shared" si="14"/>
        <v>0</v>
      </c>
      <c r="L138" s="4">
        <f t="shared" si="15"/>
        <v>0</v>
      </c>
      <c r="M138" s="4">
        <f t="shared" si="16"/>
        <v>0.5</v>
      </c>
      <c r="N138" s="4">
        <f t="shared" si="17"/>
        <v>2</v>
      </c>
    </row>
    <row r="139" spans="1:14" x14ac:dyDescent="0.2">
      <c r="A139" t="str">
        <v>d_138</v>
      </c>
      <c r="B139" s="2">
        <v>40709</v>
      </c>
      <c r="C139" s="4">
        <v>1</v>
      </c>
      <c r="D139" s="4">
        <v>2</v>
      </c>
      <c r="E139" s="4">
        <v>0</v>
      </c>
      <c r="F139">
        <f t="shared" si="18"/>
        <v>2.5</v>
      </c>
      <c r="G139">
        <f t="shared" si="19"/>
        <v>1</v>
      </c>
      <c r="H139" s="4">
        <f t="shared" si="20"/>
        <v>0</v>
      </c>
      <c r="I139" s="4">
        <f t="shared" si="12"/>
        <v>0.5</v>
      </c>
      <c r="J139" s="4">
        <f t="shared" si="13"/>
        <v>1.5</v>
      </c>
      <c r="K139" s="4">
        <f t="shared" si="14"/>
        <v>0</v>
      </c>
      <c r="L139" s="4">
        <f t="shared" si="15"/>
        <v>0.5</v>
      </c>
      <c r="M139" s="4">
        <f t="shared" si="16"/>
        <v>1.5</v>
      </c>
      <c r="N139" s="4">
        <f t="shared" si="17"/>
        <v>0</v>
      </c>
    </row>
    <row r="140" spans="1:14" x14ac:dyDescent="0.2">
      <c r="A140" t="str">
        <v>d_139</v>
      </c>
      <c r="B140" s="2">
        <v>40710</v>
      </c>
      <c r="C140" s="4">
        <v>0</v>
      </c>
      <c r="D140" s="4">
        <v>1</v>
      </c>
      <c r="E140" s="4">
        <v>1</v>
      </c>
      <c r="F140">
        <f t="shared" si="18"/>
        <v>0</v>
      </c>
      <c r="G140">
        <f t="shared" si="19"/>
        <v>2</v>
      </c>
      <c r="H140" s="4">
        <f t="shared" si="20"/>
        <v>0.5</v>
      </c>
      <c r="I140" s="4">
        <f t="shared" si="12"/>
        <v>1.5</v>
      </c>
      <c r="J140" s="4">
        <f t="shared" si="13"/>
        <v>1</v>
      </c>
      <c r="K140" s="4">
        <f t="shared" si="14"/>
        <v>1.5</v>
      </c>
      <c r="L140" s="4">
        <f t="shared" si="15"/>
        <v>1</v>
      </c>
      <c r="M140" s="4">
        <f t="shared" si="16"/>
        <v>1</v>
      </c>
      <c r="N140" s="4">
        <f t="shared" si="17"/>
        <v>0.5</v>
      </c>
    </row>
    <row r="141" spans="1:14" x14ac:dyDescent="0.2">
      <c r="A141" t="str">
        <v>d_140</v>
      </c>
      <c r="B141" s="2">
        <v>40711</v>
      </c>
      <c r="C141" s="4">
        <v>2</v>
      </c>
      <c r="D141" s="4">
        <v>0</v>
      </c>
      <c r="E141" s="4">
        <v>1</v>
      </c>
      <c r="F141">
        <f t="shared" si="18"/>
        <v>1</v>
      </c>
      <c r="G141">
        <f t="shared" si="19"/>
        <v>0.5</v>
      </c>
      <c r="H141" s="4">
        <f t="shared" si="20"/>
        <v>3.5</v>
      </c>
      <c r="I141" s="4">
        <f t="shared" si="12"/>
        <v>0</v>
      </c>
      <c r="J141" s="4">
        <f t="shared" si="13"/>
        <v>1.5</v>
      </c>
      <c r="K141" s="4">
        <f t="shared" si="14"/>
        <v>0.5</v>
      </c>
      <c r="L141" s="4">
        <f t="shared" si="15"/>
        <v>0.5</v>
      </c>
      <c r="M141" s="4">
        <f t="shared" si="16"/>
        <v>1</v>
      </c>
      <c r="N141" s="4">
        <f t="shared" si="17"/>
        <v>0.5</v>
      </c>
    </row>
    <row r="142" spans="1:14" x14ac:dyDescent="0.2">
      <c r="A142" t="str">
        <v>d_141</v>
      </c>
      <c r="B142" s="2">
        <v>40712</v>
      </c>
      <c r="C142" s="4">
        <v>3</v>
      </c>
      <c r="D142" s="4">
        <v>2</v>
      </c>
      <c r="E142" s="4">
        <v>0</v>
      </c>
      <c r="F142">
        <f t="shared" si="18"/>
        <v>3</v>
      </c>
      <c r="G142">
        <f t="shared" si="19"/>
        <v>1.5</v>
      </c>
      <c r="H142" s="4">
        <f t="shared" si="20"/>
        <v>2</v>
      </c>
      <c r="I142" s="4">
        <f t="shared" si="12"/>
        <v>1</v>
      </c>
      <c r="J142" s="4">
        <f t="shared" si="13"/>
        <v>0</v>
      </c>
      <c r="K142" s="4">
        <f t="shared" si="14"/>
        <v>1</v>
      </c>
      <c r="L142" s="4">
        <f t="shared" si="15"/>
        <v>1.5</v>
      </c>
      <c r="M142" s="4">
        <f t="shared" si="16"/>
        <v>0</v>
      </c>
      <c r="N142" s="4">
        <f t="shared" si="17"/>
        <v>2</v>
      </c>
    </row>
    <row r="143" spans="1:14" x14ac:dyDescent="0.2">
      <c r="A143" t="str">
        <v>d_142</v>
      </c>
      <c r="B143" s="2">
        <v>40713</v>
      </c>
      <c r="C143" s="4">
        <v>2</v>
      </c>
      <c r="D143" s="4">
        <v>3</v>
      </c>
      <c r="E143" s="4">
        <v>1</v>
      </c>
      <c r="F143">
        <f t="shared" si="18"/>
        <v>1</v>
      </c>
      <c r="G143">
        <f t="shared" si="19"/>
        <v>2</v>
      </c>
      <c r="H143" s="4">
        <f t="shared" si="20"/>
        <v>0.5</v>
      </c>
      <c r="I143" s="4">
        <f t="shared" si="12"/>
        <v>1.5</v>
      </c>
      <c r="J143" s="4">
        <f t="shared" si="13"/>
        <v>1</v>
      </c>
      <c r="K143" s="4">
        <f t="shared" si="14"/>
        <v>0</v>
      </c>
      <c r="L143" s="4">
        <f t="shared" si="15"/>
        <v>3</v>
      </c>
      <c r="M143" s="4">
        <f t="shared" si="16"/>
        <v>2.5</v>
      </c>
      <c r="N143" s="4">
        <f t="shared" si="17"/>
        <v>0</v>
      </c>
    </row>
    <row r="144" spans="1:14" x14ac:dyDescent="0.2">
      <c r="A144" t="str">
        <v>d_143</v>
      </c>
      <c r="B144" s="2">
        <v>40714</v>
      </c>
      <c r="C144" s="4">
        <v>3</v>
      </c>
      <c r="D144" s="4">
        <v>1</v>
      </c>
      <c r="E144" s="4">
        <v>0</v>
      </c>
      <c r="F144">
        <f t="shared" si="18"/>
        <v>2</v>
      </c>
      <c r="G144">
        <f t="shared" si="19"/>
        <v>1.5</v>
      </c>
      <c r="H144" s="4">
        <f t="shared" si="20"/>
        <v>0</v>
      </c>
      <c r="I144" s="4">
        <f t="shared" si="12"/>
        <v>1</v>
      </c>
      <c r="J144" s="4">
        <f t="shared" si="13"/>
        <v>3.5</v>
      </c>
      <c r="K144" s="4">
        <f t="shared" si="14"/>
        <v>2.5</v>
      </c>
      <c r="L144" s="4">
        <f t="shared" si="15"/>
        <v>1</v>
      </c>
      <c r="M144" s="4">
        <f t="shared" si="16"/>
        <v>2.5</v>
      </c>
      <c r="N144" s="4">
        <f t="shared" si="17"/>
        <v>1</v>
      </c>
    </row>
    <row r="145" spans="1:14" x14ac:dyDescent="0.2">
      <c r="A145" t="str">
        <v>d_144</v>
      </c>
      <c r="B145" s="2">
        <v>40715</v>
      </c>
      <c r="C145" s="4">
        <v>1</v>
      </c>
      <c r="D145" s="4">
        <v>2</v>
      </c>
      <c r="E145" s="4">
        <v>0</v>
      </c>
      <c r="F145">
        <f t="shared" si="18"/>
        <v>1</v>
      </c>
      <c r="G145">
        <f t="shared" si="19"/>
        <v>2</v>
      </c>
      <c r="H145" s="4">
        <f t="shared" si="20"/>
        <v>0</v>
      </c>
      <c r="I145" s="4">
        <f t="shared" ref="I145:I208" si="21">AVERAGE(C131,C144)</f>
        <v>1.5</v>
      </c>
      <c r="J145" s="4">
        <f t="shared" ref="J145:J208" si="22">AVERAGE(D131,D144)</f>
        <v>1.5</v>
      </c>
      <c r="K145" s="4">
        <f t="shared" ref="K145:K208" si="23">AVERAGE(E131,E144)</f>
        <v>0</v>
      </c>
      <c r="L145" s="4">
        <f t="shared" si="15"/>
        <v>2</v>
      </c>
      <c r="M145" s="4">
        <f t="shared" si="16"/>
        <v>1</v>
      </c>
      <c r="N145" s="4">
        <f t="shared" si="17"/>
        <v>0.5</v>
      </c>
    </row>
    <row r="146" spans="1:14" x14ac:dyDescent="0.2">
      <c r="A146" t="str">
        <v>d_145</v>
      </c>
      <c r="B146" s="2">
        <v>40716</v>
      </c>
      <c r="C146" s="4">
        <v>1</v>
      </c>
      <c r="D146" s="4">
        <v>0</v>
      </c>
      <c r="E146" s="4">
        <v>1</v>
      </c>
      <c r="F146">
        <f t="shared" si="18"/>
        <v>0.5</v>
      </c>
      <c r="G146">
        <f t="shared" si="19"/>
        <v>0.5</v>
      </c>
      <c r="H146" s="4">
        <f t="shared" si="20"/>
        <v>1</v>
      </c>
      <c r="I146" s="4">
        <f t="shared" si="21"/>
        <v>1</v>
      </c>
      <c r="J146" s="4">
        <f t="shared" si="22"/>
        <v>3</v>
      </c>
      <c r="K146" s="4">
        <f t="shared" si="23"/>
        <v>0</v>
      </c>
      <c r="L146" s="4">
        <f t="shared" si="15"/>
        <v>1.5</v>
      </c>
      <c r="M146" s="4">
        <f t="shared" si="16"/>
        <v>1</v>
      </c>
      <c r="N146" s="4">
        <f t="shared" si="17"/>
        <v>0</v>
      </c>
    </row>
    <row r="147" spans="1:14" x14ac:dyDescent="0.2">
      <c r="A147" t="str">
        <v>d_146</v>
      </c>
      <c r="B147" s="2">
        <v>40717</v>
      </c>
      <c r="C147" s="4">
        <v>0</v>
      </c>
      <c r="D147" s="4">
        <v>2</v>
      </c>
      <c r="E147" s="4">
        <v>2</v>
      </c>
      <c r="F147">
        <f t="shared" si="18"/>
        <v>1</v>
      </c>
      <c r="G147">
        <f t="shared" si="19"/>
        <v>1</v>
      </c>
      <c r="H147" s="4">
        <f t="shared" si="20"/>
        <v>1.5</v>
      </c>
      <c r="I147" s="4">
        <f t="shared" si="21"/>
        <v>2.5</v>
      </c>
      <c r="J147" s="4">
        <f t="shared" si="22"/>
        <v>0</v>
      </c>
      <c r="K147" s="4">
        <f t="shared" si="23"/>
        <v>0.5</v>
      </c>
      <c r="L147" s="4">
        <f t="shared" si="15"/>
        <v>0.5</v>
      </c>
      <c r="M147" s="4">
        <f t="shared" si="16"/>
        <v>1.5</v>
      </c>
      <c r="N147" s="4">
        <f t="shared" si="17"/>
        <v>0.5</v>
      </c>
    </row>
    <row r="148" spans="1:14" x14ac:dyDescent="0.2">
      <c r="A148" t="str">
        <v>d_147</v>
      </c>
      <c r="B148" s="2">
        <v>40718</v>
      </c>
      <c r="C148" s="4">
        <v>2</v>
      </c>
      <c r="D148" s="4">
        <v>2</v>
      </c>
      <c r="E148" s="4">
        <v>2</v>
      </c>
      <c r="F148">
        <f t="shared" si="18"/>
        <v>2.5</v>
      </c>
      <c r="G148">
        <f t="shared" si="19"/>
        <v>2</v>
      </c>
      <c r="H148" s="4">
        <f t="shared" si="20"/>
        <v>1</v>
      </c>
      <c r="I148" s="4">
        <f t="shared" si="21"/>
        <v>0</v>
      </c>
      <c r="J148" s="4">
        <f t="shared" si="22"/>
        <v>2.5</v>
      </c>
      <c r="K148" s="4">
        <f t="shared" si="23"/>
        <v>1</v>
      </c>
      <c r="L148" s="4">
        <f t="shared" si="15"/>
        <v>3</v>
      </c>
      <c r="M148" s="4">
        <f t="shared" si="16"/>
        <v>1</v>
      </c>
      <c r="N148" s="4">
        <f t="shared" si="17"/>
        <v>1</v>
      </c>
    </row>
    <row r="149" spans="1:14" x14ac:dyDescent="0.2">
      <c r="A149" t="str">
        <v>d_148</v>
      </c>
      <c r="B149" s="2">
        <v>40719</v>
      </c>
      <c r="C149" s="4">
        <v>1</v>
      </c>
      <c r="D149" s="4">
        <v>1</v>
      </c>
      <c r="E149" s="4">
        <v>1</v>
      </c>
      <c r="F149">
        <f t="shared" si="18"/>
        <v>1.5</v>
      </c>
      <c r="G149">
        <f t="shared" si="19"/>
        <v>2</v>
      </c>
      <c r="H149" s="4">
        <f t="shared" si="20"/>
        <v>1</v>
      </c>
      <c r="I149" s="4">
        <f t="shared" si="21"/>
        <v>1</v>
      </c>
      <c r="J149" s="4">
        <f t="shared" si="22"/>
        <v>1.5</v>
      </c>
      <c r="K149" s="4">
        <f t="shared" si="23"/>
        <v>4</v>
      </c>
      <c r="L149" s="4">
        <f t="shared" si="15"/>
        <v>2.5</v>
      </c>
      <c r="M149" s="4">
        <f t="shared" si="16"/>
        <v>1</v>
      </c>
      <c r="N149" s="4">
        <f t="shared" si="17"/>
        <v>1</v>
      </c>
    </row>
    <row r="150" spans="1:14" x14ac:dyDescent="0.2">
      <c r="A150" t="str">
        <v>d_149</v>
      </c>
      <c r="B150" s="2">
        <v>40720</v>
      </c>
      <c r="C150" s="4">
        <v>0</v>
      </c>
      <c r="D150" s="4">
        <v>0</v>
      </c>
      <c r="E150" s="4">
        <v>0</v>
      </c>
      <c r="F150">
        <f t="shared" si="18"/>
        <v>1.5</v>
      </c>
      <c r="G150">
        <f t="shared" si="19"/>
        <v>0.5</v>
      </c>
      <c r="H150" s="4">
        <f t="shared" si="20"/>
        <v>0</v>
      </c>
      <c r="I150" s="4">
        <f t="shared" si="21"/>
        <v>2</v>
      </c>
      <c r="J150" s="4">
        <f t="shared" si="22"/>
        <v>1</v>
      </c>
      <c r="K150" s="4">
        <f t="shared" si="23"/>
        <v>2.5</v>
      </c>
      <c r="L150" s="4">
        <f t="shared" si="15"/>
        <v>1</v>
      </c>
      <c r="M150" s="4">
        <f t="shared" si="16"/>
        <v>0.5</v>
      </c>
      <c r="N150" s="4">
        <f t="shared" si="17"/>
        <v>1</v>
      </c>
    </row>
    <row r="151" spans="1:14" x14ac:dyDescent="0.2">
      <c r="A151" t="str">
        <v>d_150</v>
      </c>
      <c r="B151" s="2">
        <v>40721</v>
      </c>
      <c r="C151" s="4">
        <v>1</v>
      </c>
      <c r="D151" s="4">
        <v>2</v>
      </c>
      <c r="E151" s="4">
        <v>0</v>
      </c>
      <c r="F151">
        <f t="shared" si="18"/>
        <v>1</v>
      </c>
      <c r="G151">
        <f t="shared" si="19"/>
        <v>2</v>
      </c>
      <c r="H151" s="4">
        <f t="shared" si="20"/>
        <v>0</v>
      </c>
      <c r="I151" s="4">
        <f t="shared" si="21"/>
        <v>0</v>
      </c>
      <c r="J151" s="4">
        <f t="shared" si="22"/>
        <v>0.5</v>
      </c>
      <c r="K151" s="4">
        <f t="shared" si="23"/>
        <v>0</v>
      </c>
      <c r="L151" s="4">
        <f t="shared" si="15"/>
        <v>0</v>
      </c>
      <c r="M151" s="4">
        <f t="shared" si="16"/>
        <v>0</v>
      </c>
      <c r="N151" s="4">
        <f t="shared" si="17"/>
        <v>1</v>
      </c>
    </row>
    <row r="152" spans="1:14" x14ac:dyDescent="0.2">
      <c r="A152" t="str">
        <v>d_151</v>
      </c>
      <c r="B152" s="2">
        <v>40722</v>
      </c>
      <c r="C152" s="4">
        <v>0</v>
      </c>
      <c r="D152" s="4">
        <v>1</v>
      </c>
      <c r="E152" s="4">
        <v>1</v>
      </c>
      <c r="F152">
        <f t="shared" si="18"/>
        <v>0.5</v>
      </c>
      <c r="G152">
        <f t="shared" si="19"/>
        <v>0.5</v>
      </c>
      <c r="H152" s="4">
        <f t="shared" si="20"/>
        <v>1</v>
      </c>
      <c r="I152" s="4">
        <f t="shared" si="21"/>
        <v>1</v>
      </c>
      <c r="J152" s="4">
        <f t="shared" si="22"/>
        <v>2</v>
      </c>
      <c r="K152" s="4">
        <f t="shared" si="23"/>
        <v>0</v>
      </c>
      <c r="L152" s="4">
        <f t="shared" si="15"/>
        <v>1</v>
      </c>
      <c r="M152" s="4">
        <f t="shared" si="16"/>
        <v>1</v>
      </c>
      <c r="N152" s="4">
        <f t="shared" si="17"/>
        <v>0</v>
      </c>
    </row>
    <row r="153" spans="1:14" x14ac:dyDescent="0.2">
      <c r="A153" t="str">
        <v>d_152</v>
      </c>
      <c r="B153" s="2">
        <v>40723</v>
      </c>
      <c r="C153" s="4">
        <v>0</v>
      </c>
      <c r="D153" s="4">
        <v>1</v>
      </c>
      <c r="E153" s="4">
        <v>0</v>
      </c>
      <c r="F153">
        <f t="shared" si="18"/>
        <v>0</v>
      </c>
      <c r="G153">
        <f t="shared" si="19"/>
        <v>1.5</v>
      </c>
      <c r="H153" s="4">
        <f t="shared" si="20"/>
        <v>1</v>
      </c>
      <c r="I153" s="4">
        <f t="shared" si="21"/>
        <v>0.5</v>
      </c>
      <c r="J153" s="4">
        <f t="shared" si="22"/>
        <v>1.5</v>
      </c>
      <c r="K153" s="4">
        <f t="shared" si="23"/>
        <v>0.5</v>
      </c>
      <c r="L153" s="4">
        <f t="shared" si="15"/>
        <v>0</v>
      </c>
      <c r="M153" s="4">
        <f t="shared" si="16"/>
        <v>1</v>
      </c>
      <c r="N153" s="4">
        <f t="shared" si="17"/>
        <v>0.5</v>
      </c>
    </row>
    <row r="154" spans="1:14" x14ac:dyDescent="0.2">
      <c r="A154" t="str">
        <v>d_153</v>
      </c>
      <c r="B154" s="2">
        <v>40724</v>
      </c>
      <c r="C154" s="4">
        <v>0</v>
      </c>
      <c r="D154" s="4">
        <v>0</v>
      </c>
      <c r="E154" s="4">
        <v>4</v>
      </c>
      <c r="F154">
        <f t="shared" si="18"/>
        <v>1</v>
      </c>
      <c r="G154">
        <f t="shared" si="19"/>
        <v>1</v>
      </c>
      <c r="H154" s="4">
        <f t="shared" si="20"/>
        <v>3</v>
      </c>
      <c r="I154" s="4">
        <f t="shared" si="21"/>
        <v>0</v>
      </c>
      <c r="J154" s="4">
        <f t="shared" si="22"/>
        <v>1</v>
      </c>
      <c r="K154" s="4">
        <f t="shared" si="23"/>
        <v>0.5</v>
      </c>
      <c r="L154" s="4">
        <f t="shared" si="15"/>
        <v>1</v>
      </c>
      <c r="M154" s="4">
        <f t="shared" si="16"/>
        <v>0.5</v>
      </c>
      <c r="N154" s="4">
        <f t="shared" si="17"/>
        <v>1.5</v>
      </c>
    </row>
    <row r="155" spans="1:14" x14ac:dyDescent="0.2">
      <c r="A155" t="str">
        <v>d_154</v>
      </c>
      <c r="B155" s="2">
        <v>40725</v>
      </c>
      <c r="C155" s="4">
        <v>0</v>
      </c>
      <c r="D155" s="4">
        <v>0</v>
      </c>
      <c r="E155" s="4">
        <v>0</v>
      </c>
      <c r="F155">
        <f t="shared" si="18"/>
        <v>0.5</v>
      </c>
      <c r="G155">
        <f t="shared" si="19"/>
        <v>0.5</v>
      </c>
      <c r="H155" s="4">
        <f t="shared" si="20"/>
        <v>0.5</v>
      </c>
      <c r="I155" s="4">
        <f t="shared" si="21"/>
        <v>1</v>
      </c>
      <c r="J155" s="4">
        <f t="shared" si="22"/>
        <v>0</v>
      </c>
      <c r="K155" s="4">
        <f t="shared" si="23"/>
        <v>2.5</v>
      </c>
      <c r="L155" s="4">
        <f t="shared" si="15"/>
        <v>0</v>
      </c>
      <c r="M155" s="4">
        <f t="shared" si="16"/>
        <v>1</v>
      </c>
      <c r="N155" s="4">
        <f t="shared" si="17"/>
        <v>2</v>
      </c>
    </row>
    <row r="156" spans="1:14" x14ac:dyDescent="0.2">
      <c r="A156" t="str">
        <v>d_155</v>
      </c>
      <c r="B156" s="2">
        <v>40726</v>
      </c>
      <c r="C156" s="4">
        <v>3</v>
      </c>
      <c r="D156" s="4">
        <v>1</v>
      </c>
      <c r="E156" s="4">
        <v>0</v>
      </c>
      <c r="F156">
        <f t="shared" si="18"/>
        <v>1.5</v>
      </c>
      <c r="G156">
        <f t="shared" si="19"/>
        <v>0.5</v>
      </c>
      <c r="H156" s="4">
        <f t="shared" si="20"/>
        <v>0</v>
      </c>
      <c r="I156" s="4">
        <f t="shared" si="21"/>
        <v>1.5</v>
      </c>
      <c r="J156" s="4">
        <f t="shared" si="22"/>
        <v>1</v>
      </c>
      <c r="K156" s="4">
        <f t="shared" si="23"/>
        <v>0</v>
      </c>
      <c r="L156" s="4">
        <f t="shared" si="15"/>
        <v>0</v>
      </c>
      <c r="M156" s="4">
        <f t="shared" si="16"/>
        <v>0</v>
      </c>
      <c r="N156" s="4">
        <f t="shared" si="17"/>
        <v>0.5</v>
      </c>
    </row>
    <row r="157" spans="1:14" x14ac:dyDescent="0.2">
      <c r="A157" t="str">
        <v>d_156</v>
      </c>
      <c r="B157" s="2">
        <v>40727</v>
      </c>
      <c r="C157" s="4">
        <v>0</v>
      </c>
      <c r="D157" s="4">
        <v>0</v>
      </c>
      <c r="E157" s="4">
        <v>0</v>
      </c>
      <c r="F157">
        <f t="shared" si="18"/>
        <v>0.5</v>
      </c>
      <c r="G157">
        <f t="shared" si="19"/>
        <v>1</v>
      </c>
      <c r="H157" s="4">
        <f t="shared" si="20"/>
        <v>0</v>
      </c>
      <c r="I157" s="4">
        <f t="shared" si="21"/>
        <v>2.5</v>
      </c>
      <c r="J157" s="4">
        <f t="shared" si="22"/>
        <v>2</v>
      </c>
      <c r="K157" s="4">
        <f t="shared" si="23"/>
        <v>0.5</v>
      </c>
      <c r="L157" s="4">
        <f t="shared" si="15"/>
        <v>1.5</v>
      </c>
      <c r="M157" s="4">
        <f t="shared" si="16"/>
        <v>0.5</v>
      </c>
      <c r="N157" s="4">
        <f t="shared" si="17"/>
        <v>0</v>
      </c>
    </row>
    <row r="158" spans="1:14" x14ac:dyDescent="0.2">
      <c r="A158" t="str">
        <v>d_157</v>
      </c>
      <c r="B158" s="2">
        <v>40728</v>
      </c>
      <c r="C158" s="4">
        <v>1</v>
      </c>
      <c r="D158" s="4">
        <v>0</v>
      </c>
      <c r="E158" s="4">
        <v>0</v>
      </c>
      <c r="F158">
        <f t="shared" si="18"/>
        <v>0.5</v>
      </c>
      <c r="G158">
        <f t="shared" si="19"/>
        <v>0.5</v>
      </c>
      <c r="H158" s="4">
        <f t="shared" si="20"/>
        <v>0.5</v>
      </c>
      <c r="I158" s="4">
        <f t="shared" si="21"/>
        <v>1.5</v>
      </c>
      <c r="J158" s="4">
        <f t="shared" si="22"/>
        <v>0.5</v>
      </c>
      <c r="K158" s="4">
        <f t="shared" si="23"/>
        <v>0</v>
      </c>
      <c r="L158" s="4">
        <f t="shared" si="15"/>
        <v>0</v>
      </c>
      <c r="M158" s="4">
        <f t="shared" si="16"/>
        <v>2</v>
      </c>
      <c r="N158" s="4">
        <f t="shared" si="17"/>
        <v>2</v>
      </c>
    </row>
    <row r="159" spans="1:14" x14ac:dyDescent="0.2">
      <c r="A159" t="str">
        <v>d_158</v>
      </c>
      <c r="B159" s="2">
        <v>40729</v>
      </c>
      <c r="C159" s="4">
        <v>0</v>
      </c>
      <c r="D159" s="4">
        <v>0</v>
      </c>
      <c r="E159" s="4">
        <v>0</v>
      </c>
      <c r="F159">
        <f t="shared" si="18"/>
        <v>0</v>
      </c>
      <c r="G159">
        <f t="shared" si="19"/>
        <v>0.5</v>
      </c>
      <c r="H159" s="4">
        <f t="shared" si="20"/>
        <v>0</v>
      </c>
      <c r="I159" s="4">
        <f t="shared" si="21"/>
        <v>1</v>
      </c>
      <c r="J159" s="4">
        <f t="shared" si="22"/>
        <v>1</v>
      </c>
      <c r="K159" s="4">
        <f t="shared" si="23"/>
        <v>0</v>
      </c>
      <c r="L159" s="4">
        <f t="shared" ref="L159:L222" si="24">AVERAGE(C131,C158)</f>
        <v>0.5</v>
      </c>
      <c r="M159" s="4">
        <f t="shared" ref="M159:M222" si="25">AVERAGE(D131,D158)</f>
        <v>1</v>
      </c>
      <c r="N159" s="4">
        <f t="shared" ref="N159:N222" si="26">AVERAGE(E131,E158)</f>
        <v>0</v>
      </c>
    </row>
    <row r="160" spans="1:14" x14ac:dyDescent="0.2">
      <c r="A160" t="str">
        <v>d_159</v>
      </c>
      <c r="B160" s="2">
        <v>40730</v>
      </c>
      <c r="C160" s="4">
        <v>1</v>
      </c>
      <c r="D160" s="4">
        <v>0</v>
      </c>
      <c r="E160" s="4">
        <v>1</v>
      </c>
      <c r="F160">
        <f t="shared" si="18"/>
        <v>0.5</v>
      </c>
      <c r="G160">
        <f t="shared" si="19"/>
        <v>0</v>
      </c>
      <c r="H160" s="4">
        <f t="shared" si="20"/>
        <v>2.5</v>
      </c>
      <c r="I160" s="4">
        <f t="shared" si="21"/>
        <v>0.5</v>
      </c>
      <c r="J160" s="4">
        <f t="shared" si="22"/>
        <v>0</v>
      </c>
      <c r="K160" s="4">
        <f t="shared" si="23"/>
        <v>0.5</v>
      </c>
      <c r="L160" s="4">
        <f t="shared" si="24"/>
        <v>0.5</v>
      </c>
      <c r="M160" s="4">
        <f t="shared" si="25"/>
        <v>2</v>
      </c>
      <c r="N160" s="4">
        <f t="shared" si="26"/>
        <v>0</v>
      </c>
    </row>
    <row r="161" spans="1:14" x14ac:dyDescent="0.2">
      <c r="A161" t="str">
        <v>d_160</v>
      </c>
      <c r="B161" s="2">
        <v>40731</v>
      </c>
      <c r="C161" s="4">
        <v>0</v>
      </c>
      <c r="D161" s="4">
        <v>0</v>
      </c>
      <c r="E161" s="4">
        <v>0</v>
      </c>
      <c r="F161">
        <f t="shared" si="18"/>
        <v>0</v>
      </c>
      <c r="G161">
        <f t="shared" si="19"/>
        <v>0</v>
      </c>
      <c r="H161" s="4">
        <f t="shared" si="20"/>
        <v>0</v>
      </c>
      <c r="I161" s="4">
        <f t="shared" si="21"/>
        <v>0.5</v>
      </c>
      <c r="J161" s="4">
        <f t="shared" si="22"/>
        <v>1</v>
      </c>
      <c r="K161" s="4">
        <f t="shared" si="23"/>
        <v>1.5</v>
      </c>
      <c r="L161" s="4">
        <f t="shared" si="24"/>
        <v>2.5</v>
      </c>
      <c r="M161" s="4">
        <f t="shared" si="25"/>
        <v>0</v>
      </c>
      <c r="N161" s="4">
        <f t="shared" si="26"/>
        <v>0.5</v>
      </c>
    </row>
    <row r="162" spans="1:14" x14ac:dyDescent="0.2">
      <c r="A162" t="str">
        <v>d_161</v>
      </c>
      <c r="B162" s="2">
        <v>40732</v>
      </c>
      <c r="C162" s="4">
        <v>1</v>
      </c>
      <c r="D162" s="4">
        <v>0</v>
      </c>
      <c r="E162" s="4">
        <v>0</v>
      </c>
      <c r="F162">
        <f t="shared" si="18"/>
        <v>2</v>
      </c>
      <c r="G162">
        <f t="shared" si="19"/>
        <v>0.5</v>
      </c>
      <c r="H162" s="4">
        <f t="shared" si="20"/>
        <v>0</v>
      </c>
      <c r="I162" s="4">
        <f t="shared" si="21"/>
        <v>1</v>
      </c>
      <c r="J162" s="4">
        <f t="shared" si="22"/>
        <v>1</v>
      </c>
      <c r="K162" s="4">
        <f t="shared" si="23"/>
        <v>1</v>
      </c>
      <c r="L162" s="4">
        <f t="shared" si="24"/>
        <v>0</v>
      </c>
      <c r="M162" s="4">
        <f t="shared" si="25"/>
        <v>1.5</v>
      </c>
      <c r="N162" s="4">
        <f t="shared" si="26"/>
        <v>0</v>
      </c>
    </row>
    <row r="163" spans="1:14" x14ac:dyDescent="0.2">
      <c r="A163" t="str">
        <v>d_162</v>
      </c>
      <c r="B163" s="2">
        <v>40733</v>
      </c>
      <c r="C163" s="4">
        <v>2</v>
      </c>
      <c r="D163" s="4">
        <v>2</v>
      </c>
      <c r="E163" s="4">
        <v>0</v>
      </c>
      <c r="F163">
        <f t="shared" si="18"/>
        <v>1</v>
      </c>
      <c r="G163">
        <f t="shared" si="19"/>
        <v>1</v>
      </c>
      <c r="H163" s="4">
        <f t="shared" si="20"/>
        <v>0</v>
      </c>
      <c r="I163" s="4">
        <f t="shared" si="21"/>
        <v>1</v>
      </c>
      <c r="J163" s="4">
        <f t="shared" si="22"/>
        <v>0.5</v>
      </c>
      <c r="K163" s="4">
        <f t="shared" si="23"/>
        <v>0.5</v>
      </c>
      <c r="L163" s="4">
        <f t="shared" si="24"/>
        <v>0.5</v>
      </c>
      <c r="M163" s="4">
        <f t="shared" si="25"/>
        <v>0.5</v>
      </c>
      <c r="N163" s="4">
        <f t="shared" si="26"/>
        <v>3</v>
      </c>
    </row>
    <row r="164" spans="1:14" x14ac:dyDescent="0.2">
      <c r="A164" t="str">
        <v>d_163</v>
      </c>
      <c r="B164" s="2">
        <v>40734</v>
      </c>
      <c r="C164" s="4">
        <v>0</v>
      </c>
      <c r="D164" s="4">
        <v>2</v>
      </c>
      <c r="E164" s="4">
        <v>1</v>
      </c>
      <c r="F164">
        <f t="shared" si="18"/>
        <v>0.5</v>
      </c>
      <c r="G164">
        <f t="shared" si="19"/>
        <v>1</v>
      </c>
      <c r="H164" s="4">
        <f t="shared" si="20"/>
        <v>0.5</v>
      </c>
      <c r="I164" s="4">
        <f t="shared" si="21"/>
        <v>1</v>
      </c>
      <c r="J164" s="4">
        <f t="shared" si="22"/>
        <v>1</v>
      </c>
      <c r="K164" s="4">
        <f t="shared" si="23"/>
        <v>0</v>
      </c>
      <c r="L164" s="4">
        <f t="shared" si="24"/>
        <v>2.5</v>
      </c>
      <c r="M164" s="4">
        <f t="shared" si="25"/>
        <v>1.5</v>
      </c>
      <c r="N164" s="4">
        <f t="shared" si="26"/>
        <v>2</v>
      </c>
    </row>
    <row r="165" spans="1:14" x14ac:dyDescent="0.2">
      <c r="A165" t="str">
        <v>d_164</v>
      </c>
      <c r="B165" s="2">
        <v>40735</v>
      </c>
      <c r="C165" s="4">
        <v>0</v>
      </c>
      <c r="D165" s="4">
        <v>1</v>
      </c>
      <c r="E165" s="4">
        <v>0</v>
      </c>
      <c r="F165">
        <f t="shared" si="18"/>
        <v>0</v>
      </c>
      <c r="G165">
        <f t="shared" si="19"/>
        <v>0.5</v>
      </c>
      <c r="H165" s="4">
        <f t="shared" si="20"/>
        <v>0</v>
      </c>
      <c r="I165" s="4">
        <f t="shared" si="21"/>
        <v>0.5</v>
      </c>
      <c r="J165" s="4">
        <f t="shared" si="22"/>
        <v>2</v>
      </c>
      <c r="K165" s="4">
        <f t="shared" si="23"/>
        <v>0.5</v>
      </c>
      <c r="L165" s="4">
        <f t="shared" si="24"/>
        <v>0</v>
      </c>
      <c r="M165" s="4">
        <f t="shared" si="25"/>
        <v>1.5</v>
      </c>
      <c r="N165" s="4">
        <f t="shared" si="26"/>
        <v>0.5</v>
      </c>
    </row>
    <row r="166" spans="1:14" x14ac:dyDescent="0.2">
      <c r="A166" t="str">
        <v>d_165</v>
      </c>
      <c r="B166" s="2">
        <v>40736</v>
      </c>
      <c r="C166" s="4">
        <v>4</v>
      </c>
      <c r="D166" s="4">
        <v>1</v>
      </c>
      <c r="E166" s="4">
        <v>0</v>
      </c>
      <c r="F166">
        <f t="shared" si="18"/>
        <v>2.5</v>
      </c>
      <c r="G166">
        <f t="shared" si="19"/>
        <v>0.5</v>
      </c>
      <c r="H166" s="4">
        <f t="shared" si="20"/>
        <v>0.5</v>
      </c>
      <c r="I166" s="4">
        <f t="shared" si="21"/>
        <v>0</v>
      </c>
      <c r="J166" s="4">
        <f t="shared" si="22"/>
        <v>1</v>
      </c>
      <c r="K166" s="4">
        <f t="shared" si="23"/>
        <v>0.5</v>
      </c>
      <c r="L166" s="4">
        <f t="shared" si="24"/>
        <v>0.5</v>
      </c>
      <c r="M166" s="4">
        <f t="shared" si="25"/>
        <v>1.5</v>
      </c>
      <c r="N166" s="4">
        <f t="shared" si="26"/>
        <v>0</v>
      </c>
    </row>
    <row r="167" spans="1:14" x14ac:dyDescent="0.2">
      <c r="A167" t="str">
        <v>d_166</v>
      </c>
      <c r="B167" s="2">
        <v>40737</v>
      </c>
      <c r="C167" s="4">
        <v>0</v>
      </c>
      <c r="D167" s="4">
        <v>1</v>
      </c>
      <c r="E167" s="4">
        <v>1</v>
      </c>
      <c r="F167">
        <f t="shared" si="18"/>
        <v>0</v>
      </c>
      <c r="G167">
        <f t="shared" si="19"/>
        <v>0.5</v>
      </c>
      <c r="H167" s="4">
        <f t="shared" si="20"/>
        <v>0.5</v>
      </c>
      <c r="I167" s="4">
        <f t="shared" si="21"/>
        <v>2</v>
      </c>
      <c r="J167" s="4">
        <f t="shared" si="22"/>
        <v>1</v>
      </c>
      <c r="K167" s="4">
        <f t="shared" si="23"/>
        <v>0</v>
      </c>
      <c r="L167" s="4">
        <f t="shared" si="24"/>
        <v>2.5</v>
      </c>
      <c r="M167" s="4">
        <f t="shared" si="25"/>
        <v>1.5</v>
      </c>
      <c r="N167" s="4">
        <f t="shared" si="26"/>
        <v>0</v>
      </c>
    </row>
    <row r="168" spans="1:14" x14ac:dyDescent="0.2">
      <c r="A168" t="str">
        <v>d_167</v>
      </c>
      <c r="B168" s="2">
        <v>40738</v>
      </c>
      <c r="C168" s="4">
        <v>1</v>
      </c>
      <c r="D168" s="4">
        <v>4</v>
      </c>
      <c r="E168" s="4">
        <v>0</v>
      </c>
      <c r="F168">
        <f t="shared" si="18"/>
        <v>1</v>
      </c>
      <c r="G168">
        <f t="shared" si="19"/>
        <v>2</v>
      </c>
      <c r="H168" s="4">
        <f t="shared" si="20"/>
        <v>0</v>
      </c>
      <c r="I168" s="4">
        <f t="shared" si="21"/>
        <v>0</v>
      </c>
      <c r="J168" s="4">
        <f t="shared" si="22"/>
        <v>0.5</v>
      </c>
      <c r="K168" s="4">
        <f t="shared" si="23"/>
        <v>2.5</v>
      </c>
      <c r="L168" s="4">
        <f t="shared" si="24"/>
        <v>0</v>
      </c>
      <c r="M168" s="4">
        <f t="shared" si="25"/>
        <v>1</v>
      </c>
      <c r="N168" s="4">
        <f t="shared" si="26"/>
        <v>1</v>
      </c>
    </row>
    <row r="169" spans="1:14" x14ac:dyDescent="0.2">
      <c r="A169" t="str">
        <v>d_168</v>
      </c>
      <c r="B169" s="2">
        <v>40739</v>
      </c>
      <c r="C169" s="4">
        <v>1</v>
      </c>
      <c r="D169" s="4">
        <v>0</v>
      </c>
      <c r="E169" s="4">
        <v>0</v>
      </c>
      <c r="F169">
        <f t="shared" si="18"/>
        <v>1.5</v>
      </c>
      <c r="G169">
        <f t="shared" si="19"/>
        <v>1</v>
      </c>
      <c r="H169" s="4">
        <f t="shared" si="20"/>
        <v>0</v>
      </c>
      <c r="I169" s="4">
        <f t="shared" si="21"/>
        <v>0.5</v>
      </c>
      <c r="J169" s="4">
        <f t="shared" si="22"/>
        <v>2</v>
      </c>
      <c r="K169" s="4">
        <f t="shared" si="23"/>
        <v>0</v>
      </c>
      <c r="L169" s="4">
        <f t="shared" si="24"/>
        <v>1.5</v>
      </c>
      <c r="M169" s="4">
        <f t="shared" si="25"/>
        <v>2</v>
      </c>
      <c r="N169" s="4">
        <f t="shared" si="26"/>
        <v>0.5</v>
      </c>
    </row>
    <row r="170" spans="1:14" x14ac:dyDescent="0.2">
      <c r="A170" t="str">
        <v>d_169</v>
      </c>
      <c r="B170" s="2">
        <v>40740</v>
      </c>
      <c r="C170" s="4">
        <v>1</v>
      </c>
      <c r="D170" s="4">
        <v>2</v>
      </c>
      <c r="E170" s="4">
        <v>0</v>
      </c>
      <c r="F170">
        <f t="shared" si="18"/>
        <v>0.5</v>
      </c>
      <c r="G170">
        <f t="shared" si="19"/>
        <v>2</v>
      </c>
      <c r="H170" s="4">
        <f t="shared" si="20"/>
        <v>0.5</v>
      </c>
      <c r="I170" s="4">
        <f t="shared" si="21"/>
        <v>2</v>
      </c>
      <c r="J170" s="4">
        <f t="shared" si="22"/>
        <v>0.5</v>
      </c>
      <c r="K170" s="4">
        <f t="shared" si="23"/>
        <v>0</v>
      </c>
      <c r="L170" s="4">
        <f t="shared" si="24"/>
        <v>2</v>
      </c>
      <c r="M170" s="4">
        <f t="shared" si="25"/>
        <v>1</v>
      </c>
      <c r="N170" s="4">
        <f t="shared" si="26"/>
        <v>0</v>
      </c>
    </row>
    <row r="171" spans="1:14" x14ac:dyDescent="0.2">
      <c r="A171" t="str">
        <v>d_170</v>
      </c>
      <c r="B171" s="2">
        <v>40741</v>
      </c>
      <c r="C171" s="4">
        <v>1</v>
      </c>
      <c r="D171" s="4">
        <v>1</v>
      </c>
      <c r="E171" s="4">
        <v>2</v>
      </c>
      <c r="F171">
        <f t="shared" si="18"/>
        <v>0.5</v>
      </c>
      <c r="G171">
        <f t="shared" si="19"/>
        <v>1</v>
      </c>
      <c r="H171" s="4">
        <f t="shared" si="20"/>
        <v>1</v>
      </c>
      <c r="I171" s="4">
        <f t="shared" si="21"/>
        <v>0.5</v>
      </c>
      <c r="J171" s="4">
        <f t="shared" si="22"/>
        <v>1</v>
      </c>
      <c r="K171" s="4">
        <f t="shared" si="23"/>
        <v>0</v>
      </c>
      <c r="L171" s="4">
        <f t="shared" si="24"/>
        <v>1.5</v>
      </c>
      <c r="M171" s="4">
        <f t="shared" si="25"/>
        <v>2.5</v>
      </c>
      <c r="N171" s="4">
        <f t="shared" si="26"/>
        <v>0.5</v>
      </c>
    </row>
    <row r="172" spans="1:14" x14ac:dyDescent="0.2">
      <c r="A172" t="str">
        <v>d_171</v>
      </c>
      <c r="B172" s="2">
        <v>40742</v>
      </c>
      <c r="C172" s="4">
        <v>1</v>
      </c>
      <c r="D172" s="4">
        <v>0</v>
      </c>
      <c r="E172" s="4">
        <v>2</v>
      </c>
      <c r="F172">
        <f t="shared" si="18"/>
        <v>2.5</v>
      </c>
      <c r="G172">
        <f t="shared" si="19"/>
        <v>0.5</v>
      </c>
      <c r="H172" s="4">
        <f t="shared" si="20"/>
        <v>1</v>
      </c>
      <c r="I172" s="4">
        <f t="shared" si="21"/>
        <v>1</v>
      </c>
      <c r="J172" s="4">
        <f t="shared" si="22"/>
        <v>0.5</v>
      </c>
      <c r="K172" s="4">
        <f t="shared" si="23"/>
        <v>1</v>
      </c>
      <c r="L172" s="4">
        <f t="shared" si="24"/>
        <v>2</v>
      </c>
      <c r="M172" s="4">
        <f t="shared" si="25"/>
        <v>1</v>
      </c>
      <c r="N172" s="4">
        <f t="shared" si="26"/>
        <v>1</v>
      </c>
    </row>
    <row r="173" spans="1:14" x14ac:dyDescent="0.2">
      <c r="A173" t="str">
        <v>d_172</v>
      </c>
      <c r="B173" s="2">
        <v>40743</v>
      </c>
      <c r="C173" s="4">
        <v>1</v>
      </c>
      <c r="D173" s="4">
        <v>2</v>
      </c>
      <c r="E173" s="4">
        <v>1</v>
      </c>
      <c r="F173">
        <f t="shared" si="18"/>
        <v>0.5</v>
      </c>
      <c r="G173">
        <f t="shared" si="19"/>
        <v>1.5</v>
      </c>
      <c r="H173" s="4">
        <f t="shared" si="20"/>
        <v>1</v>
      </c>
      <c r="I173" s="4">
        <f t="shared" si="21"/>
        <v>0.5</v>
      </c>
      <c r="J173" s="4">
        <f t="shared" si="22"/>
        <v>0</v>
      </c>
      <c r="K173" s="4">
        <f t="shared" si="23"/>
        <v>1</v>
      </c>
      <c r="L173" s="4">
        <f t="shared" si="24"/>
        <v>1</v>
      </c>
      <c r="M173" s="4">
        <f t="shared" si="25"/>
        <v>1</v>
      </c>
      <c r="N173" s="4">
        <f t="shared" si="26"/>
        <v>1</v>
      </c>
    </row>
    <row r="174" spans="1:14" x14ac:dyDescent="0.2">
      <c r="A174" t="str">
        <v>d_173</v>
      </c>
      <c r="B174" s="2">
        <v>40744</v>
      </c>
      <c r="C174" s="4">
        <v>1</v>
      </c>
      <c r="D174" s="4">
        <v>1</v>
      </c>
      <c r="E174" s="4">
        <v>0</v>
      </c>
      <c r="F174">
        <f t="shared" si="18"/>
        <v>1</v>
      </c>
      <c r="G174">
        <f t="shared" si="19"/>
        <v>2.5</v>
      </c>
      <c r="H174" s="4">
        <f t="shared" si="20"/>
        <v>0</v>
      </c>
      <c r="I174" s="4">
        <f t="shared" si="21"/>
        <v>1</v>
      </c>
      <c r="J174" s="4">
        <f t="shared" si="22"/>
        <v>1</v>
      </c>
      <c r="K174" s="4">
        <f t="shared" si="23"/>
        <v>1</v>
      </c>
      <c r="L174" s="4">
        <f t="shared" si="24"/>
        <v>1</v>
      </c>
      <c r="M174" s="4">
        <f t="shared" si="25"/>
        <v>1</v>
      </c>
      <c r="N174" s="4">
        <f t="shared" si="26"/>
        <v>1</v>
      </c>
    </row>
    <row r="175" spans="1:14" x14ac:dyDescent="0.2">
      <c r="A175" t="str">
        <v>d_174</v>
      </c>
      <c r="B175" s="2">
        <v>40745</v>
      </c>
      <c r="C175" s="4">
        <v>2</v>
      </c>
      <c r="D175" s="4">
        <v>1</v>
      </c>
      <c r="E175" s="4">
        <v>0</v>
      </c>
      <c r="F175">
        <f t="shared" si="18"/>
        <v>1.5</v>
      </c>
      <c r="G175">
        <f t="shared" si="19"/>
        <v>0.5</v>
      </c>
      <c r="H175" s="4">
        <f t="shared" si="20"/>
        <v>0</v>
      </c>
      <c r="I175" s="4">
        <f t="shared" si="21"/>
        <v>0.5</v>
      </c>
      <c r="J175" s="4">
        <f t="shared" si="22"/>
        <v>0.5</v>
      </c>
      <c r="K175" s="4">
        <f t="shared" si="23"/>
        <v>0</v>
      </c>
      <c r="L175" s="4">
        <f t="shared" si="24"/>
        <v>0.5</v>
      </c>
      <c r="M175" s="4">
        <f t="shared" si="25"/>
        <v>1.5</v>
      </c>
      <c r="N175" s="4">
        <f t="shared" si="26"/>
        <v>1</v>
      </c>
    </row>
    <row r="176" spans="1:14" x14ac:dyDescent="0.2">
      <c r="A176" t="str">
        <v>d_175</v>
      </c>
      <c r="B176" s="2">
        <v>40746</v>
      </c>
      <c r="C176" s="4">
        <v>0</v>
      </c>
      <c r="D176" s="4">
        <v>2</v>
      </c>
      <c r="E176" s="4">
        <v>0</v>
      </c>
      <c r="F176">
        <f t="shared" si="18"/>
        <v>0.5</v>
      </c>
      <c r="G176">
        <f t="shared" si="19"/>
        <v>2</v>
      </c>
      <c r="H176" s="4">
        <f t="shared" si="20"/>
        <v>0</v>
      </c>
      <c r="I176" s="4">
        <f t="shared" si="21"/>
        <v>1.5</v>
      </c>
      <c r="J176" s="4">
        <f t="shared" si="22"/>
        <v>0.5</v>
      </c>
      <c r="K176" s="4">
        <f t="shared" si="23"/>
        <v>0</v>
      </c>
      <c r="L176" s="4">
        <f t="shared" si="24"/>
        <v>2</v>
      </c>
      <c r="M176" s="4">
        <f t="shared" si="25"/>
        <v>1.5</v>
      </c>
      <c r="N176" s="4">
        <f t="shared" si="26"/>
        <v>1</v>
      </c>
    </row>
    <row r="177" spans="1:14" x14ac:dyDescent="0.2">
      <c r="A177" t="str">
        <v>d_176</v>
      </c>
      <c r="B177" s="2">
        <v>40747</v>
      </c>
      <c r="C177" s="4">
        <v>2</v>
      </c>
      <c r="D177" s="4">
        <v>0</v>
      </c>
      <c r="E177" s="4">
        <v>0</v>
      </c>
      <c r="F177">
        <f t="shared" si="18"/>
        <v>1.5</v>
      </c>
      <c r="G177">
        <f t="shared" si="19"/>
        <v>0.5</v>
      </c>
      <c r="H177" s="4">
        <f t="shared" si="20"/>
        <v>1</v>
      </c>
      <c r="I177" s="4">
        <f t="shared" si="21"/>
        <v>1</v>
      </c>
      <c r="J177" s="4">
        <f t="shared" si="22"/>
        <v>2</v>
      </c>
      <c r="K177" s="4">
        <f t="shared" si="23"/>
        <v>0</v>
      </c>
      <c r="L177" s="4">
        <f t="shared" si="24"/>
        <v>0.5</v>
      </c>
      <c r="M177" s="4">
        <f t="shared" si="25"/>
        <v>1.5</v>
      </c>
      <c r="N177" s="4">
        <f t="shared" si="26"/>
        <v>0.5</v>
      </c>
    </row>
    <row r="178" spans="1:14" x14ac:dyDescent="0.2">
      <c r="A178" t="str">
        <v>d_177</v>
      </c>
      <c r="B178" s="2">
        <v>40748</v>
      </c>
      <c r="C178" s="4">
        <v>0</v>
      </c>
      <c r="D178" s="4">
        <v>0</v>
      </c>
      <c r="E178" s="4">
        <v>1</v>
      </c>
      <c r="F178">
        <f t="shared" si="18"/>
        <v>0.5</v>
      </c>
      <c r="G178">
        <f t="shared" si="19"/>
        <v>0</v>
      </c>
      <c r="H178" s="4">
        <f t="shared" si="20"/>
        <v>1.5</v>
      </c>
      <c r="I178" s="4">
        <f t="shared" si="21"/>
        <v>1</v>
      </c>
      <c r="J178" s="4">
        <f t="shared" si="22"/>
        <v>1</v>
      </c>
      <c r="K178" s="4">
        <f t="shared" si="23"/>
        <v>0.5</v>
      </c>
      <c r="L178" s="4">
        <f t="shared" si="24"/>
        <v>1</v>
      </c>
      <c r="M178" s="4">
        <f t="shared" si="25"/>
        <v>0</v>
      </c>
      <c r="N178" s="4">
        <f t="shared" si="26"/>
        <v>0</v>
      </c>
    </row>
    <row r="179" spans="1:14" x14ac:dyDescent="0.2">
      <c r="A179" t="str">
        <v>d_178</v>
      </c>
      <c r="B179" s="2">
        <v>40749</v>
      </c>
      <c r="C179" s="4">
        <v>0</v>
      </c>
      <c r="D179" s="4">
        <v>0</v>
      </c>
      <c r="E179" s="4">
        <v>2</v>
      </c>
      <c r="F179">
        <f t="shared" si="18"/>
        <v>0.5</v>
      </c>
      <c r="G179">
        <f t="shared" si="19"/>
        <v>1</v>
      </c>
      <c r="H179" s="4">
        <f t="shared" si="20"/>
        <v>1.5</v>
      </c>
      <c r="I179" s="4">
        <f t="shared" si="21"/>
        <v>0</v>
      </c>
      <c r="J179" s="4">
        <f t="shared" si="22"/>
        <v>0.5</v>
      </c>
      <c r="K179" s="4">
        <f t="shared" si="23"/>
        <v>0.5</v>
      </c>
      <c r="L179" s="4">
        <f t="shared" si="24"/>
        <v>0.5</v>
      </c>
      <c r="M179" s="4">
        <f t="shared" si="25"/>
        <v>1</v>
      </c>
      <c r="N179" s="4">
        <f t="shared" si="26"/>
        <v>0.5</v>
      </c>
    </row>
    <row r="180" spans="1:14" x14ac:dyDescent="0.2">
      <c r="A180" t="str">
        <v>d_179</v>
      </c>
      <c r="B180" s="2">
        <v>40750</v>
      </c>
      <c r="C180" s="4">
        <v>0</v>
      </c>
      <c r="D180" s="4">
        <v>0</v>
      </c>
      <c r="E180" s="4">
        <v>0</v>
      </c>
      <c r="F180">
        <f t="shared" si="18"/>
        <v>0.5</v>
      </c>
      <c r="G180">
        <f t="shared" si="19"/>
        <v>0.5</v>
      </c>
      <c r="H180" s="4">
        <f t="shared" si="20"/>
        <v>0</v>
      </c>
      <c r="I180" s="4">
        <f t="shared" si="21"/>
        <v>2</v>
      </c>
      <c r="J180" s="4">
        <f t="shared" si="22"/>
        <v>0.5</v>
      </c>
      <c r="K180" s="4">
        <f t="shared" si="23"/>
        <v>1</v>
      </c>
      <c r="L180" s="4">
        <f t="shared" si="24"/>
        <v>0</v>
      </c>
      <c r="M180" s="4">
        <f t="shared" si="25"/>
        <v>0.5</v>
      </c>
      <c r="N180" s="4">
        <f t="shared" si="26"/>
        <v>1.5</v>
      </c>
    </row>
    <row r="181" spans="1:14" x14ac:dyDescent="0.2">
      <c r="A181" t="str">
        <v>d_180</v>
      </c>
      <c r="B181" s="2">
        <v>40751</v>
      </c>
      <c r="C181" s="4">
        <v>1</v>
      </c>
      <c r="D181" s="4">
        <v>1</v>
      </c>
      <c r="E181" s="4">
        <v>0</v>
      </c>
      <c r="F181">
        <f t="shared" si="18"/>
        <v>1.5</v>
      </c>
      <c r="G181">
        <f t="shared" si="19"/>
        <v>1</v>
      </c>
      <c r="H181" s="4">
        <f t="shared" si="20"/>
        <v>0</v>
      </c>
      <c r="I181" s="4">
        <f t="shared" si="21"/>
        <v>0</v>
      </c>
      <c r="J181" s="4">
        <f t="shared" si="22"/>
        <v>0.5</v>
      </c>
      <c r="K181" s="4">
        <f t="shared" si="23"/>
        <v>0.5</v>
      </c>
      <c r="L181" s="4">
        <f t="shared" si="24"/>
        <v>0</v>
      </c>
      <c r="M181" s="4">
        <f t="shared" si="25"/>
        <v>0.5</v>
      </c>
      <c r="N181" s="4">
        <f t="shared" si="26"/>
        <v>0</v>
      </c>
    </row>
    <row r="182" spans="1:14" x14ac:dyDescent="0.2">
      <c r="A182" t="str">
        <v>d_181</v>
      </c>
      <c r="B182" s="2">
        <v>40752</v>
      </c>
      <c r="C182" s="4">
        <v>0</v>
      </c>
      <c r="D182" s="4">
        <v>2</v>
      </c>
      <c r="E182" s="4">
        <v>0</v>
      </c>
      <c r="F182">
        <f t="shared" si="18"/>
        <v>0</v>
      </c>
      <c r="G182">
        <f t="shared" si="19"/>
        <v>2</v>
      </c>
      <c r="H182" s="4">
        <f t="shared" si="20"/>
        <v>0</v>
      </c>
      <c r="I182" s="4">
        <f t="shared" si="21"/>
        <v>1</v>
      </c>
      <c r="J182" s="4">
        <f t="shared" si="22"/>
        <v>2.5</v>
      </c>
      <c r="K182" s="4">
        <f t="shared" si="23"/>
        <v>0</v>
      </c>
      <c r="L182" s="4">
        <f t="shared" si="24"/>
        <v>0.5</v>
      </c>
      <c r="M182" s="4">
        <f t="shared" si="25"/>
        <v>0.5</v>
      </c>
      <c r="N182" s="4">
        <f t="shared" si="26"/>
        <v>2</v>
      </c>
    </row>
    <row r="183" spans="1:14" x14ac:dyDescent="0.2">
      <c r="A183" t="str">
        <v>d_182</v>
      </c>
      <c r="B183" s="2">
        <v>40753</v>
      </c>
      <c r="C183" s="4">
        <v>2</v>
      </c>
      <c r="D183" s="4">
        <v>2</v>
      </c>
      <c r="E183" s="4">
        <v>2</v>
      </c>
      <c r="F183">
        <f t="shared" si="18"/>
        <v>2</v>
      </c>
      <c r="G183">
        <f t="shared" si="19"/>
        <v>1</v>
      </c>
      <c r="H183" s="4">
        <f t="shared" si="20"/>
        <v>1</v>
      </c>
      <c r="I183" s="4">
        <f t="shared" si="21"/>
        <v>0.5</v>
      </c>
      <c r="J183" s="4">
        <f t="shared" si="22"/>
        <v>1</v>
      </c>
      <c r="K183" s="4">
        <f t="shared" si="23"/>
        <v>0</v>
      </c>
      <c r="L183" s="4">
        <f t="shared" si="24"/>
        <v>0</v>
      </c>
      <c r="M183" s="4">
        <f t="shared" si="25"/>
        <v>1</v>
      </c>
      <c r="N183" s="4">
        <f t="shared" si="26"/>
        <v>0</v>
      </c>
    </row>
    <row r="184" spans="1:14" x14ac:dyDescent="0.2">
      <c r="A184" t="str">
        <v>d_183</v>
      </c>
      <c r="B184" s="2">
        <v>40754</v>
      </c>
      <c r="C184" s="4">
        <v>0</v>
      </c>
      <c r="D184" s="4">
        <v>0</v>
      </c>
      <c r="E184" s="4">
        <v>0</v>
      </c>
      <c r="F184">
        <f t="shared" si="18"/>
        <v>0</v>
      </c>
      <c r="G184">
        <f t="shared" si="19"/>
        <v>0</v>
      </c>
      <c r="H184" s="4">
        <f t="shared" si="20"/>
        <v>0.5</v>
      </c>
      <c r="I184" s="4">
        <f t="shared" si="21"/>
        <v>1.5</v>
      </c>
      <c r="J184" s="4">
        <f t="shared" si="22"/>
        <v>2</v>
      </c>
      <c r="K184" s="4">
        <f t="shared" si="23"/>
        <v>1</v>
      </c>
      <c r="L184" s="4">
        <f t="shared" si="24"/>
        <v>2.5</v>
      </c>
      <c r="M184" s="4">
        <f t="shared" si="25"/>
        <v>1.5</v>
      </c>
      <c r="N184" s="4">
        <f t="shared" si="26"/>
        <v>1</v>
      </c>
    </row>
    <row r="185" spans="1:14" x14ac:dyDescent="0.2">
      <c r="A185" t="str">
        <v>d_184</v>
      </c>
      <c r="B185" s="2">
        <v>40755</v>
      </c>
      <c r="C185" s="4">
        <v>1</v>
      </c>
      <c r="D185" s="4">
        <v>0</v>
      </c>
      <c r="E185" s="4">
        <v>1</v>
      </c>
      <c r="F185">
        <f t="shared" si="18"/>
        <v>0.5</v>
      </c>
      <c r="G185">
        <f t="shared" si="19"/>
        <v>0</v>
      </c>
      <c r="H185" s="4">
        <f t="shared" si="20"/>
        <v>1.5</v>
      </c>
      <c r="I185" s="4">
        <f t="shared" si="21"/>
        <v>0.5</v>
      </c>
      <c r="J185" s="4">
        <f t="shared" si="22"/>
        <v>0.5</v>
      </c>
      <c r="K185" s="4">
        <f t="shared" si="23"/>
        <v>1</v>
      </c>
      <c r="L185" s="4">
        <f t="shared" si="24"/>
        <v>0</v>
      </c>
      <c r="M185" s="4">
        <f t="shared" si="25"/>
        <v>0</v>
      </c>
      <c r="N185" s="4">
        <f t="shared" si="26"/>
        <v>0</v>
      </c>
    </row>
    <row r="186" spans="1:14" x14ac:dyDescent="0.2">
      <c r="A186" t="str">
        <v>d_185</v>
      </c>
      <c r="B186" s="2">
        <v>40756</v>
      </c>
      <c r="C186" s="4">
        <v>0</v>
      </c>
      <c r="D186" s="4">
        <v>2</v>
      </c>
      <c r="E186" s="4">
        <v>0</v>
      </c>
      <c r="F186">
        <f t="shared" si="18"/>
        <v>0</v>
      </c>
      <c r="G186">
        <f t="shared" si="19"/>
        <v>1</v>
      </c>
      <c r="H186" s="4">
        <f t="shared" si="20"/>
        <v>0</v>
      </c>
      <c r="I186" s="4">
        <f t="shared" si="21"/>
        <v>1</v>
      </c>
      <c r="J186" s="4">
        <f t="shared" si="22"/>
        <v>0</v>
      </c>
      <c r="K186" s="4">
        <f t="shared" si="23"/>
        <v>1.5</v>
      </c>
      <c r="L186" s="4">
        <f t="shared" si="24"/>
        <v>1</v>
      </c>
      <c r="M186" s="4">
        <f t="shared" si="25"/>
        <v>0</v>
      </c>
      <c r="N186" s="4">
        <f t="shared" si="26"/>
        <v>0.5</v>
      </c>
    </row>
    <row r="187" spans="1:14" x14ac:dyDescent="0.2">
      <c r="A187" t="str">
        <v>d_186</v>
      </c>
      <c r="B187" s="2">
        <v>40757</v>
      </c>
      <c r="C187" s="4">
        <v>0</v>
      </c>
      <c r="D187" s="4">
        <v>2</v>
      </c>
      <c r="E187" s="4">
        <v>1</v>
      </c>
      <c r="F187">
        <f t="shared" si="18"/>
        <v>0.5</v>
      </c>
      <c r="G187">
        <f t="shared" si="19"/>
        <v>1.5</v>
      </c>
      <c r="H187" s="4">
        <f t="shared" si="20"/>
        <v>0.5</v>
      </c>
      <c r="I187" s="4">
        <f t="shared" si="21"/>
        <v>0.5</v>
      </c>
      <c r="J187" s="4">
        <f t="shared" si="22"/>
        <v>2</v>
      </c>
      <c r="K187" s="4">
        <f t="shared" si="23"/>
        <v>0.5</v>
      </c>
      <c r="L187" s="4">
        <f t="shared" si="24"/>
        <v>0</v>
      </c>
      <c r="M187" s="4">
        <f t="shared" si="25"/>
        <v>1</v>
      </c>
      <c r="N187" s="4">
        <f t="shared" si="26"/>
        <v>0</v>
      </c>
    </row>
    <row r="188" spans="1:14" x14ac:dyDescent="0.2">
      <c r="A188" t="str">
        <v>d_187</v>
      </c>
      <c r="B188" s="2">
        <v>40758</v>
      </c>
      <c r="C188" s="4">
        <v>1</v>
      </c>
      <c r="D188" s="4">
        <v>1</v>
      </c>
      <c r="E188" s="4">
        <v>1</v>
      </c>
      <c r="F188">
        <f t="shared" si="18"/>
        <v>0.5</v>
      </c>
      <c r="G188">
        <f t="shared" si="19"/>
        <v>1.5</v>
      </c>
      <c r="H188" s="4">
        <f t="shared" si="20"/>
        <v>0.5</v>
      </c>
      <c r="I188" s="4">
        <f t="shared" si="21"/>
        <v>0.5</v>
      </c>
      <c r="J188" s="4">
        <f t="shared" si="22"/>
        <v>1.5</v>
      </c>
      <c r="K188" s="4">
        <f t="shared" si="23"/>
        <v>0.5</v>
      </c>
      <c r="L188" s="4">
        <f t="shared" si="24"/>
        <v>0.5</v>
      </c>
      <c r="M188" s="4">
        <f t="shared" si="25"/>
        <v>1</v>
      </c>
      <c r="N188" s="4">
        <f t="shared" si="26"/>
        <v>1</v>
      </c>
    </row>
    <row r="189" spans="1:14" x14ac:dyDescent="0.2">
      <c r="A189" t="str">
        <v>d_188</v>
      </c>
      <c r="B189" s="2">
        <v>40759</v>
      </c>
      <c r="C189" s="4">
        <v>1</v>
      </c>
      <c r="D189" s="4">
        <v>0</v>
      </c>
      <c r="E189" s="4">
        <v>0</v>
      </c>
      <c r="F189">
        <f t="shared" si="18"/>
        <v>1.5</v>
      </c>
      <c r="G189">
        <f t="shared" si="19"/>
        <v>1</v>
      </c>
      <c r="H189" s="4">
        <f t="shared" si="20"/>
        <v>1</v>
      </c>
      <c r="I189" s="4">
        <f t="shared" si="21"/>
        <v>1.5</v>
      </c>
      <c r="J189" s="4">
        <f t="shared" si="22"/>
        <v>1</v>
      </c>
      <c r="K189" s="4">
        <f t="shared" si="23"/>
        <v>0.5</v>
      </c>
      <c r="L189" s="4">
        <f t="shared" si="24"/>
        <v>0.5</v>
      </c>
      <c r="M189" s="4">
        <f t="shared" si="25"/>
        <v>0.5</v>
      </c>
      <c r="N189" s="4">
        <f t="shared" si="26"/>
        <v>0.5</v>
      </c>
    </row>
    <row r="190" spans="1:14" x14ac:dyDescent="0.2">
      <c r="A190" t="str">
        <v>d_189</v>
      </c>
      <c r="B190" s="2">
        <v>40760</v>
      </c>
      <c r="C190" s="4">
        <v>0</v>
      </c>
      <c r="D190" s="4">
        <v>0</v>
      </c>
      <c r="E190" s="4">
        <v>0</v>
      </c>
      <c r="F190">
        <f t="shared" si="18"/>
        <v>0</v>
      </c>
      <c r="G190">
        <f t="shared" si="19"/>
        <v>0</v>
      </c>
      <c r="H190" s="4">
        <f t="shared" si="20"/>
        <v>0</v>
      </c>
      <c r="I190" s="4">
        <f t="shared" si="21"/>
        <v>0.5</v>
      </c>
      <c r="J190" s="4">
        <f t="shared" si="22"/>
        <v>1</v>
      </c>
      <c r="K190" s="4">
        <f t="shared" si="23"/>
        <v>0</v>
      </c>
      <c r="L190" s="4">
        <f t="shared" si="24"/>
        <v>1</v>
      </c>
      <c r="M190" s="4">
        <f t="shared" si="25"/>
        <v>0</v>
      </c>
      <c r="N190" s="4">
        <f t="shared" si="26"/>
        <v>0</v>
      </c>
    </row>
    <row r="191" spans="1:14" x14ac:dyDescent="0.2">
      <c r="A191" t="str">
        <v>d_190</v>
      </c>
      <c r="B191" s="2">
        <v>40761</v>
      </c>
      <c r="C191" s="4">
        <v>0</v>
      </c>
      <c r="D191" s="4">
        <v>1</v>
      </c>
      <c r="E191" s="4">
        <v>1</v>
      </c>
      <c r="F191">
        <f t="shared" si="18"/>
        <v>0.5</v>
      </c>
      <c r="G191">
        <f t="shared" si="19"/>
        <v>0.5</v>
      </c>
      <c r="H191" s="4">
        <f t="shared" si="20"/>
        <v>1</v>
      </c>
      <c r="I191" s="4">
        <f t="shared" si="21"/>
        <v>1</v>
      </c>
      <c r="J191" s="4">
        <f t="shared" si="22"/>
        <v>0</v>
      </c>
      <c r="K191" s="4">
        <f t="shared" si="23"/>
        <v>0</v>
      </c>
      <c r="L191" s="4">
        <f t="shared" si="24"/>
        <v>1</v>
      </c>
      <c r="M191" s="4">
        <f t="shared" si="25"/>
        <v>1</v>
      </c>
      <c r="N191" s="4">
        <f t="shared" si="26"/>
        <v>0</v>
      </c>
    </row>
    <row r="192" spans="1:14" x14ac:dyDescent="0.2">
      <c r="A192" t="str">
        <v>d_191</v>
      </c>
      <c r="B192" s="2">
        <v>40762</v>
      </c>
      <c r="C192" s="4">
        <v>0</v>
      </c>
      <c r="D192" s="4">
        <v>1</v>
      </c>
      <c r="E192" s="4">
        <v>2</v>
      </c>
      <c r="F192">
        <f t="shared" si="18"/>
        <v>0</v>
      </c>
      <c r="G192">
        <f t="shared" si="19"/>
        <v>1.5</v>
      </c>
      <c r="H192" s="4">
        <f t="shared" si="20"/>
        <v>1</v>
      </c>
      <c r="I192" s="4">
        <f t="shared" si="21"/>
        <v>0</v>
      </c>
      <c r="J192" s="4">
        <f t="shared" si="22"/>
        <v>0.5</v>
      </c>
      <c r="K192" s="4">
        <f t="shared" si="23"/>
        <v>1</v>
      </c>
      <c r="L192" s="4">
        <f t="shared" si="24"/>
        <v>0</v>
      </c>
      <c r="M192" s="4">
        <f t="shared" si="25"/>
        <v>1.5</v>
      </c>
      <c r="N192" s="4">
        <f t="shared" si="26"/>
        <v>1</v>
      </c>
    </row>
    <row r="193" spans="1:14" x14ac:dyDescent="0.2">
      <c r="A193" t="str">
        <v>d_192</v>
      </c>
      <c r="B193" s="2">
        <v>40763</v>
      </c>
      <c r="C193" s="4">
        <v>0</v>
      </c>
      <c r="D193" s="4">
        <v>3</v>
      </c>
      <c r="E193" s="4">
        <v>2</v>
      </c>
      <c r="F193">
        <f t="shared" si="18"/>
        <v>0</v>
      </c>
      <c r="G193">
        <f t="shared" si="19"/>
        <v>2.5</v>
      </c>
      <c r="H193" s="4">
        <f t="shared" si="20"/>
        <v>1.5</v>
      </c>
      <c r="I193" s="4">
        <f t="shared" si="21"/>
        <v>0</v>
      </c>
      <c r="J193" s="4">
        <f t="shared" si="22"/>
        <v>0.5</v>
      </c>
      <c r="K193" s="4">
        <f t="shared" si="23"/>
        <v>2</v>
      </c>
      <c r="L193" s="4">
        <f t="shared" si="24"/>
        <v>0</v>
      </c>
      <c r="M193" s="4">
        <f t="shared" si="25"/>
        <v>1</v>
      </c>
      <c r="N193" s="4">
        <f t="shared" si="26"/>
        <v>1</v>
      </c>
    </row>
    <row r="194" spans="1:14" x14ac:dyDescent="0.2">
      <c r="A194" t="str">
        <v>d_193</v>
      </c>
      <c r="B194" s="2">
        <v>40764</v>
      </c>
      <c r="C194" s="4">
        <v>0</v>
      </c>
      <c r="D194" s="4">
        <v>1</v>
      </c>
      <c r="E194" s="4">
        <v>0</v>
      </c>
      <c r="F194">
        <f t="shared" si="18"/>
        <v>0.5</v>
      </c>
      <c r="G194">
        <f t="shared" si="19"/>
        <v>1</v>
      </c>
      <c r="H194" s="4">
        <f t="shared" si="20"/>
        <v>0.5</v>
      </c>
      <c r="I194" s="4">
        <f t="shared" si="21"/>
        <v>0</v>
      </c>
      <c r="J194" s="4">
        <f t="shared" si="22"/>
        <v>1.5</v>
      </c>
      <c r="K194" s="4">
        <f t="shared" si="23"/>
        <v>1</v>
      </c>
      <c r="L194" s="4">
        <f t="shared" si="24"/>
        <v>2</v>
      </c>
      <c r="M194" s="4">
        <f t="shared" si="25"/>
        <v>2</v>
      </c>
      <c r="N194" s="4">
        <f t="shared" si="26"/>
        <v>1</v>
      </c>
    </row>
    <row r="195" spans="1:14" x14ac:dyDescent="0.2">
      <c r="A195" t="str">
        <v>d_194</v>
      </c>
      <c r="B195" s="2">
        <v>40765</v>
      </c>
      <c r="C195" s="4">
        <v>0</v>
      </c>
      <c r="D195" s="4">
        <v>0</v>
      </c>
      <c r="E195" s="4">
        <v>2</v>
      </c>
      <c r="F195">
        <f t="shared" si="18"/>
        <v>0.5</v>
      </c>
      <c r="G195">
        <f t="shared" si="19"/>
        <v>0</v>
      </c>
      <c r="H195" s="4">
        <f t="shared" si="20"/>
        <v>1</v>
      </c>
      <c r="I195" s="4">
        <f t="shared" si="21"/>
        <v>0.5</v>
      </c>
      <c r="J195" s="4">
        <f t="shared" si="22"/>
        <v>1</v>
      </c>
      <c r="K195" s="4">
        <f t="shared" si="23"/>
        <v>0</v>
      </c>
      <c r="L195" s="4">
        <f t="shared" si="24"/>
        <v>0</v>
      </c>
      <c r="M195" s="4">
        <f t="shared" si="25"/>
        <v>1</v>
      </c>
      <c r="N195" s="4">
        <f t="shared" si="26"/>
        <v>0.5</v>
      </c>
    </row>
    <row r="196" spans="1:14" x14ac:dyDescent="0.2">
      <c r="A196" t="str">
        <v>d_195</v>
      </c>
      <c r="B196" s="2">
        <v>40766</v>
      </c>
      <c r="C196" s="4">
        <v>0</v>
      </c>
      <c r="D196" s="4">
        <v>1</v>
      </c>
      <c r="E196" s="4">
        <v>0</v>
      </c>
      <c r="F196">
        <f t="shared" si="18"/>
        <v>0</v>
      </c>
      <c r="G196">
        <f t="shared" si="19"/>
        <v>0.5</v>
      </c>
      <c r="H196" s="4">
        <f t="shared" si="20"/>
        <v>0</v>
      </c>
      <c r="I196" s="4">
        <f t="shared" si="21"/>
        <v>0</v>
      </c>
      <c r="J196" s="4">
        <f t="shared" si="22"/>
        <v>1</v>
      </c>
      <c r="K196" s="4">
        <f t="shared" si="23"/>
        <v>1</v>
      </c>
      <c r="L196" s="4">
        <f t="shared" si="24"/>
        <v>0.5</v>
      </c>
      <c r="M196" s="4">
        <f t="shared" si="25"/>
        <v>2</v>
      </c>
      <c r="N196" s="4">
        <f t="shared" si="26"/>
        <v>1</v>
      </c>
    </row>
    <row r="197" spans="1:14" x14ac:dyDescent="0.2">
      <c r="A197" t="str">
        <v>d_196</v>
      </c>
      <c r="B197" s="2">
        <v>40767</v>
      </c>
      <c r="C197" s="4">
        <v>0</v>
      </c>
      <c r="D197" s="4">
        <v>5</v>
      </c>
      <c r="E197" s="4">
        <v>4</v>
      </c>
      <c r="F197">
        <f t="shared" si="18"/>
        <v>0</v>
      </c>
      <c r="G197">
        <f t="shared" si="19"/>
        <v>3</v>
      </c>
      <c r="H197" s="4">
        <f t="shared" si="20"/>
        <v>2.5</v>
      </c>
      <c r="I197" s="4">
        <f t="shared" si="21"/>
        <v>1</v>
      </c>
      <c r="J197" s="4">
        <f t="shared" si="22"/>
        <v>1.5</v>
      </c>
      <c r="K197" s="4">
        <f t="shared" si="23"/>
        <v>1</v>
      </c>
      <c r="L197" s="4">
        <f t="shared" si="24"/>
        <v>0.5</v>
      </c>
      <c r="M197" s="4">
        <f t="shared" si="25"/>
        <v>0.5</v>
      </c>
      <c r="N197" s="4">
        <f t="shared" si="26"/>
        <v>0</v>
      </c>
    </row>
    <row r="198" spans="1:14" x14ac:dyDescent="0.2">
      <c r="A198" t="str">
        <v>d_197</v>
      </c>
      <c r="B198" s="2">
        <v>40768</v>
      </c>
      <c r="C198" s="4">
        <v>0</v>
      </c>
      <c r="D198" s="4">
        <v>2</v>
      </c>
      <c r="E198" s="4">
        <v>5</v>
      </c>
      <c r="F198">
        <f t="shared" si="18"/>
        <v>0</v>
      </c>
      <c r="G198">
        <f t="shared" si="19"/>
        <v>1.5</v>
      </c>
      <c r="H198" s="4">
        <f t="shared" si="20"/>
        <v>3.5</v>
      </c>
      <c r="I198" s="4">
        <f t="shared" si="21"/>
        <v>0</v>
      </c>
      <c r="J198" s="4">
        <f t="shared" si="22"/>
        <v>2.5</v>
      </c>
      <c r="K198" s="4">
        <f t="shared" si="23"/>
        <v>2</v>
      </c>
      <c r="L198" s="4">
        <f t="shared" si="24"/>
        <v>0.5</v>
      </c>
      <c r="M198" s="4">
        <f t="shared" si="25"/>
        <v>3.5</v>
      </c>
      <c r="N198" s="4">
        <f t="shared" si="26"/>
        <v>2</v>
      </c>
    </row>
    <row r="199" spans="1:14" x14ac:dyDescent="0.2">
      <c r="A199" t="str">
        <v>d_198</v>
      </c>
      <c r="B199" s="2">
        <v>40769</v>
      </c>
      <c r="C199" s="4">
        <v>0</v>
      </c>
      <c r="D199" s="4">
        <v>0</v>
      </c>
      <c r="E199" s="4">
        <v>0</v>
      </c>
      <c r="F199">
        <f t="shared" si="18"/>
        <v>0</v>
      </c>
      <c r="G199">
        <f t="shared" si="19"/>
        <v>1.5</v>
      </c>
      <c r="H199" s="4">
        <f t="shared" si="20"/>
        <v>1</v>
      </c>
      <c r="I199" s="4">
        <f t="shared" si="21"/>
        <v>0.5</v>
      </c>
      <c r="J199" s="4">
        <f t="shared" si="22"/>
        <v>1</v>
      </c>
      <c r="K199" s="4">
        <f t="shared" si="23"/>
        <v>3</v>
      </c>
      <c r="L199" s="4">
        <f t="shared" si="24"/>
        <v>0.5</v>
      </c>
      <c r="M199" s="4">
        <f t="shared" si="25"/>
        <v>1.5</v>
      </c>
      <c r="N199" s="4">
        <f t="shared" si="26"/>
        <v>3.5</v>
      </c>
    </row>
    <row r="200" spans="1:14" x14ac:dyDescent="0.2">
      <c r="A200" t="str">
        <v>d_199</v>
      </c>
      <c r="B200" s="2">
        <v>40770</v>
      </c>
      <c r="C200" s="4">
        <v>0</v>
      </c>
      <c r="D200" s="4">
        <v>0</v>
      </c>
      <c r="E200" s="4">
        <v>0</v>
      </c>
      <c r="F200">
        <f t="shared" si="18"/>
        <v>0</v>
      </c>
      <c r="G200">
        <f t="shared" si="19"/>
        <v>0.5</v>
      </c>
      <c r="H200" s="4">
        <f t="shared" si="20"/>
        <v>0</v>
      </c>
      <c r="I200" s="4">
        <f t="shared" si="21"/>
        <v>0</v>
      </c>
      <c r="J200" s="4">
        <f t="shared" si="22"/>
        <v>1</v>
      </c>
      <c r="K200" s="4">
        <f t="shared" si="23"/>
        <v>0</v>
      </c>
      <c r="L200" s="4">
        <f t="shared" si="24"/>
        <v>0.5</v>
      </c>
      <c r="M200" s="4">
        <f t="shared" si="25"/>
        <v>0</v>
      </c>
      <c r="N200" s="4">
        <f t="shared" si="26"/>
        <v>1</v>
      </c>
    </row>
    <row r="201" spans="1:14" x14ac:dyDescent="0.2">
      <c r="A201" t="str">
        <v>d_200</v>
      </c>
      <c r="B201" s="2">
        <v>40771</v>
      </c>
      <c r="C201" s="4">
        <v>0</v>
      </c>
      <c r="D201" s="4">
        <v>0</v>
      </c>
      <c r="E201" s="4">
        <v>1</v>
      </c>
      <c r="F201">
        <f t="shared" ref="F201:F264" si="27">AVERAGE(C195,C201)</f>
        <v>0</v>
      </c>
      <c r="G201">
        <f t="shared" ref="G201:G264" si="28">AVERAGE(D195,D201)</f>
        <v>0</v>
      </c>
      <c r="H201" s="4">
        <f t="shared" ref="H201:H264" si="29">AVERAGE(E195,E201)</f>
        <v>1.5</v>
      </c>
      <c r="I201" s="4">
        <f t="shared" si="21"/>
        <v>0</v>
      </c>
      <c r="J201" s="4">
        <f t="shared" si="22"/>
        <v>1</v>
      </c>
      <c r="K201" s="4">
        <f t="shared" si="23"/>
        <v>0.5</v>
      </c>
      <c r="L201" s="4">
        <f t="shared" si="24"/>
        <v>0.5</v>
      </c>
      <c r="M201" s="4">
        <f t="shared" si="25"/>
        <v>1</v>
      </c>
      <c r="N201" s="4">
        <f t="shared" si="26"/>
        <v>0.5</v>
      </c>
    </row>
    <row r="202" spans="1:14" x14ac:dyDescent="0.2">
      <c r="A202" t="str">
        <v>d_201</v>
      </c>
      <c r="B202" s="2">
        <v>40772</v>
      </c>
      <c r="C202" s="4">
        <v>0</v>
      </c>
      <c r="D202" s="4">
        <v>1</v>
      </c>
      <c r="E202" s="4">
        <v>0</v>
      </c>
      <c r="F202">
        <f t="shared" si="27"/>
        <v>0</v>
      </c>
      <c r="G202">
        <f t="shared" si="28"/>
        <v>1</v>
      </c>
      <c r="H202" s="4">
        <f t="shared" si="29"/>
        <v>0</v>
      </c>
      <c r="I202" s="4">
        <f t="shared" si="21"/>
        <v>0.5</v>
      </c>
      <c r="J202" s="4">
        <f t="shared" si="22"/>
        <v>0.5</v>
      </c>
      <c r="K202" s="4">
        <f t="shared" si="23"/>
        <v>1</v>
      </c>
      <c r="L202" s="4">
        <f t="shared" si="24"/>
        <v>0.5</v>
      </c>
      <c r="M202" s="4">
        <f t="shared" si="25"/>
        <v>0.5</v>
      </c>
      <c r="N202" s="4">
        <f t="shared" si="26"/>
        <v>0.5</v>
      </c>
    </row>
    <row r="203" spans="1:14" x14ac:dyDescent="0.2">
      <c r="A203" t="str">
        <v>d_202</v>
      </c>
      <c r="B203" s="2">
        <v>40773</v>
      </c>
      <c r="C203" s="4">
        <v>0</v>
      </c>
      <c r="D203" s="4">
        <v>1</v>
      </c>
      <c r="E203" s="4">
        <v>0</v>
      </c>
      <c r="F203">
        <f t="shared" si="27"/>
        <v>0</v>
      </c>
      <c r="G203">
        <f t="shared" si="28"/>
        <v>3</v>
      </c>
      <c r="H203" s="4">
        <f t="shared" si="29"/>
        <v>2</v>
      </c>
      <c r="I203" s="4">
        <f t="shared" si="21"/>
        <v>0.5</v>
      </c>
      <c r="J203" s="4">
        <f t="shared" si="22"/>
        <v>0.5</v>
      </c>
      <c r="K203" s="4">
        <f t="shared" si="23"/>
        <v>0</v>
      </c>
      <c r="L203" s="4">
        <f t="shared" si="24"/>
        <v>1</v>
      </c>
      <c r="M203" s="4">
        <f t="shared" si="25"/>
        <v>1</v>
      </c>
      <c r="N203" s="4">
        <f t="shared" si="26"/>
        <v>0</v>
      </c>
    </row>
    <row r="204" spans="1:14" x14ac:dyDescent="0.2">
      <c r="A204" t="str">
        <v>d_203</v>
      </c>
      <c r="B204" s="2">
        <v>40774</v>
      </c>
      <c r="C204" s="4">
        <v>0</v>
      </c>
      <c r="D204" s="4">
        <v>0</v>
      </c>
      <c r="E204" s="4">
        <v>1</v>
      </c>
      <c r="F204">
        <f t="shared" si="27"/>
        <v>0</v>
      </c>
      <c r="G204">
        <f t="shared" si="28"/>
        <v>1</v>
      </c>
      <c r="H204" s="4">
        <f t="shared" si="29"/>
        <v>3</v>
      </c>
      <c r="I204" s="4">
        <f t="shared" si="21"/>
        <v>0</v>
      </c>
      <c r="J204" s="4">
        <f t="shared" si="22"/>
        <v>0.5</v>
      </c>
      <c r="K204" s="4">
        <f t="shared" si="23"/>
        <v>0</v>
      </c>
      <c r="L204" s="4">
        <f t="shared" si="24"/>
        <v>0</v>
      </c>
      <c r="M204" s="4">
        <f t="shared" si="25"/>
        <v>1.5</v>
      </c>
      <c r="N204" s="4">
        <f t="shared" si="26"/>
        <v>0</v>
      </c>
    </row>
    <row r="205" spans="1:14" x14ac:dyDescent="0.2">
      <c r="A205" t="str">
        <v>d_204</v>
      </c>
      <c r="B205" s="2">
        <v>40775</v>
      </c>
      <c r="C205" s="4">
        <v>0</v>
      </c>
      <c r="D205" s="4">
        <v>1</v>
      </c>
      <c r="E205" s="4">
        <v>2</v>
      </c>
      <c r="F205">
        <f t="shared" si="27"/>
        <v>0</v>
      </c>
      <c r="G205">
        <f t="shared" si="28"/>
        <v>0.5</v>
      </c>
      <c r="H205" s="4">
        <f t="shared" si="29"/>
        <v>1</v>
      </c>
      <c r="I205" s="4">
        <f t="shared" si="21"/>
        <v>0</v>
      </c>
      <c r="J205" s="4">
        <f t="shared" si="22"/>
        <v>0.5</v>
      </c>
      <c r="K205" s="4">
        <f t="shared" si="23"/>
        <v>1</v>
      </c>
      <c r="L205" s="4">
        <f t="shared" si="24"/>
        <v>1</v>
      </c>
      <c r="M205" s="4">
        <f t="shared" si="25"/>
        <v>0</v>
      </c>
      <c r="N205" s="4">
        <f t="shared" si="26"/>
        <v>0.5</v>
      </c>
    </row>
    <row r="206" spans="1:14" x14ac:dyDescent="0.2">
      <c r="A206" t="str">
        <v>d_205</v>
      </c>
      <c r="B206" s="2">
        <v>40776</v>
      </c>
      <c r="C206" s="4">
        <v>0</v>
      </c>
      <c r="D206" s="4">
        <v>2</v>
      </c>
      <c r="E206" s="4">
        <v>0</v>
      </c>
      <c r="F206">
        <f t="shared" si="27"/>
        <v>0</v>
      </c>
      <c r="G206">
        <f t="shared" si="28"/>
        <v>1</v>
      </c>
      <c r="H206" s="4">
        <f t="shared" si="29"/>
        <v>0</v>
      </c>
      <c r="I206" s="4">
        <f t="shared" si="21"/>
        <v>0</v>
      </c>
      <c r="J206" s="4">
        <f t="shared" si="22"/>
        <v>1</v>
      </c>
      <c r="K206" s="4">
        <f t="shared" si="23"/>
        <v>2</v>
      </c>
      <c r="L206" s="4">
        <f t="shared" si="24"/>
        <v>0</v>
      </c>
      <c r="M206" s="4">
        <f t="shared" si="25"/>
        <v>0.5</v>
      </c>
      <c r="N206" s="4">
        <f t="shared" si="26"/>
        <v>1.5</v>
      </c>
    </row>
    <row r="207" spans="1:14" x14ac:dyDescent="0.2">
      <c r="A207" t="str">
        <v>d_206</v>
      </c>
      <c r="B207" s="2">
        <v>40777</v>
      </c>
      <c r="C207" s="4">
        <v>0</v>
      </c>
      <c r="D207" s="4">
        <v>1</v>
      </c>
      <c r="E207" s="4">
        <v>2</v>
      </c>
      <c r="F207">
        <f t="shared" si="27"/>
        <v>0</v>
      </c>
      <c r="G207">
        <f t="shared" si="28"/>
        <v>0.5</v>
      </c>
      <c r="H207" s="4">
        <f t="shared" si="29"/>
        <v>1.5</v>
      </c>
      <c r="I207" s="4">
        <f t="shared" si="21"/>
        <v>0</v>
      </c>
      <c r="J207" s="4">
        <f t="shared" si="22"/>
        <v>2.5</v>
      </c>
      <c r="K207" s="4">
        <f t="shared" si="23"/>
        <v>1</v>
      </c>
      <c r="L207" s="4">
        <f t="shared" si="24"/>
        <v>0</v>
      </c>
      <c r="M207" s="4">
        <f t="shared" si="25"/>
        <v>1</v>
      </c>
      <c r="N207" s="4">
        <f t="shared" si="26"/>
        <v>1</v>
      </c>
    </row>
    <row r="208" spans="1:14" x14ac:dyDescent="0.2">
      <c r="A208" t="str">
        <v>d_207</v>
      </c>
      <c r="B208" s="2">
        <v>40778</v>
      </c>
      <c r="C208" s="4">
        <v>0</v>
      </c>
      <c r="D208" s="4">
        <v>1</v>
      </c>
      <c r="E208" s="4">
        <v>1</v>
      </c>
      <c r="F208">
        <f t="shared" si="27"/>
        <v>0</v>
      </c>
      <c r="G208">
        <f t="shared" si="28"/>
        <v>1</v>
      </c>
      <c r="H208" s="4">
        <f t="shared" si="29"/>
        <v>0.5</v>
      </c>
      <c r="I208" s="4">
        <f t="shared" si="21"/>
        <v>0</v>
      </c>
      <c r="J208" s="4">
        <f t="shared" si="22"/>
        <v>1</v>
      </c>
      <c r="K208" s="4">
        <f t="shared" si="23"/>
        <v>1</v>
      </c>
      <c r="L208" s="4">
        <f t="shared" si="24"/>
        <v>0</v>
      </c>
      <c r="M208" s="4">
        <f t="shared" si="25"/>
        <v>0.5</v>
      </c>
      <c r="N208" s="4">
        <f t="shared" si="26"/>
        <v>1</v>
      </c>
    </row>
    <row r="209" spans="1:14" x14ac:dyDescent="0.2">
      <c r="A209" t="str">
        <v>d_208</v>
      </c>
      <c r="B209" s="2">
        <v>40779</v>
      </c>
      <c r="C209" s="4">
        <v>0</v>
      </c>
      <c r="D209" s="4">
        <v>0</v>
      </c>
      <c r="E209" s="4">
        <v>0</v>
      </c>
      <c r="F209">
        <f t="shared" si="27"/>
        <v>0</v>
      </c>
      <c r="G209">
        <f t="shared" si="28"/>
        <v>0.5</v>
      </c>
      <c r="H209" s="4">
        <f t="shared" si="29"/>
        <v>0</v>
      </c>
      <c r="I209" s="4">
        <f t="shared" ref="I209:I272" si="30">AVERAGE(C195,C208)</f>
        <v>0</v>
      </c>
      <c r="J209" s="4">
        <f t="shared" ref="J209:J272" si="31">AVERAGE(D195,D208)</f>
        <v>0.5</v>
      </c>
      <c r="K209" s="4">
        <f t="shared" ref="K209:K272" si="32">AVERAGE(E195,E208)</f>
        <v>1.5</v>
      </c>
      <c r="L209" s="4">
        <f t="shared" si="24"/>
        <v>0.5</v>
      </c>
      <c r="M209" s="4">
        <f t="shared" si="25"/>
        <v>1</v>
      </c>
      <c r="N209" s="4">
        <f t="shared" si="26"/>
        <v>0.5</v>
      </c>
    </row>
    <row r="210" spans="1:14" x14ac:dyDescent="0.2">
      <c r="A210" t="str">
        <v>d_209</v>
      </c>
      <c r="B210" s="2">
        <v>40780</v>
      </c>
      <c r="C210" s="4">
        <v>0</v>
      </c>
      <c r="D210" s="4">
        <v>1</v>
      </c>
      <c r="E210" s="4">
        <v>4</v>
      </c>
      <c r="F210">
        <f t="shared" si="27"/>
        <v>0</v>
      </c>
      <c r="G210">
        <f t="shared" si="28"/>
        <v>0.5</v>
      </c>
      <c r="H210" s="4">
        <f t="shared" si="29"/>
        <v>2.5</v>
      </c>
      <c r="I210" s="4">
        <f t="shared" si="30"/>
        <v>0</v>
      </c>
      <c r="J210" s="4">
        <f t="shared" si="31"/>
        <v>0.5</v>
      </c>
      <c r="K210" s="4">
        <f t="shared" si="32"/>
        <v>0</v>
      </c>
      <c r="L210" s="4">
        <f t="shared" si="24"/>
        <v>0</v>
      </c>
      <c r="M210" s="4">
        <f t="shared" si="25"/>
        <v>1</v>
      </c>
      <c r="N210" s="4">
        <f t="shared" si="26"/>
        <v>0</v>
      </c>
    </row>
    <row r="211" spans="1:14" x14ac:dyDescent="0.2">
      <c r="A211" t="str">
        <v>d_210</v>
      </c>
      <c r="B211" s="2">
        <v>40781</v>
      </c>
      <c r="C211" s="4">
        <v>0</v>
      </c>
      <c r="D211" s="4">
        <v>0</v>
      </c>
      <c r="E211" s="4">
        <v>2</v>
      </c>
      <c r="F211">
        <f t="shared" si="27"/>
        <v>0</v>
      </c>
      <c r="G211">
        <f t="shared" si="28"/>
        <v>0.5</v>
      </c>
      <c r="H211" s="4">
        <f t="shared" si="29"/>
        <v>2</v>
      </c>
      <c r="I211" s="4">
        <f t="shared" si="30"/>
        <v>0</v>
      </c>
      <c r="J211" s="4">
        <f t="shared" si="31"/>
        <v>3</v>
      </c>
      <c r="K211" s="4">
        <f t="shared" si="32"/>
        <v>4</v>
      </c>
      <c r="L211" s="4">
        <f t="shared" si="24"/>
        <v>1</v>
      </c>
      <c r="M211" s="4">
        <f t="shared" si="25"/>
        <v>1.5</v>
      </c>
      <c r="N211" s="4">
        <f t="shared" si="26"/>
        <v>3</v>
      </c>
    </row>
    <row r="212" spans="1:14" x14ac:dyDescent="0.2">
      <c r="A212" t="str">
        <v>d_211</v>
      </c>
      <c r="B212" s="2">
        <v>40782</v>
      </c>
      <c r="C212" s="4">
        <v>0</v>
      </c>
      <c r="D212" s="4">
        <v>0</v>
      </c>
      <c r="E212" s="4">
        <v>2</v>
      </c>
      <c r="F212">
        <f t="shared" si="27"/>
        <v>0</v>
      </c>
      <c r="G212">
        <f t="shared" si="28"/>
        <v>1</v>
      </c>
      <c r="H212" s="4">
        <f t="shared" si="29"/>
        <v>1</v>
      </c>
      <c r="I212" s="4">
        <f t="shared" si="30"/>
        <v>0</v>
      </c>
      <c r="J212" s="4">
        <f t="shared" si="31"/>
        <v>1</v>
      </c>
      <c r="K212" s="4">
        <f t="shared" si="32"/>
        <v>3.5</v>
      </c>
      <c r="L212" s="4">
        <f t="shared" si="24"/>
        <v>0</v>
      </c>
      <c r="M212" s="4">
        <f t="shared" si="25"/>
        <v>0</v>
      </c>
      <c r="N212" s="4">
        <f t="shared" si="26"/>
        <v>1</v>
      </c>
    </row>
    <row r="213" spans="1:14" x14ac:dyDescent="0.2">
      <c r="A213" t="str">
        <v>d_212</v>
      </c>
      <c r="B213" s="2">
        <v>40783</v>
      </c>
      <c r="C213" s="4">
        <v>0</v>
      </c>
      <c r="D213" s="4">
        <v>1</v>
      </c>
      <c r="E213" s="4">
        <v>0</v>
      </c>
      <c r="F213">
        <f t="shared" si="27"/>
        <v>0</v>
      </c>
      <c r="G213">
        <f t="shared" si="28"/>
        <v>1</v>
      </c>
      <c r="H213" s="4">
        <f t="shared" si="29"/>
        <v>1</v>
      </c>
      <c r="I213" s="4">
        <f t="shared" si="30"/>
        <v>0</v>
      </c>
      <c r="J213" s="4">
        <f t="shared" si="31"/>
        <v>0</v>
      </c>
      <c r="K213" s="4">
        <f t="shared" si="32"/>
        <v>1</v>
      </c>
      <c r="L213" s="4">
        <f t="shared" si="24"/>
        <v>0.5</v>
      </c>
      <c r="M213" s="4">
        <f t="shared" si="25"/>
        <v>0</v>
      </c>
      <c r="N213" s="4">
        <f t="shared" si="26"/>
        <v>1.5</v>
      </c>
    </row>
    <row r="214" spans="1:14" x14ac:dyDescent="0.2">
      <c r="A214" t="str">
        <v>d_213</v>
      </c>
      <c r="B214" s="2">
        <v>40784</v>
      </c>
      <c r="C214" s="4">
        <v>0</v>
      </c>
      <c r="D214" s="4">
        <v>2</v>
      </c>
      <c r="E214" s="4">
        <v>0</v>
      </c>
      <c r="F214">
        <f t="shared" si="27"/>
        <v>0</v>
      </c>
      <c r="G214">
        <f t="shared" si="28"/>
        <v>1.5</v>
      </c>
      <c r="H214" s="4">
        <f t="shared" si="29"/>
        <v>0.5</v>
      </c>
      <c r="I214" s="4">
        <f t="shared" si="30"/>
        <v>0</v>
      </c>
      <c r="J214" s="4">
        <f t="shared" si="31"/>
        <v>0.5</v>
      </c>
      <c r="K214" s="4">
        <f t="shared" si="32"/>
        <v>0</v>
      </c>
      <c r="L214" s="4">
        <f t="shared" si="24"/>
        <v>0</v>
      </c>
      <c r="M214" s="4">
        <f t="shared" si="25"/>
        <v>1.5</v>
      </c>
      <c r="N214" s="4">
        <f t="shared" si="26"/>
        <v>0</v>
      </c>
    </row>
    <row r="215" spans="1:14" x14ac:dyDescent="0.2">
      <c r="A215" t="str">
        <v>d_214</v>
      </c>
      <c r="B215" s="2">
        <v>40785</v>
      </c>
      <c r="C215" s="4">
        <v>0</v>
      </c>
      <c r="D215" s="4">
        <v>1</v>
      </c>
      <c r="E215" s="4">
        <v>0</v>
      </c>
      <c r="F215">
        <f t="shared" si="27"/>
        <v>0</v>
      </c>
      <c r="G215">
        <f t="shared" si="28"/>
        <v>0.5</v>
      </c>
      <c r="H215" s="4">
        <f t="shared" si="29"/>
        <v>0</v>
      </c>
      <c r="I215" s="4">
        <f t="shared" si="30"/>
        <v>0</v>
      </c>
      <c r="J215" s="4">
        <f t="shared" si="31"/>
        <v>1</v>
      </c>
      <c r="K215" s="4">
        <f t="shared" si="32"/>
        <v>0.5</v>
      </c>
      <c r="L215" s="4">
        <f t="shared" si="24"/>
        <v>0</v>
      </c>
      <c r="M215" s="4">
        <f t="shared" si="25"/>
        <v>2</v>
      </c>
      <c r="N215" s="4">
        <f t="shared" si="26"/>
        <v>0.5</v>
      </c>
    </row>
    <row r="216" spans="1:14" x14ac:dyDescent="0.2">
      <c r="A216" t="str">
        <v>d_215</v>
      </c>
      <c r="B216" s="2">
        <v>40786</v>
      </c>
      <c r="C216" s="4">
        <v>0</v>
      </c>
      <c r="D216" s="4">
        <v>3</v>
      </c>
      <c r="E216" s="4">
        <v>1</v>
      </c>
      <c r="F216">
        <f t="shared" si="27"/>
        <v>0</v>
      </c>
      <c r="G216">
        <f t="shared" si="28"/>
        <v>2</v>
      </c>
      <c r="H216" s="4">
        <f t="shared" si="29"/>
        <v>2.5</v>
      </c>
      <c r="I216" s="4">
        <f t="shared" si="30"/>
        <v>0</v>
      </c>
      <c r="J216" s="4">
        <f t="shared" si="31"/>
        <v>1</v>
      </c>
      <c r="K216" s="4">
        <f t="shared" si="32"/>
        <v>0</v>
      </c>
      <c r="L216" s="4">
        <f t="shared" si="24"/>
        <v>0.5</v>
      </c>
      <c r="M216" s="4">
        <f t="shared" si="25"/>
        <v>1</v>
      </c>
      <c r="N216" s="4">
        <f t="shared" si="26"/>
        <v>0.5</v>
      </c>
    </row>
    <row r="217" spans="1:14" x14ac:dyDescent="0.2">
      <c r="A217" t="str">
        <v>d_216</v>
      </c>
      <c r="B217" s="2">
        <v>40787</v>
      </c>
      <c r="C217" s="4">
        <v>0</v>
      </c>
      <c r="D217" s="4">
        <v>2</v>
      </c>
      <c r="E217" s="4">
        <v>1</v>
      </c>
      <c r="F217">
        <f t="shared" si="27"/>
        <v>0</v>
      </c>
      <c r="G217">
        <f t="shared" si="28"/>
        <v>1</v>
      </c>
      <c r="H217" s="4">
        <f t="shared" si="29"/>
        <v>1.5</v>
      </c>
      <c r="I217" s="4">
        <f t="shared" si="30"/>
        <v>0</v>
      </c>
      <c r="J217" s="4">
        <f t="shared" si="31"/>
        <v>2</v>
      </c>
      <c r="K217" s="4">
        <f t="shared" si="32"/>
        <v>0.5</v>
      </c>
      <c r="L217" s="4">
        <f t="shared" si="24"/>
        <v>0.5</v>
      </c>
      <c r="M217" s="4">
        <f t="shared" si="25"/>
        <v>1.5</v>
      </c>
      <c r="N217" s="4">
        <f t="shared" si="26"/>
        <v>0.5</v>
      </c>
    </row>
    <row r="218" spans="1:14" x14ac:dyDescent="0.2">
      <c r="A218" t="str">
        <v>d_217</v>
      </c>
      <c r="B218" s="2">
        <v>40788</v>
      </c>
      <c r="C218" s="4">
        <v>0</v>
      </c>
      <c r="D218" s="4">
        <v>1</v>
      </c>
      <c r="E218" s="4">
        <v>2</v>
      </c>
      <c r="F218">
        <f t="shared" si="27"/>
        <v>0</v>
      </c>
      <c r="G218">
        <f t="shared" si="28"/>
        <v>0.5</v>
      </c>
      <c r="H218" s="4">
        <f t="shared" si="29"/>
        <v>2</v>
      </c>
      <c r="I218" s="4">
        <f t="shared" si="30"/>
        <v>0</v>
      </c>
      <c r="J218" s="4">
        <f t="shared" si="31"/>
        <v>1</v>
      </c>
      <c r="K218" s="4">
        <f t="shared" si="32"/>
        <v>1</v>
      </c>
      <c r="L218" s="4">
        <f t="shared" si="24"/>
        <v>0</v>
      </c>
      <c r="M218" s="4">
        <f t="shared" si="25"/>
        <v>1</v>
      </c>
      <c r="N218" s="4">
        <f t="shared" si="26"/>
        <v>0.5</v>
      </c>
    </row>
    <row r="219" spans="1:14" x14ac:dyDescent="0.2">
      <c r="A219" t="str">
        <v>d_218</v>
      </c>
      <c r="B219" s="2">
        <v>40789</v>
      </c>
      <c r="C219" s="4">
        <v>0</v>
      </c>
      <c r="D219" s="4">
        <v>1</v>
      </c>
      <c r="E219" s="4">
        <v>1</v>
      </c>
      <c r="F219">
        <f t="shared" si="27"/>
        <v>0</v>
      </c>
      <c r="G219">
        <f t="shared" si="28"/>
        <v>1</v>
      </c>
      <c r="H219" s="4">
        <f t="shared" si="29"/>
        <v>0.5</v>
      </c>
      <c r="I219" s="4">
        <f t="shared" si="30"/>
        <v>0</v>
      </c>
      <c r="J219" s="4">
        <f t="shared" si="31"/>
        <v>1</v>
      </c>
      <c r="K219" s="4">
        <f t="shared" si="32"/>
        <v>2</v>
      </c>
      <c r="L219" s="4">
        <f t="shared" si="24"/>
        <v>0</v>
      </c>
      <c r="M219" s="4">
        <f t="shared" si="25"/>
        <v>1</v>
      </c>
      <c r="N219" s="4">
        <f t="shared" si="26"/>
        <v>1.5</v>
      </c>
    </row>
    <row r="220" spans="1:14" x14ac:dyDescent="0.2">
      <c r="A220" t="str">
        <v>d_219</v>
      </c>
      <c r="B220" s="2">
        <v>40790</v>
      </c>
      <c r="C220" s="4">
        <v>0</v>
      </c>
      <c r="D220" s="4">
        <v>0</v>
      </c>
      <c r="E220" s="4">
        <v>0</v>
      </c>
      <c r="F220">
        <f t="shared" si="27"/>
        <v>0</v>
      </c>
      <c r="G220">
        <f t="shared" si="28"/>
        <v>1</v>
      </c>
      <c r="H220" s="4">
        <f t="shared" si="29"/>
        <v>0</v>
      </c>
      <c r="I220" s="4">
        <f t="shared" si="30"/>
        <v>0</v>
      </c>
      <c r="J220" s="4">
        <f t="shared" si="31"/>
        <v>1.5</v>
      </c>
      <c r="K220" s="4">
        <f t="shared" si="32"/>
        <v>0.5</v>
      </c>
      <c r="L220" s="4">
        <f t="shared" si="24"/>
        <v>0</v>
      </c>
      <c r="M220" s="4">
        <f t="shared" si="25"/>
        <v>1</v>
      </c>
      <c r="N220" s="4">
        <f t="shared" si="26"/>
        <v>1.5</v>
      </c>
    </row>
    <row r="221" spans="1:14" x14ac:dyDescent="0.2">
      <c r="A221" t="str">
        <v>d_220</v>
      </c>
      <c r="B221" s="2">
        <v>40791</v>
      </c>
      <c r="C221" s="4">
        <v>0</v>
      </c>
      <c r="D221" s="4">
        <v>1</v>
      </c>
      <c r="E221" s="4">
        <v>0</v>
      </c>
      <c r="F221">
        <f t="shared" si="27"/>
        <v>0</v>
      </c>
      <c r="G221">
        <f t="shared" si="28"/>
        <v>1</v>
      </c>
      <c r="H221" s="4">
        <f t="shared" si="29"/>
        <v>0</v>
      </c>
      <c r="I221" s="4">
        <f t="shared" si="30"/>
        <v>0</v>
      </c>
      <c r="J221" s="4">
        <f t="shared" si="31"/>
        <v>0.5</v>
      </c>
      <c r="K221" s="4">
        <f t="shared" si="32"/>
        <v>1</v>
      </c>
      <c r="L221" s="4">
        <f t="shared" si="24"/>
        <v>0</v>
      </c>
      <c r="M221" s="4">
        <f t="shared" si="25"/>
        <v>1.5</v>
      </c>
      <c r="N221" s="4">
        <f t="shared" si="26"/>
        <v>1</v>
      </c>
    </row>
    <row r="222" spans="1:14" x14ac:dyDescent="0.2">
      <c r="A222" t="str">
        <v>d_221</v>
      </c>
      <c r="B222" s="2">
        <v>40792</v>
      </c>
      <c r="C222" s="4">
        <v>0</v>
      </c>
      <c r="D222" s="4">
        <v>0</v>
      </c>
      <c r="E222" s="4">
        <v>1</v>
      </c>
      <c r="F222">
        <f t="shared" si="27"/>
        <v>0</v>
      </c>
      <c r="G222">
        <f t="shared" si="28"/>
        <v>1.5</v>
      </c>
      <c r="H222" s="4">
        <f t="shared" si="29"/>
        <v>1</v>
      </c>
      <c r="I222" s="4">
        <f t="shared" si="30"/>
        <v>0</v>
      </c>
      <c r="J222" s="4">
        <f t="shared" si="31"/>
        <v>1</v>
      </c>
      <c r="K222" s="4">
        <f t="shared" si="32"/>
        <v>0.5</v>
      </c>
      <c r="L222" s="4">
        <f t="shared" si="24"/>
        <v>0</v>
      </c>
      <c r="M222" s="4">
        <f t="shared" si="25"/>
        <v>1</v>
      </c>
      <c r="N222" s="4">
        <f t="shared" si="26"/>
        <v>0</v>
      </c>
    </row>
    <row r="223" spans="1:14" x14ac:dyDescent="0.2">
      <c r="A223" t="str">
        <v>d_222</v>
      </c>
      <c r="B223" s="2">
        <v>40793</v>
      </c>
      <c r="C223" s="4">
        <v>0</v>
      </c>
      <c r="D223" s="4">
        <v>0</v>
      </c>
      <c r="E223" s="4">
        <v>2</v>
      </c>
      <c r="F223">
        <f t="shared" si="27"/>
        <v>0</v>
      </c>
      <c r="G223">
        <f t="shared" si="28"/>
        <v>1</v>
      </c>
      <c r="H223" s="4">
        <f t="shared" si="29"/>
        <v>1.5</v>
      </c>
      <c r="I223" s="4">
        <f t="shared" si="30"/>
        <v>0</v>
      </c>
      <c r="J223" s="4">
        <f t="shared" si="31"/>
        <v>0</v>
      </c>
      <c r="K223" s="4">
        <f t="shared" si="32"/>
        <v>0.5</v>
      </c>
      <c r="L223" s="4">
        <f t="shared" ref="L223:L286" si="33">AVERAGE(C195,C222)</f>
        <v>0</v>
      </c>
      <c r="M223" s="4">
        <f t="shared" ref="M223:M286" si="34">AVERAGE(D195,D222)</f>
        <v>0</v>
      </c>
      <c r="N223" s="4">
        <f t="shared" ref="N223:N286" si="35">AVERAGE(E195,E222)</f>
        <v>1.5</v>
      </c>
    </row>
    <row r="224" spans="1:14" x14ac:dyDescent="0.2">
      <c r="A224" t="str">
        <v>d_223</v>
      </c>
      <c r="B224" s="2">
        <v>40794</v>
      </c>
      <c r="C224" s="4">
        <v>0</v>
      </c>
      <c r="D224" s="4">
        <v>1</v>
      </c>
      <c r="E224" s="4">
        <v>0</v>
      </c>
      <c r="F224">
        <f t="shared" si="27"/>
        <v>0</v>
      </c>
      <c r="G224">
        <f t="shared" si="28"/>
        <v>1</v>
      </c>
      <c r="H224" s="4">
        <f t="shared" si="29"/>
        <v>1</v>
      </c>
      <c r="I224" s="4">
        <f t="shared" si="30"/>
        <v>0</v>
      </c>
      <c r="J224" s="4">
        <f t="shared" si="31"/>
        <v>0.5</v>
      </c>
      <c r="K224" s="4">
        <f t="shared" si="32"/>
        <v>3</v>
      </c>
      <c r="L224" s="4">
        <f t="shared" si="33"/>
        <v>0</v>
      </c>
      <c r="M224" s="4">
        <f t="shared" si="34"/>
        <v>0.5</v>
      </c>
      <c r="N224" s="4">
        <f t="shared" si="35"/>
        <v>1</v>
      </c>
    </row>
    <row r="225" spans="1:14" x14ac:dyDescent="0.2">
      <c r="A225" t="str">
        <v>d_224</v>
      </c>
      <c r="B225" s="2">
        <v>40795</v>
      </c>
      <c r="C225" s="4">
        <v>0</v>
      </c>
      <c r="D225" s="4">
        <v>0</v>
      </c>
      <c r="E225" s="4">
        <v>0</v>
      </c>
      <c r="F225">
        <f t="shared" si="27"/>
        <v>0</v>
      </c>
      <c r="G225">
        <f t="shared" si="28"/>
        <v>0.5</v>
      </c>
      <c r="H225" s="4">
        <f t="shared" si="29"/>
        <v>0.5</v>
      </c>
      <c r="I225" s="4">
        <f t="shared" si="30"/>
        <v>0</v>
      </c>
      <c r="J225" s="4">
        <f t="shared" si="31"/>
        <v>0.5</v>
      </c>
      <c r="K225" s="4">
        <f t="shared" si="32"/>
        <v>1</v>
      </c>
      <c r="L225" s="4">
        <f t="shared" si="33"/>
        <v>0</v>
      </c>
      <c r="M225" s="4">
        <f t="shared" si="34"/>
        <v>3</v>
      </c>
      <c r="N225" s="4">
        <f t="shared" si="35"/>
        <v>2</v>
      </c>
    </row>
    <row r="226" spans="1:14" x14ac:dyDescent="0.2">
      <c r="A226" t="str">
        <v>d_225</v>
      </c>
      <c r="B226" s="2">
        <v>40796</v>
      </c>
      <c r="C226" s="4">
        <v>0</v>
      </c>
      <c r="D226" s="4">
        <v>1</v>
      </c>
      <c r="E226" s="4">
        <v>0</v>
      </c>
      <c r="F226">
        <f t="shared" si="27"/>
        <v>0</v>
      </c>
      <c r="G226">
        <f t="shared" si="28"/>
        <v>0.5</v>
      </c>
      <c r="H226" s="4">
        <f t="shared" si="29"/>
        <v>0</v>
      </c>
      <c r="I226" s="4">
        <f t="shared" si="30"/>
        <v>0</v>
      </c>
      <c r="J226" s="4">
        <f t="shared" si="31"/>
        <v>0</v>
      </c>
      <c r="K226" s="4">
        <f t="shared" si="32"/>
        <v>1</v>
      </c>
      <c r="L226" s="4">
        <f t="shared" si="33"/>
        <v>0</v>
      </c>
      <c r="M226" s="4">
        <f t="shared" si="34"/>
        <v>1</v>
      </c>
      <c r="N226" s="4">
        <f t="shared" si="35"/>
        <v>2.5</v>
      </c>
    </row>
    <row r="227" spans="1:14" x14ac:dyDescent="0.2">
      <c r="A227" t="str">
        <v>d_226</v>
      </c>
      <c r="B227" s="2">
        <v>40797</v>
      </c>
      <c r="C227" s="4">
        <v>0</v>
      </c>
      <c r="D227" s="4">
        <v>1</v>
      </c>
      <c r="E227" s="4">
        <v>0</v>
      </c>
      <c r="F227">
        <f t="shared" si="27"/>
        <v>0</v>
      </c>
      <c r="G227">
        <f t="shared" si="28"/>
        <v>1</v>
      </c>
      <c r="H227" s="4">
        <f t="shared" si="29"/>
        <v>0</v>
      </c>
      <c r="I227" s="4">
        <f t="shared" si="30"/>
        <v>0</v>
      </c>
      <c r="J227" s="4">
        <f t="shared" si="31"/>
        <v>1</v>
      </c>
      <c r="K227" s="4">
        <f t="shared" si="32"/>
        <v>0</v>
      </c>
      <c r="L227" s="4">
        <f t="shared" si="33"/>
        <v>0</v>
      </c>
      <c r="M227" s="4">
        <f t="shared" si="34"/>
        <v>0.5</v>
      </c>
      <c r="N227" s="4">
        <f t="shared" si="35"/>
        <v>0</v>
      </c>
    </row>
    <row r="228" spans="1:14" x14ac:dyDescent="0.2">
      <c r="A228" t="str">
        <v>d_227</v>
      </c>
      <c r="B228" s="2">
        <v>40798</v>
      </c>
      <c r="C228" s="4">
        <v>0</v>
      </c>
      <c r="D228" s="4">
        <v>0</v>
      </c>
      <c r="E228" s="4">
        <v>0</v>
      </c>
      <c r="F228">
        <f t="shared" si="27"/>
        <v>0</v>
      </c>
      <c r="G228">
        <f t="shared" si="28"/>
        <v>0</v>
      </c>
      <c r="H228" s="4">
        <f t="shared" si="29"/>
        <v>0.5</v>
      </c>
      <c r="I228" s="4">
        <f t="shared" si="30"/>
        <v>0</v>
      </c>
      <c r="J228" s="4">
        <f t="shared" si="31"/>
        <v>1.5</v>
      </c>
      <c r="K228" s="4">
        <f t="shared" si="32"/>
        <v>0</v>
      </c>
      <c r="L228" s="4">
        <f t="shared" si="33"/>
        <v>0</v>
      </c>
      <c r="M228" s="4">
        <f t="shared" si="34"/>
        <v>0.5</v>
      </c>
      <c r="N228" s="4">
        <f t="shared" si="35"/>
        <v>0</v>
      </c>
    </row>
    <row r="229" spans="1:14" x14ac:dyDescent="0.2">
      <c r="A229" t="str">
        <v>d_228</v>
      </c>
      <c r="B229" s="2">
        <v>40799</v>
      </c>
      <c r="C229" s="4">
        <v>0</v>
      </c>
      <c r="D229" s="4">
        <v>0</v>
      </c>
      <c r="E229" s="4">
        <v>0</v>
      </c>
      <c r="F229">
        <f t="shared" si="27"/>
        <v>0</v>
      </c>
      <c r="G229">
        <f t="shared" si="28"/>
        <v>0</v>
      </c>
      <c r="H229" s="4">
        <f t="shared" si="29"/>
        <v>1</v>
      </c>
      <c r="I229" s="4">
        <f t="shared" si="30"/>
        <v>0</v>
      </c>
      <c r="J229" s="4">
        <f t="shared" si="31"/>
        <v>0.5</v>
      </c>
      <c r="K229" s="4">
        <f t="shared" si="32"/>
        <v>0</v>
      </c>
      <c r="L229" s="4">
        <f t="shared" si="33"/>
        <v>0</v>
      </c>
      <c r="M229" s="4">
        <f t="shared" si="34"/>
        <v>0</v>
      </c>
      <c r="N229" s="4">
        <f t="shared" si="35"/>
        <v>0.5</v>
      </c>
    </row>
    <row r="230" spans="1:14" x14ac:dyDescent="0.2">
      <c r="A230" t="str">
        <v>d_229</v>
      </c>
      <c r="B230" s="2">
        <v>40800</v>
      </c>
      <c r="C230" s="4">
        <v>0</v>
      </c>
      <c r="D230" s="4">
        <v>0</v>
      </c>
      <c r="E230" s="4">
        <v>0</v>
      </c>
      <c r="F230">
        <f t="shared" si="27"/>
        <v>0</v>
      </c>
      <c r="G230">
        <f t="shared" si="28"/>
        <v>0.5</v>
      </c>
      <c r="H230" s="4">
        <f t="shared" si="29"/>
        <v>0</v>
      </c>
      <c r="I230" s="4">
        <f t="shared" si="30"/>
        <v>0</v>
      </c>
      <c r="J230" s="4">
        <f t="shared" si="31"/>
        <v>1.5</v>
      </c>
      <c r="K230" s="4">
        <f t="shared" si="32"/>
        <v>0.5</v>
      </c>
      <c r="L230" s="4">
        <f t="shared" si="33"/>
        <v>0</v>
      </c>
      <c r="M230" s="4">
        <f t="shared" si="34"/>
        <v>0.5</v>
      </c>
      <c r="N230" s="4">
        <f t="shared" si="35"/>
        <v>0</v>
      </c>
    </row>
    <row r="231" spans="1:14" x14ac:dyDescent="0.2">
      <c r="A231" t="str">
        <v>d_230</v>
      </c>
      <c r="B231" s="2">
        <v>40801</v>
      </c>
      <c r="C231" s="4">
        <v>0</v>
      </c>
      <c r="D231" s="4">
        <v>0</v>
      </c>
      <c r="E231" s="4">
        <v>1</v>
      </c>
      <c r="F231">
        <f t="shared" si="27"/>
        <v>0</v>
      </c>
      <c r="G231">
        <f t="shared" si="28"/>
        <v>0</v>
      </c>
      <c r="H231" s="4">
        <f t="shared" si="29"/>
        <v>0.5</v>
      </c>
      <c r="I231" s="4">
        <f t="shared" si="30"/>
        <v>0</v>
      </c>
      <c r="J231" s="4">
        <f t="shared" si="31"/>
        <v>1</v>
      </c>
      <c r="K231" s="4">
        <f t="shared" si="32"/>
        <v>0.5</v>
      </c>
      <c r="L231" s="4">
        <f t="shared" si="33"/>
        <v>0</v>
      </c>
      <c r="M231" s="4">
        <f t="shared" si="34"/>
        <v>0.5</v>
      </c>
      <c r="N231" s="4">
        <f t="shared" si="35"/>
        <v>0</v>
      </c>
    </row>
    <row r="232" spans="1:14" x14ac:dyDescent="0.2">
      <c r="A232" t="str">
        <v>d_231</v>
      </c>
      <c r="B232" s="2">
        <v>40802</v>
      </c>
      <c r="C232" s="4">
        <v>0</v>
      </c>
      <c r="D232" s="4">
        <v>0</v>
      </c>
      <c r="E232" s="4">
        <v>0</v>
      </c>
      <c r="F232">
        <f t="shared" si="27"/>
        <v>0</v>
      </c>
      <c r="G232">
        <f t="shared" si="28"/>
        <v>0.5</v>
      </c>
      <c r="H232" s="4">
        <f t="shared" si="29"/>
        <v>0</v>
      </c>
      <c r="I232" s="4">
        <f t="shared" si="30"/>
        <v>0</v>
      </c>
      <c r="J232" s="4">
        <f t="shared" si="31"/>
        <v>0.5</v>
      </c>
      <c r="K232" s="4">
        <f t="shared" si="32"/>
        <v>1.5</v>
      </c>
      <c r="L232" s="4">
        <f t="shared" si="33"/>
        <v>0</v>
      </c>
      <c r="M232" s="4">
        <f t="shared" si="34"/>
        <v>0</v>
      </c>
      <c r="N232" s="4">
        <f t="shared" si="35"/>
        <v>1</v>
      </c>
    </row>
    <row r="233" spans="1:14" x14ac:dyDescent="0.2">
      <c r="A233" t="str">
        <v>d_232</v>
      </c>
      <c r="B233" s="2">
        <v>40803</v>
      </c>
      <c r="C233" s="4">
        <v>0</v>
      </c>
      <c r="D233" s="4">
        <v>3</v>
      </c>
      <c r="E233" s="4">
        <v>8</v>
      </c>
      <c r="F233">
        <f t="shared" si="27"/>
        <v>0</v>
      </c>
      <c r="G233">
        <f t="shared" si="28"/>
        <v>2</v>
      </c>
      <c r="H233" s="4">
        <f t="shared" si="29"/>
        <v>4</v>
      </c>
      <c r="I233" s="4">
        <f t="shared" si="30"/>
        <v>0</v>
      </c>
      <c r="J233" s="4">
        <f t="shared" si="31"/>
        <v>0.5</v>
      </c>
      <c r="K233" s="4">
        <f t="shared" si="32"/>
        <v>0.5</v>
      </c>
      <c r="L233" s="4">
        <f t="shared" si="33"/>
        <v>0</v>
      </c>
      <c r="M233" s="4">
        <f t="shared" si="34"/>
        <v>0.5</v>
      </c>
      <c r="N233" s="4">
        <f t="shared" si="35"/>
        <v>1</v>
      </c>
    </row>
    <row r="234" spans="1:14" x14ac:dyDescent="0.2">
      <c r="A234" t="str">
        <v>d_233</v>
      </c>
      <c r="B234" s="2">
        <v>40804</v>
      </c>
      <c r="C234" s="4">
        <v>0</v>
      </c>
      <c r="D234" s="4">
        <v>2</v>
      </c>
      <c r="E234" s="4">
        <v>0</v>
      </c>
      <c r="F234">
        <f t="shared" si="27"/>
        <v>0</v>
      </c>
      <c r="G234">
        <f t="shared" si="28"/>
        <v>1</v>
      </c>
      <c r="H234" s="4">
        <f t="shared" si="29"/>
        <v>0</v>
      </c>
      <c r="I234" s="4">
        <f t="shared" si="30"/>
        <v>0</v>
      </c>
      <c r="J234" s="4">
        <f t="shared" si="31"/>
        <v>1.5</v>
      </c>
      <c r="K234" s="4">
        <f t="shared" si="32"/>
        <v>4</v>
      </c>
      <c r="L234" s="4">
        <f t="shared" si="33"/>
        <v>0</v>
      </c>
      <c r="M234" s="4">
        <f t="shared" si="34"/>
        <v>2.5</v>
      </c>
      <c r="N234" s="4">
        <f t="shared" si="35"/>
        <v>4</v>
      </c>
    </row>
    <row r="235" spans="1:14" x14ac:dyDescent="0.2">
      <c r="A235" t="str">
        <v>d_234</v>
      </c>
      <c r="B235" s="2">
        <v>40805</v>
      </c>
      <c r="C235" s="4">
        <v>0</v>
      </c>
      <c r="D235" s="4">
        <v>0</v>
      </c>
      <c r="E235" s="4">
        <v>1</v>
      </c>
      <c r="F235">
        <f t="shared" si="27"/>
        <v>0</v>
      </c>
      <c r="G235">
        <f t="shared" si="28"/>
        <v>0</v>
      </c>
      <c r="H235" s="4">
        <f t="shared" si="29"/>
        <v>0.5</v>
      </c>
      <c r="I235" s="4">
        <f t="shared" si="30"/>
        <v>0</v>
      </c>
      <c r="J235" s="4">
        <f t="shared" si="31"/>
        <v>1.5</v>
      </c>
      <c r="K235" s="4">
        <f t="shared" si="32"/>
        <v>0</v>
      </c>
      <c r="L235" s="4">
        <f t="shared" si="33"/>
        <v>0</v>
      </c>
      <c r="M235" s="4">
        <f t="shared" si="34"/>
        <v>1.5</v>
      </c>
      <c r="N235" s="4">
        <f t="shared" si="35"/>
        <v>1</v>
      </c>
    </row>
    <row r="236" spans="1:14" x14ac:dyDescent="0.2">
      <c r="A236" t="str">
        <v>d_235</v>
      </c>
      <c r="B236" s="2">
        <v>40806</v>
      </c>
      <c r="C236" s="4">
        <v>0</v>
      </c>
      <c r="D236" s="4">
        <v>0</v>
      </c>
      <c r="E236" s="4">
        <v>0</v>
      </c>
      <c r="F236">
        <f t="shared" si="27"/>
        <v>0</v>
      </c>
      <c r="G236">
        <f t="shared" si="28"/>
        <v>0</v>
      </c>
      <c r="H236" s="4">
        <f t="shared" si="29"/>
        <v>0</v>
      </c>
      <c r="I236" s="4">
        <f t="shared" si="30"/>
        <v>0</v>
      </c>
      <c r="J236" s="4">
        <f t="shared" si="31"/>
        <v>0</v>
      </c>
      <c r="K236" s="4">
        <f t="shared" si="32"/>
        <v>1</v>
      </c>
      <c r="L236" s="4">
        <f t="shared" si="33"/>
        <v>0</v>
      </c>
      <c r="M236" s="4">
        <f t="shared" si="34"/>
        <v>0.5</v>
      </c>
      <c r="N236" s="4">
        <f t="shared" si="35"/>
        <v>1</v>
      </c>
    </row>
    <row r="237" spans="1:14" x14ac:dyDescent="0.2">
      <c r="A237" t="str">
        <v>d_236</v>
      </c>
      <c r="B237" s="2">
        <v>40807</v>
      </c>
      <c r="C237" s="4">
        <v>0</v>
      </c>
      <c r="D237" s="4">
        <v>0</v>
      </c>
      <c r="E237" s="4">
        <v>0</v>
      </c>
      <c r="F237">
        <f t="shared" si="27"/>
        <v>0</v>
      </c>
      <c r="G237">
        <f t="shared" si="28"/>
        <v>0</v>
      </c>
      <c r="H237" s="4">
        <f t="shared" si="29"/>
        <v>0.5</v>
      </c>
      <c r="I237" s="4">
        <f t="shared" si="30"/>
        <v>0</v>
      </c>
      <c r="J237" s="4">
        <f t="shared" si="31"/>
        <v>0</v>
      </c>
      <c r="K237" s="4">
        <f t="shared" si="32"/>
        <v>1</v>
      </c>
      <c r="L237" s="4">
        <f t="shared" si="33"/>
        <v>0</v>
      </c>
      <c r="M237" s="4">
        <f t="shared" si="34"/>
        <v>0</v>
      </c>
      <c r="N237" s="4">
        <f t="shared" si="35"/>
        <v>0</v>
      </c>
    </row>
    <row r="238" spans="1:14" x14ac:dyDescent="0.2">
      <c r="A238" t="str">
        <v>d_237</v>
      </c>
      <c r="B238" s="2">
        <v>40808</v>
      </c>
      <c r="C238" s="4">
        <v>0</v>
      </c>
      <c r="D238" s="4">
        <v>0</v>
      </c>
      <c r="E238" s="4">
        <v>1</v>
      </c>
      <c r="F238">
        <f t="shared" si="27"/>
        <v>0</v>
      </c>
      <c r="G238">
        <f t="shared" si="28"/>
        <v>0</v>
      </c>
      <c r="H238" s="4">
        <f t="shared" si="29"/>
        <v>0.5</v>
      </c>
      <c r="I238" s="4">
        <f t="shared" si="30"/>
        <v>0</v>
      </c>
      <c r="J238" s="4">
        <f t="shared" si="31"/>
        <v>0.5</v>
      </c>
      <c r="K238" s="4">
        <f t="shared" si="32"/>
        <v>0</v>
      </c>
      <c r="L238" s="4">
        <f t="shared" si="33"/>
        <v>0</v>
      </c>
      <c r="M238" s="4">
        <f t="shared" si="34"/>
        <v>0.5</v>
      </c>
      <c r="N238" s="4">
        <f t="shared" si="35"/>
        <v>2</v>
      </c>
    </row>
    <row r="239" spans="1:14" x14ac:dyDescent="0.2">
      <c r="A239" t="str">
        <v>d_238</v>
      </c>
      <c r="B239" s="2">
        <v>40809</v>
      </c>
      <c r="C239" s="4">
        <v>0</v>
      </c>
      <c r="D239" s="4">
        <v>0</v>
      </c>
      <c r="E239" s="4">
        <v>0</v>
      </c>
      <c r="F239">
        <f t="shared" si="27"/>
        <v>0</v>
      </c>
      <c r="G239">
        <f t="shared" si="28"/>
        <v>1.5</v>
      </c>
      <c r="H239" s="4">
        <f t="shared" si="29"/>
        <v>4</v>
      </c>
      <c r="I239" s="4">
        <f t="shared" si="30"/>
        <v>0</v>
      </c>
      <c r="J239" s="4">
        <f t="shared" si="31"/>
        <v>0</v>
      </c>
      <c r="K239" s="4">
        <f t="shared" si="32"/>
        <v>0.5</v>
      </c>
      <c r="L239" s="4">
        <f t="shared" si="33"/>
        <v>0</v>
      </c>
      <c r="M239" s="4">
        <f t="shared" si="34"/>
        <v>0</v>
      </c>
      <c r="N239" s="4">
        <f t="shared" si="35"/>
        <v>1.5</v>
      </c>
    </row>
    <row r="240" spans="1:14" x14ac:dyDescent="0.2">
      <c r="A240" t="str">
        <v>d_239</v>
      </c>
      <c r="B240" s="2">
        <v>40810</v>
      </c>
      <c r="C240" s="4">
        <v>0</v>
      </c>
      <c r="D240" s="4">
        <v>0</v>
      </c>
      <c r="E240" s="4">
        <v>2</v>
      </c>
      <c r="F240">
        <f t="shared" si="27"/>
        <v>0</v>
      </c>
      <c r="G240">
        <f t="shared" si="28"/>
        <v>1</v>
      </c>
      <c r="H240" s="4">
        <f t="shared" si="29"/>
        <v>1</v>
      </c>
      <c r="I240" s="4">
        <f t="shared" si="30"/>
        <v>0</v>
      </c>
      <c r="J240" s="4">
        <f t="shared" si="31"/>
        <v>0.5</v>
      </c>
      <c r="K240" s="4">
        <f t="shared" si="32"/>
        <v>0</v>
      </c>
      <c r="L240" s="4">
        <f t="shared" si="33"/>
        <v>0</v>
      </c>
      <c r="M240" s="4">
        <f t="shared" si="34"/>
        <v>0</v>
      </c>
      <c r="N240" s="4">
        <f t="shared" si="35"/>
        <v>1</v>
      </c>
    </row>
    <row r="241" spans="1:14" x14ac:dyDescent="0.2">
      <c r="A241" t="str">
        <v>d_240</v>
      </c>
      <c r="B241" s="2">
        <v>40811</v>
      </c>
      <c r="C241" s="4">
        <v>0</v>
      </c>
      <c r="D241" s="4">
        <v>0</v>
      </c>
      <c r="E241" s="4">
        <v>1</v>
      </c>
      <c r="F241">
        <f t="shared" si="27"/>
        <v>0</v>
      </c>
      <c r="G241">
        <f t="shared" si="28"/>
        <v>0</v>
      </c>
      <c r="H241" s="4">
        <f t="shared" si="29"/>
        <v>1</v>
      </c>
      <c r="I241" s="4">
        <f t="shared" si="30"/>
        <v>0</v>
      </c>
      <c r="J241" s="4">
        <f t="shared" si="31"/>
        <v>0.5</v>
      </c>
      <c r="K241" s="4">
        <f t="shared" si="32"/>
        <v>1</v>
      </c>
      <c r="L241" s="4">
        <f t="shared" si="33"/>
        <v>0</v>
      </c>
      <c r="M241" s="4">
        <f t="shared" si="34"/>
        <v>0.5</v>
      </c>
      <c r="N241" s="4">
        <f t="shared" si="35"/>
        <v>1</v>
      </c>
    </row>
    <row r="242" spans="1:14" x14ac:dyDescent="0.2">
      <c r="A242" t="str">
        <v>d_241</v>
      </c>
      <c r="B242" s="2">
        <v>40812</v>
      </c>
      <c r="C242" s="4">
        <v>0</v>
      </c>
      <c r="D242" s="4">
        <v>1</v>
      </c>
      <c r="E242" s="4">
        <v>0</v>
      </c>
      <c r="F242">
        <f t="shared" si="27"/>
        <v>0</v>
      </c>
      <c r="G242">
        <f t="shared" si="28"/>
        <v>0.5</v>
      </c>
      <c r="H242" s="4">
        <f t="shared" si="29"/>
        <v>0</v>
      </c>
      <c r="I242" s="4">
        <f t="shared" si="30"/>
        <v>0</v>
      </c>
      <c r="J242" s="4">
        <f t="shared" si="31"/>
        <v>0</v>
      </c>
      <c r="K242" s="4">
        <f t="shared" si="32"/>
        <v>0.5</v>
      </c>
      <c r="L242" s="4">
        <f t="shared" si="33"/>
        <v>0</v>
      </c>
      <c r="M242" s="4">
        <f t="shared" si="34"/>
        <v>1</v>
      </c>
      <c r="N242" s="4">
        <f t="shared" si="35"/>
        <v>0.5</v>
      </c>
    </row>
    <row r="243" spans="1:14" x14ac:dyDescent="0.2">
      <c r="A243" t="str">
        <v>d_242</v>
      </c>
      <c r="B243" s="2">
        <v>40813</v>
      </c>
      <c r="C243" s="4">
        <v>0</v>
      </c>
      <c r="D243" s="4">
        <v>3</v>
      </c>
      <c r="E243" s="4">
        <v>0</v>
      </c>
      <c r="F243">
        <f t="shared" si="27"/>
        <v>0</v>
      </c>
      <c r="G243">
        <f t="shared" si="28"/>
        <v>1.5</v>
      </c>
      <c r="H243" s="4">
        <f t="shared" si="29"/>
        <v>0</v>
      </c>
      <c r="I243" s="4">
        <f t="shared" si="30"/>
        <v>0</v>
      </c>
      <c r="J243" s="4">
        <f t="shared" si="31"/>
        <v>0.5</v>
      </c>
      <c r="K243" s="4">
        <f t="shared" si="32"/>
        <v>0</v>
      </c>
      <c r="L243" s="4">
        <f t="shared" si="33"/>
        <v>0</v>
      </c>
      <c r="M243" s="4">
        <f t="shared" si="34"/>
        <v>1</v>
      </c>
      <c r="N243" s="4">
        <f t="shared" si="35"/>
        <v>0</v>
      </c>
    </row>
    <row r="244" spans="1:14" x14ac:dyDescent="0.2">
      <c r="A244" t="str">
        <v>d_243</v>
      </c>
      <c r="B244" s="2">
        <v>40814</v>
      </c>
      <c r="C244" s="4">
        <v>0</v>
      </c>
      <c r="D244" s="4">
        <v>2</v>
      </c>
      <c r="E244" s="4">
        <v>0</v>
      </c>
      <c r="F244">
        <f t="shared" si="27"/>
        <v>0</v>
      </c>
      <c r="G244">
        <f t="shared" si="28"/>
        <v>1</v>
      </c>
      <c r="H244" s="4">
        <f t="shared" si="29"/>
        <v>0.5</v>
      </c>
      <c r="I244" s="4">
        <f t="shared" si="30"/>
        <v>0</v>
      </c>
      <c r="J244" s="4">
        <f t="shared" si="31"/>
        <v>1.5</v>
      </c>
      <c r="K244" s="4">
        <f t="shared" si="32"/>
        <v>0</v>
      </c>
      <c r="L244" s="4">
        <f t="shared" si="33"/>
        <v>0</v>
      </c>
      <c r="M244" s="4">
        <f t="shared" si="34"/>
        <v>3</v>
      </c>
      <c r="N244" s="4">
        <f t="shared" si="35"/>
        <v>0.5</v>
      </c>
    </row>
    <row r="245" spans="1:14" x14ac:dyDescent="0.2">
      <c r="A245" t="str">
        <v>d_244</v>
      </c>
      <c r="B245" s="2">
        <v>40815</v>
      </c>
      <c r="C245" s="4">
        <v>0</v>
      </c>
      <c r="D245" s="4">
        <v>0</v>
      </c>
      <c r="E245" s="4">
        <v>0</v>
      </c>
      <c r="F245">
        <f t="shared" si="27"/>
        <v>0</v>
      </c>
      <c r="G245">
        <f t="shared" si="28"/>
        <v>0</v>
      </c>
      <c r="H245" s="4">
        <f t="shared" si="29"/>
        <v>0</v>
      </c>
      <c r="I245" s="4">
        <f t="shared" si="30"/>
        <v>0</v>
      </c>
      <c r="J245" s="4">
        <f t="shared" si="31"/>
        <v>1</v>
      </c>
      <c r="K245" s="4">
        <f t="shared" si="32"/>
        <v>0.5</v>
      </c>
      <c r="L245" s="4">
        <f t="shared" si="33"/>
        <v>0</v>
      </c>
      <c r="M245" s="4">
        <f t="shared" si="34"/>
        <v>2</v>
      </c>
      <c r="N245" s="4">
        <f t="shared" si="35"/>
        <v>0.5</v>
      </c>
    </row>
    <row r="246" spans="1:14" x14ac:dyDescent="0.2">
      <c r="A246" t="str">
        <v>d_245</v>
      </c>
      <c r="B246" s="2">
        <v>40816</v>
      </c>
      <c r="C246" s="4">
        <v>0</v>
      </c>
      <c r="D246" s="4">
        <v>0</v>
      </c>
      <c r="E246" s="4">
        <v>1</v>
      </c>
      <c r="F246">
        <f t="shared" si="27"/>
        <v>0</v>
      </c>
      <c r="G246">
        <f t="shared" si="28"/>
        <v>0</v>
      </c>
      <c r="H246" s="4">
        <f t="shared" si="29"/>
        <v>1.5</v>
      </c>
      <c r="I246" s="4">
        <f t="shared" si="30"/>
        <v>0</v>
      </c>
      <c r="J246" s="4">
        <f t="shared" si="31"/>
        <v>0</v>
      </c>
      <c r="K246" s="4">
        <f t="shared" si="32"/>
        <v>0</v>
      </c>
      <c r="L246" s="4">
        <f t="shared" si="33"/>
        <v>0</v>
      </c>
      <c r="M246" s="4">
        <f t="shared" si="34"/>
        <v>0.5</v>
      </c>
      <c r="N246" s="4">
        <f t="shared" si="35"/>
        <v>1</v>
      </c>
    </row>
    <row r="247" spans="1:14" x14ac:dyDescent="0.2">
      <c r="A247" t="str">
        <v>d_246</v>
      </c>
      <c r="B247" s="2">
        <v>40817</v>
      </c>
      <c r="C247" s="4">
        <v>0</v>
      </c>
      <c r="D247" s="4">
        <v>3</v>
      </c>
      <c r="E247" s="4">
        <v>0</v>
      </c>
      <c r="F247">
        <f t="shared" si="27"/>
        <v>0</v>
      </c>
      <c r="G247">
        <f t="shared" si="28"/>
        <v>1.5</v>
      </c>
      <c r="H247" s="4">
        <f t="shared" si="29"/>
        <v>0.5</v>
      </c>
      <c r="I247" s="4">
        <f t="shared" si="30"/>
        <v>0</v>
      </c>
      <c r="J247" s="4">
        <f t="shared" si="31"/>
        <v>1.5</v>
      </c>
      <c r="K247" s="4">
        <f t="shared" si="32"/>
        <v>4.5</v>
      </c>
      <c r="L247" s="4">
        <f t="shared" si="33"/>
        <v>0</v>
      </c>
      <c r="M247" s="4">
        <f t="shared" si="34"/>
        <v>0.5</v>
      </c>
      <c r="N247" s="4">
        <f t="shared" si="35"/>
        <v>1</v>
      </c>
    </row>
    <row r="248" spans="1:14" x14ac:dyDescent="0.2">
      <c r="A248" t="str">
        <v>d_247</v>
      </c>
      <c r="B248" s="2">
        <v>40818</v>
      </c>
      <c r="C248" s="4">
        <v>0</v>
      </c>
      <c r="D248" s="4">
        <v>0</v>
      </c>
      <c r="E248" s="4">
        <v>0</v>
      </c>
      <c r="F248">
        <f t="shared" si="27"/>
        <v>0</v>
      </c>
      <c r="G248">
        <f t="shared" si="28"/>
        <v>0.5</v>
      </c>
      <c r="H248" s="4">
        <f t="shared" si="29"/>
        <v>0</v>
      </c>
      <c r="I248" s="4">
        <f t="shared" si="30"/>
        <v>0</v>
      </c>
      <c r="J248" s="4">
        <f t="shared" si="31"/>
        <v>2.5</v>
      </c>
      <c r="K248" s="4">
        <f t="shared" si="32"/>
        <v>0</v>
      </c>
      <c r="L248" s="4">
        <f t="shared" si="33"/>
        <v>0</v>
      </c>
      <c r="M248" s="4">
        <f t="shared" si="34"/>
        <v>1.5</v>
      </c>
      <c r="N248" s="4">
        <f t="shared" si="35"/>
        <v>0</v>
      </c>
    </row>
    <row r="249" spans="1:14" x14ac:dyDescent="0.2">
      <c r="A249" t="str">
        <v>d_248</v>
      </c>
      <c r="B249" s="2">
        <v>40819</v>
      </c>
      <c r="C249" s="4">
        <v>0</v>
      </c>
      <c r="D249" s="4">
        <v>1</v>
      </c>
      <c r="E249" s="4">
        <v>1</v>
      </c>
      <c r="F249">
        <f t="shared" si="27"/>
        <v>0</v>
      </c>
      <c r="G249">
        <f t="shared" si="28"/>
        <v>2</v>
      </c>
      <c r="H249" s="4">
        <f t="shared" si="29"/>
        <v>0.5</v>
      </c>
      <c r="I249" s="4">
        <f t="shared" si="30"/>
        <v>0</v>
      </c>
      <c r="J249" s="4">
        <f t="shared" si="31"/>
        <v>0</v>
      </c>
      <c r="K249" s="4">
        <f t="shared" si="32"/>
        <v>0.5</v>
      </c>
      <c r="L249" s="4">
        <f t="shared" si="33"/>
        <v>0</v>
      </c>
      <c r="M249" s="4">
        <f t="shared" si="34"/>
        <v>0.5</v>
      </c>
      <c r="N249" s="4">
        <f t="shared" si="35"/>
        <v>0</v>
      </c>
    </row>
    <row r="250" spans="1:14" x14ac:dyDescent="0.2">
      <c r="A250" t="str">
        <v>d_249</v>
      </c>
      <c r="B250" s="2">
        <v>40820</v>
      </c>
      <c r="C250" s="4">
        <v>0</v>
      </c>
      <c r="D250" s="4">
        <v>0</v>
      </c>
      <c r="E250" s="4">
        <v>2</v>
      </c>
      <c r="F250">
        <f t="shared" si="27"/>
        <v>0</v>
      </c>
      <c r="G250">
        <f t="shared" si="28"/>
        <v>1</v>
      </c>
      <c r="H250" s="4">
        <f t="shared" si="29"/>
        <v>1</v>
      </c>
      <c r="I250" s="4">
        <f t="shared" si="30"/>
        <v>0</v>
      </c>
      <c r="J250" s="4">
        <f t="shared" si="31"/>
        <v>0.5</v>
      </c>
      <c r="K250" s="4">
        <f t="shared" si="32"/>
        <v>0.5</v>
      </c>
      <c r="L250" s="4">
        <f t="shared" si="33"/>
        <v>0</v>
      </c>
      <c r="M250" s="4">
        <f t="shared" si="34"/>
        <v>0.5</v>
      </c>
      <c r="N250" s="4">
        <f t="shared" si="35"/>
        <v>1</v>
      </c>
    </row>
    <row r="251" spans="1:14" x14ac:dyDescent="0.2">
      <c r="A251" t="str">
        <v>d_250</v>
      </c>
      <c r="B251" s="2">
        <v>40821</v>
      </c>
      <c r="C251" s="4">
        <v>0</v>
      </c>
      <c r="D251" s="4">
        <v>0</v>
      </c>
      <c r="E251" s="4">
        <v>0</v>
      </c>
      <c r="F251">
        <f t="shared" si="27"/>
        <v>0</v>
      </c>
      <c r="G251">
        <f t="shared" si="28"/>
        <v>0</v>
      </c>
      <c r="H251" s="4">
        <f t="shared" si="29"/>
        <v>0</v>
      </c>
      <c r="I251" s="4">
        <f t="shared" si="30"/>
        <v>0</v>
      </c>
      <c r="J251" s="4">
        <f t="shared" si="31"/>
        <v>0</v>
      </c>
      <c r="K251" s="4">
        <f t="shared" si="32"/>
        <v>1</v>
      </c>
      <c r="L251" s="4">
        <f t="shared" si="33"/>
        <v>0</v>
      </c>
      <c r="M251" s="4">
        <f t="shared" si="34"/>
        <v>0</v>
      </c>
      <c r="N251" s="4">
        <f t="shared" si="35"/>
        <v>2</v>
      </c>
    </row>
    <row r="252" spans="1:14" x14ac:dyDescent="0.2">
      <c r="A252" t="str">
        <v>d_251</v>
      </c>
      <c r="B252" s="2">
        <v>40822</v>
      </c>
      <c r="C252" s="4">
        <v>0</v>
      </c>
      <c r="D252" s="4">
        <v>0</v>
      </c>
      <c r="E252" s="4">
        <v>2</v>
      </c>
      <c r="F252">
        <f t="shared" si="27"/>
        <v>0</v>
      </c>
      <c r="G252">
        <f t="shared" si="28"/>
        <v>0</v>
      </c>
      <c r="H252" s="4">
        <f t="shared" si="29"/>
        <v>1.5</v>
      </c>
      <c r="I252" s="4">
        <f t="shared" si="30"/>
        <v>0</v>
      </c>
      <c r="J252" s="4">
        <f t="shared" si="31"/>
        <v>0</v>
      </c>
      <c r="K252" s="4">
        <f t="shared" si="32"/>
        <v>0.5</v>
      </c>
      <c r="L252" s="4">
        <f t="shared" si="33"/>
        <v>0</v>
      </c>
      <c r="M252" s="4">
        <f t="shared" si="34"/>
        <v>0.5</v>
      </c>
      <c r="N252" s="4">
        <f t="shared" si="35"/>
        <v>0</v>
      </c>
    </row>
    <row r="253" spans="1:14" x14ac:dyDescent="0.2">
      <c r="A253" t="str">
        <v>d_252</v>
      </c>
      <c r="B253" s="2">
        <v>40823</v>
      </c>
      <c r="C253" s="4">
        <v>0</v>
      </c>
      <c r="D253" s="4">
        <v>0</v>
      </c>
      <c r="E253" s="4">
        <v>1</v>
      </c>
      <c r="F253">
        <f t="shared" si="27"/>
        <v>0</v>
      </c>
      <c r="G253">
        <f t="shared" si="28"/>
        <v>1.5</v>
      </c>
      <c r="H253" s="4">
        <f t="shared" si="29"/>
        <v>0.5</v>
      </c>
      <c r="I253" s="4">
        <f t="shared" si="30"/>
        <v>0</v>
      </c>
      <c r="J253" s="4">
        <f t="shared" si="31"/>
        <v>0</v>
      </c>
      <c r="K253" s="4">
        <f t="shared" si="32"/>
        <v>1</v>
      </c>
      <c r="L253" s="4">
        <f t="shared" si="33"/>
        <v>0</v>
      </c>
      <c r="M253" s="4">
        <f t="shared" si="34"/>
        <v>0</v>
      </c>
      <c r="N253" s="4">
        <f t="shared" si="35"/>
        <v>1</v>
      </c>
    </row>
    <row r="254" spans="1:14" x14ac:dyDescent="0.2">
      <c r="A254" t="str">
        <v>d_253</v>
      </c>
      <c r="B254" s="2">
        <v>40824</v>
      </c>
      <c r="C254" s="4">
        <v>0</v>
      </c>
      <c r="D254" s="4">
        <v>1</v>
      </c>
      <c r="E254" s="4">
        <v>2</v>
      </c>
      <c r="F254">
        <f t="shared" si="27"/>
        <v>0</v>
      </c>
      <c r="G254">
        <f t="shared" si="28"/>
        <v>0.5</v>
      </c>
      <c r="H254" s="4">
        <f t="shared" si="29"/>
        <v>1</v>
      </c>
      <c r="I254" s="4">
        <f t="shared" si="30"/>
        <v>0</v>
      </c>
      <c r="J254" s="4">
        <f t="shared" si="31"/>
        <v>0</v>
      </c>
      <c r="K254" s="4">
        <f t="shared" si="32"/>
        <v>1.5</v>
      </c>
      <c r="L254" s="4">
        <f t="shared" si="33"/>
        <v>0</v>
      </c>
      <c r="M254" s="4">
        <f t="shared" si="34"/>
        <v>0.5</v>
      </c>
      <c r="N254" s="4">
        <f t="shared" si="35"/>
        <v>0.5</v>
      </c>
    </row>
    <row r="255" spans="1:14" x14ac:dyDescent="0.2">
      <c r="A255" t="str">
        <v>d_254</v>
      </c>
      <c r="B255" s="2">
        <v>40825</v>
      </c>
      <c r="C255" s="4">
        <v>0</v>
      </c>
      <c r="D255" s="4">
        <v>2</v>
      </c>
      <c r="E255" s="4">
        <v>1</v>
      </c>
      <c r="F255">
        <f t="shared" si="27"/>
        <v>0</v>
      </c>
      <c r="G255">
        <f t="shared" si="28"/>
        <v>1.5</v>
      </c>
      <c r="H255" s="4">
        <f t="shared" si="29"/>
        <v>1</v>
      </c>
      <c r="I255" s="4">
        <f t="shared" si="30"/>
        <v>0</v>
      </c>
      <c r="J255" s="4">
        <f t="shared" si="31"/>
        <v>0.5</v>
      </c>
      <c r="K255" s="4">
        <f t="shared" si="32"/>
        <v>1.5</v>
      </c>
      <c r="L255" s="4">
        <f t="shared" si="33"/>
        <v>0</v>
      </c>
      <c r="M255" s="4">
        <f t="shared" si="34"/>
        <v>1</v>
      </c>
      <c r="N255" s="4">
        <f t="shared" si="35"/>
        <v>1</v>
      </c>
    </row>
    <row r="256" spans="1:14" x14ac:dyDescent="0.2">
      <c r="A256" t="str">
        <v>d_255</v>
      </c>
      <c r="B256" s="2">
        <v>40826</v>
      </c>
      <c r="C256" s="4">
        <v>0</v>
      </c>
      <c r="D256" s="4">
        <v>1</v>
      </c>
      <c r="E256" s="4">
        <v>2</v>
      </c>
      <c r="F256">
        <f t="shared" si="27"/>
        <v>0</v>
      </c>
      <c r="G256">
        <f t="shared" si="28"/>
        <v>0.5</v>
      </c>
      <c r="H256" s="4">
        <f t="shared" si="29"/>
        <v>2</v>
      </c>
      <c r="I256" s="4">
        <f t="shared" si="30"/>
        <v>0</v>
      </c>
      <c r="J256" s="4">
        <f t="shared" si="31"/>
        <v>1.5</v>
      </c>
      <c r="K256" s="4">
        <f t="shared" si="32"/>
        <v>0.5</v>
      </c>
      <c r="L256" s="4">
        <f t="shared" si="33"/>
        <v>0</v>
      </c>
      <c r="M256" s="4">
        <f t="shared" si="34"/>
        <v>1</v>
      </c>
      <c r="N256" s="4">
        <f t="shared" si="35"/>
        <v>0.5</v>
      </c>
    </row>
    <row r="257" spans="1:14" x14ac:dyDescent="0.2">
      <c r="A257" t="str">
        <v>d_256</v>
      </c>
      <c r="B257" s="2">
        <v>40827</v>
      </c>
      <c r="C257" s="4">
        <v>0</v>
      </c>
      <c r="D257" s="4">
        <v>0</v>
      </c>
      <c r="E257" s="4">
        <v>2</v>
      </c>
      <c r="F257">
        <f t="shared" si="27"/>
        <v>0</v>
      </c>
      <c r="G257">
        <f t="shared" si="28"/>
        <v>0</v>
      </c>
      <c r="H257" s="4">
        <f t="shared" si="29"/>
        <v>1</v>
      </c>
      <c r="I257" s="4">
        <f t="shared" si="30"/>
        <v>0</v>
      </c>
      <c r="J257" s="4">
        <f t="shared" si="31"/>
        <v>2</v>
      </c>
      <c r="K257" s="4">
        <f t="shared" si="32"/>
        <v>1</v>
      </c>
      <c r="L257" s="4">
        <f t="shared" si="33"/>
        <v>0</v>
      </c>
      <c r="M257" s="4">
        <f t="shared" si="34"/>
        <v>0.5</v>
      </c>
      <c r="N257" s="4">
        <f t="shared" si="35"/>
        <v>1</v>
      </c>
    </row>
    <row r="258" spans="1:14" x14ac:dyDescent="0.2">
      <c r="A258" t="str">
        <v>d_257</v>
      </c>
      <c r="B258" s="2">
        <v>40828</v>
      </c>
      <c r="C258" s="4">
        <v>0</v>
      </c>
      <c r="D258" s="4">
        <v>0</v>
      </c>
      <c r="E258" s="4">
        <v>0</v>
      </c>
      <c r="F258">
        <f t="shared" si="27"/>
        <v>0</v>
      </c>
      <c r="G258">
        <f t="shared" si="28"/>
        <v>0</v>
      </c>
      <c r="H258" s="4">
        <f t="shared" si="29"/>
        <v>1</v>
      </c>
      <c r="I258" s="4">
        <f t="shared" si="30"/>
        <v>0</v>
      </c>
      <c r="J258" s="4">
        <f t="shared" si="31"/>
        <v>1</v>
      </c>
      <c r="K258" s="4">
        <f t="shared" si="32"/>
        <v>1</v>
      </c>
      <c r="L258" s="4">
        <f t="shared" si="33"/>
        <v>0</v>
      </c>
      <c r="M258" s="4">
        <f t="shared" si="34"/>
        <v>0</v>
      </c>
      <c r="N258" s="4">
        <f t="shared" si="35"/>
        <v>1</v>
      </c>
    </row>
    <row r="259" spans="1:14" x14ac:dyDescent="0.2">
      <c r="A259" t="str">
        <v>d_258</v>
      </c>
      <c r="B259" s="2">
        <v>40829</v>
      </c>
      <c r="C259" s="4">
        <v>0</v>
      </c>
      <c r="D259" s="4">
        <v>0</v>
      </c>
      <c r="E259" s="4">
        <v>0</v>
      </c>
      <c r="F259">
        <f t="shared" si="27"/>
        <v>0</v>
      </c>
      <c r="G259">
        <f t="shared" si="28"/>
        <v>0</v>
      </c>
      <c r="H259" s="4">
        <f t="shared" si="29"/>
        <v>0.5</v>
      </c>
      <c r="I259" s="4">
        <f t="shared" si="30"/>
        <v>0</v>
      </c>
      <c r="J259" s="4">
        <f t="shared" si="31"/>
        <v>0</v>
      </c>
      <c r="K259" s="4">
        <f t="shared" si="32"/>
        <v>0</v>
      </c>
      <c r="L259" s="4">
        <f t="shared" si="33"/>
        <v>0</v>
      </c>
      <c r="M259" s="4">
        <f t="shared" si="34"/>
        <v>0</v>
      </c>
      <c r="N259" s="4">
        <f t="shared" si="35"/>
        <v>0.5</v>
      </c>
    </row>
    <row r="260" spans="1:14" x14ac:dyDescent="0.2">
      <c r="A260" t="str">
        <v>d_259</v>
      </c>
      <c r="B260" s="2">
        <v>40830</v>
      </c>
      <c r="C260" s="4">
        <v>0</v>
      </c>
      <c r="D260" s="4">
        <v>2</v>
      </c>
      <c r="E260" s="4">
        <v>0</v>
      </c>
      <c r="F260">
        <f t="shared" si="27"/>
        <v>0</v>
      </c>
      <c r="G260">
        <f t="shared" si="28"/>
        <v>1.5</v>
      </c>
      <c r="H260" s="4">
        <f t="shared" si="29"/>
        <v>1</v>
      </c>
      <c r="I260" s="4">
        <f t="shared" si="30"/>
        <v>0</v>
      </c>
      <c r="J260" s="4">
        <f t="shared" si="31"/>
        <v>0</v>
      </c>
      <c r="K260" s="4">
        <f t="shared" si="32"/>
        <v>0.5</v>
      </c>
      <c r="L260" s="4">
        <f t="shared" si="33"/>
        <v>0</v>
      </c>
      <c r="M260" s="4">
        <f t="shared" si="34"/>
        <v>0</v>
      </c>
      <c r="N260" s="4">
        <f t="shared" si="35"/>
        <v>0</v>
      </c>
    </row>
    <row r="261" spans="1:14" x14ac:dyDescent="0.2">
      <c r="A261" t="str">
        <v>d_260</v>
      </c>
      <c r="B261" s="2">
        <v>40831</v>
      </c>
      <c r="C261" s="4">
        <v>0</v>
      </c>
      <c r="D261" s="4">
        <v>1</v>
      </c>
      <c r="E261" s="4">
        <v>1</v>
      </c>
      <c r="F261">
        <f t="shared" si="27"/>
        <v>0</v>
      </c>
      <c r="G261">
        <f t="shared" si="28"/>
        <v>1.5</v>
      </c>
      <c r="H261" s="4">
        <f t="shared" si="29"/>
        <v>1</v>
      </c>
      <c r="I261" s="4">
        <f t="shared" si="30"/>
        <v>0</v>
      </c>
      <c r="J261" s="4">
        <f t="shared" si="31"/>
        <v>2.5</v>
      </c>
      <c r="K261" s="4">
        <f t="shared" si="32"/>
        <v>0</v>
      </c>
      <c r="L261" s="4">
        <f t="shared" si="33"/>
        <v>0</v>
      </c>
      <c r="M261" s="4">
        <f t="shared" si="34"/>
        <v>2.5</v>
      </c>
      <c r="N261" s="4">
        <f t="shared" si="35"/>
        <v>4</v>
      </c>
    </row>
    <row r="262" spans="1:14" x14ac:dyDescent="0.2">
      <c r="A262" t="str">
        <v>d_261</v>
      </c>
      <c r="B262" s="2">
        <v>40832</v>
      </c>
      <c r="C262" s="4">
        <v>0</v>
      </c>
      <c r="D262" s="4">
        <v>3</v>
      </c>
      <c r="E262" s="4">
        <v>0</v>
      </c>
      <c r="F262">
        <f t="shared" si="27"/>
        <v>0</v>
      </c>
      <c r="G262">
        <f t="shared" si="28"/>
        <v>2</v>
      </c>
      <c r="H262" s="4">
        <f t="shared" si="29"/>
        <v>1</v>
      </c>
      <c r="I262" s="4">
        <f t="shared" si="30"/>
        <v>0</v>
      </c>
      <c r="J262" s="4">
        <f t="shared" si="31"/>
        <v>0.5</v>
      </c>
      <c r="K262" s="4">
        <f t="shared" si="32"/>
        <v>0.5</v>
      </c>
      <c r="L262" s="4">
        <f t="shared" si="33"/>
        <v>0</v>
      </c>
      <c r="M262" s="4">
        <f t="shared" si="34"/>
        <v>1.5</v>
      </c>
      <c r="N262" s="4">
        <f t="shared" si="35"/>
        <v>0.5</v>
      </c>
    </row>
    <row r="263" spans="1:14" x14ac:dyDescent="0.2">
      <c r="A263" t="str">
        <v>d_262</v>
      </c>
      <c r="B263" s="2">
        <v>40833</v>
      </c>
      <c r="C263" s="4">
        <v>0</v>
      </c>
      <c r="D263" s="4">
        <v>1</v>
      </c>
      <c r="E263" s="4">
        <v>1</v>
      </c>
      <c r="F263">
        <f t="shared" si="27"/>
        <v>0</v>
      </c>
      <c r="G263">
        <f t="shared" si="28"/>
        <v>0.5</v>
      </c>
      <c r="H263" s="4">
        <f t="shared" si="29"/>
        <v>1.5</v>
      </c>
      <c r="I263" s="4">
        <f t="shared" si="30"/>
        <v>0</v>
      </c>
      <c r="J263" s="4">
        <f t="shared" si="31"/>
        <v>2</v>
      </c>
      <c r="K263" s="4">
        <f t="shared" si="32"/>
        <v>0.5</v>
      </c>
      <c r="L263" s="4">
        <f t="shared" si="33"/>
        <v>0</v>
      </c>
      <c r="M263" s="4">
        <f t="shared" si="34"/>
        <v>1.5</v>
      </c>
      <c r="N263" s="4">
        <f t="shared" si="35"/>
        <v>0.5</v>
      </c>
    </row>
    <row r="264" spans="1:14" x14ac:dyDescent="0.2">
      <c r="A264" t="str">
        <v>d_263</v>
      </c>
      <c r="B264" s="2">
        <v>40834</v>
      </c>
      <c r="C264" s="4">
        <v>0</v>
      </c>
      <c r="D264" s="4">
        <v>0</v>
      </c>
      <c r="E264" s="4">
        <v>2</v>
      </c>
      <c r="F264">
        <f t="shared" si="27"/>
        <v>0</v>
      </c>
      <c r="G264">
        <f t="shared" si="28"/>
        <v>0</v>
      </c>
      <c r="H264" s="4">
        <f t="shared" si="29"/>
        <v>1</v>
      </c>
      <c r="I264" s="4">
        <f t="shared" si="30"/>
        <v>0</v>
      </c>
      <c r="J264" s="4">
        <f t="shared" si="31"/>
        <v>0.5</v>
      </c>
      <c r="K264" s="4">
        <f t="shared" si="32"/>
        <v>1.5</v>
      </c>
      <c r="L264" s="4">
        <f t="shared" si="33"/>
        <v>0</v>
      </c>
      <c r="M264" s="4">
        <f t="shared" si="34"/>
        <v>0.5</v>
      </c>
      <c r="N264" s="4">
        <f t="shared" si="35"/>
        <v>0.5</v>
      </c>
    </row>
    <row r="265" spans="1:14" x14ac:dyDescent="0.2">
      <c r="A265" t="str">
        <v>d_264</v>
      </c>
      <c r="B265" s="2">
        <v>40835</v>
      </c>
      <c r="C265" s="4">
        <v>0</v>
      </c>
      <c r="D265" s="4">
        <v>0</v>
      </c>
      <c r="E265" s="4">
        <v>0</v>
      </c>
      <c r="F265">
        <f t="shared" ref="F265:F328" si="36">AVERAGE(C259,C265)</f>
        <v>0</v>
      </c>
      <c r="G265">
        <f t="shared" ref="G265:G328" si="37">AVERAGE(D259,D265)</f>
        <v>0</v>
      </c>
      <c r="H265" s="4">
        <f t="shared" ref="H265:H328" si="38">AVERAGE(E259,E265)</f>
        <v>0</v>
      </c>
      <c r="I265" s="4">
        <f t="shared" si="30"/>
        <v>0</v>
      </c>
      <c r="J265" s="4">
        <f t="shared" si="31"/>
        <v>0</v>
      </c>
      <c r="K265" s="4">
        <f t="shared" si="32"/>
        <v>1</v>
      </c>
      <c r="L265" s="4">
        <f t="shared" si="33"/>
        <v>0</v>
      </c>
      <c r="M265" s="4">
        <f t="shared" si="34"/>
        <v>0</v>
      </c>
      <c r="N265" s="4">
        <f t="shared" si="35"/>
        <v>1</v>
      </c>
    </row>
    <row r="266" spans="1:14" x14ac:dyDescent="0.2">
      <c r="A266" t="str">
        <v>d_265</v>
      </c>
      <c r="B266" s="2">
        <v>40836</v>
      </c>
      <c r="C266" s="4">
        <v>0</v>
      </c>
      <c r="D266" s="4">
        <v>1</v>
      </c>
      <c r="E266" s="4">
        <v>1</v>
      </c>
      <c r="F266">
        <f t="shared" si="36"/>
        <v>0</v>
      </c>
      <c r="G266">
        <f t="shared" si="37"/>
        <v>1.5</v>
      </c>
      <c r="H266" s="4">
        <f t="shared" si="38"/>
        <v>0.5</v>
      </c>
      <c r="I266" s="4">
        <f t="shared" si="30"/>
        <v>0</v>
      </c>
      <c r="J266" s="4">
        <f t="shared" si="31"/>
        <v>0</v>
      </c>
      <c r="K266" s="4">
        <f t="shared" si="32"/>
        <v>1</v>
      </c>
      <c r="L266" s="4">
        <f t="shared" si="33"/>
        <v>0</v>
      </c>
      <c r="M266" s="4">
        <f t="shared" si="34"/>
        <v>0</v>
      </c>
      <c r="N266" s="4">
        <f t="shared" si="35"/>
        <v>0.5</v>
      </c>
    </row>
    <row r="267" spans="1:14" x14ac:dyDescent="0.2">
      <c r="A267" t="str">
        <v>d_266</v>
      </c>
      <c r="B267" s="2">
        <v>40837</v>
      </c>
      <c r="C267" s="4">
        <v>0</v>
      </c>
      <c r="D267" s="4">
        <v>0</v>
      </c>
      <c r="E267" s="4">
        <v>1</v>
      </c>
      <c r="F267">
        <f t="shared" si="36"/>
        <v>0</v>
      </c>
      <c r="G267">
        <f t="shared" si="37"/>
        <v>0.5</v>
      </c>
      <c r="H267" s="4">
        <f t="shared" si="38"/>
        <v>1</v>
      </c>
      <c r="I267" s="4">
        <f t="shared" si="30"/>
        <v>0</v>
      </c>
      <c r="J267" s="4">
        <f t="shared" si="31"/>
        <v>0.5</v>
      </c>
      <c r="K267" s="4">
        <f t="shared" si="32"/>
        <v>1</v>
      </c>
      <c r="L267" s="4">
        <f t="shared" si="33"/>
        <v>0</v>
      </c>
      <c r="M267" s="4">
        <f t="shared" si="34"/>
        <v>0.5</v>
      </c>
      <c r="N267" s="4">
        <f t="shared" si="35"/>
        <v>0.5</v>
      </c>
    </row>
    <row r="268" spans="1:14" x14ac:dyDescent="0.2">
      <c r="A268" t="str">
        <v>d_267</v>
      </c>
      <c r="B268" s="2">
        <v>40838</v>
      </c>
      <c r="C268" s="4">
        <v>0</v>
      </c>
      <c r="D268" s="4">
        <v>0</v>
      </c>
      <c r="E268" s="4">
        <v>0</v>
      </c>
      <c r="F268">
        <f t="shared" si="36"/>
        <v>0</v>
      </c>
      <c r="G268">
        <f t="shared" si="37"/>
        <v>1.5</v>
      </c>
      <c r="H268" s="4">
        <f t="shared" si="38"/>
        <v>0</v>
      </c>
      <c r="I268" s="4">
        <f t="shared" si="30"/>
        <v>0</v>
      </c>
      <c r="J268" s="4">
        <f t="shared" si="31"/>
        <v>0.5</v>
      </c>
      <c r="K268" s="4">
        <f t="shared" si="32"/>
        <v>1.5</v>
      </c>
      <c r="L268" s="4">
        <f t="shared" si="33"/>
        <v>0</v>
      </c>
      <c r="M268" s="4">
        <f t="shared" si="34"/>
        <v>0</v>
      </c>
      <c r="N268" s="4">
        <f t="shared" si="35"/>
        <v>1.5</v>
      </c>
    </row>
    <row r="269" spans="1:14" x14ac:dyDescent="0.2">
      <c r="A269" t="str">
        <v>d_268</v>
      </c>
      <c r="B269" s="2">
        <v>40839</v>
      </c>
      <c r="C269" s="4">
        <v>0</v>
      </c>
      <c r="D269" s="4">
        <v>0</v>
      </c>
      <c r="E269" s="4">
        <v>3</v>
      </c>
      <c r="F269">
        <f t="shared" si="36"/>
        <v>0</v>
      </c>
      <c r="G269">
        <f t="shared" si="37"/>
        <v>0.5</v>
      </c>
      <c r="H269" s="4">
        <f t="shared" si="38"/>
        <v>2</v>
      </c>
      <c r="I269" s="4">
        <f t="shared" si="30"/>
        <v>0</v>
      </c>
      <c r="J269" s="4">
        <f t="shared" si="31"/>
        <v>1</v>
      </c>
      <c r="K269" s="4">
        <f t="shared" si="32"/>
        <v>0.5</v>
      </c>
      <c r="L269" s="4">
        <f t="shared" si="33"/>
        <v>0</v>
      </c>
      <c r="M269" s="4">
        <f t="shared" si="34"/>
        <v>0</v>
      </c>
      <c r="N269" s="4">
        <f t="shared" si="35"/>
        <v>0.5</v>
      </c>
    </row>
    <row r="270" spans="1:14" x14ac:dyDescent="0.2">
      <c r="A270" t="str">
        <v>d_269</v>
      </c>
      <c r="B270" s="2">
        <v>40840</v>
      </c>
      <c r="C270" s="4">
        <v>0</v>
      </c>
      <c r="D270" s="4">
        <v>2</v>
      </c>
      <c r="E270" s="4">
        <v>0</v>
      </c>
      <c r="F270">
        <f t="shared" si="36"/>
        <v>0</v>
      </c>
      <c r="G270">
        <f t="shared" si="37"/>
        <v>1</v>
      </c>
      <c r="H270" s="4">
        <f t="shared" si="38"/>
        <v>1</v>
      </c>
      <c r="I270" s="4">
        <f t="shared" si="30"/>
        <v>0</v>
      </c>
      <c r="J270" s="4">
        <f t="shared" si="31"/>
        <v>0.5</v>
      </c>
      <c r="K270" s="4">
        <f t="shared" si="32"/>
        <v>2.5</v>
      </c>
      <c r="L270" s="4">
        <f t="shared" si="33"/>
        <v>0</v>
      </c>
      <c r="M270" s="4">
        <f t="shared" si="34"/>
        <v>0.5</v>
      </c>
      <c r="N270" s="4">
        <f t="shared" si="35"/>
        <v>1.5</v>
      </c>
    </row>
    <row r="271" spans="1:14" x14ac:dyDescent="0.2">
      <c r="A271" t="str">
        <v>d_270</v>
      </c>
      <c r="B271" s="2">
        <v>40841</v>
      </c>
      <c r="C271" s="4">
        <v>0</v>
      </c>
      <c r="D271" s="4">
        <v>0</v>
      </c>
      <c r="E271" s="4">
        <v>0</v>
      </c>
      <c r="F271">
        <f t="shared" si="36"/>
        <v>0</v>
      </c>
      <c r="G271">
        <f t="shared" si="37"/>
        <v>0</v>
      </c>
      <c r="H271" s="4">
        <f t="shared" si="38"/>
        <v>0</v>
      </c>
      <c r="I271" s="4">
        <f t="shared" si="30"/>
        <v>0</v>
      </c>
      <c r="J271" s="4">
        <f t="shared" si="31"/>
        <v>1</v>
      </c>
      <c r="K271" s="4">
        <f t="shared" si="32"/>
        <v>1</v>
      </c>
      <c r="L271" s="4">
        <f t="shared" si="33"/>
        <v>0</v>
      </c>
      <c r="M271" s="4">
        <f t="shared" si="34"/>
        <v>2.5</v>
      </c>
      <c r="N271" s="4">
        <f t="shared" si="35"/>
        <v>0</v>
      </c>
    </row>
    <row r="272" spans="1:14" x14ac:dyDescent="0.2">
      <c r="A272" t="str">
        <v>d_271</v>
      </c>
      <c r="B272" s="2">
        <v>40842</v>
      </c>
      <c r="C272" s="4">
        <v>0</v>
      </c>
      <c r="D272" s="4">
        <v>0</v>
      </c>
      <c r="E272" s="4">
        <v>4</v>
      </c>
      <c r="F272">
        <f t="shared" si="36"/>
        <v>0</v>
      </c>
      <c r="G272">
        <f t="shared" si="37"/>
        <v>0.5</v>
      </c>
      <c r="H272" s="4">
        <f t="shared" si="38"/>
        <v>2.5</v>
      </c>
      <c r="I272" s="4">
        <f t="shared" si="30"/>
        <v>0</v>
      </c>
      <c r="J272" s="4">
        <f t="shared" si="31"/>
        <v>0</v>
      </c>
      <c r="K272" s="4">
        <f t="shared" si="32"/>
        <v>0</v>
      </c>
      <c r="L272" s="4">
        <f t="shared" si="33"/>
        <v>0</v>
      </c>
      <c r="M272" s="4">
        <f t="shared" si="34"/>
        <v>1</v>
      </c>
      <c r="N272" s="4">
        <f t="shared" si="35"/>
        <v>0</v>
      </c>
    </row>
    <row r="273" spans="1:14" x14ac:dyDescent="0.2">
      <c r="A273" t="str">
        <v>d_272</v>
      </c>
      <c r="B273" s="2">
        <v>40843</v>
      </c>
      <c r="C273" s="4">
        <v>0</v>
      </c>
      <c r="D273" s="4">
        <v>0</v>
      </c>
      <c r="E273" s="4">
        <v>0</v>
      </c>
      <c r="F273">
        <f t="shared" si="36"/>
        <v>0</v>
      </c>
      <c r="G273">
        <f t="shared" si="37"/>
        <v>0</v>
      </c>
      <c r="H273" s="4">
        <f t="shared" si="38"/>
        <v>0.5</v>
      </c>
      <c r="I273" s="4">
        <f t="shared" ref="I273:I336" si="39">AVERAGE(C259,C272)</f>
        <v>0</v>
      </c>
      <c r="J273" s="4">
        <f t="shared" ref="J273:J336" si="40">AVERAGE(D259,D272)</f>
        <v>0</v>
      </c>
      <c r="K273" s="4">
        <f t="shared" ref="K273:K336" si="41">AVERAGE(E259,E272)</f>
        <v>2</v>
      </c>
      <c r="L273" s="4">
        <f t="shared" si="33"/>
        <v>0</v>
      </c>
      <c r="M273" s="4">
        <f t="shared" si="34"/>
        <v>0</v>
      </c>
      <c r="N273" s="4">
        <f t="shared" si="35"/>
        <v>2</v>
      </c>
    </row>
    <row r="274" spans="1:14" x14ac:dyDescent="0.2">
      <c r="A274" t="str">
        <v>d_273</v>
      </c>
      <c r="B274" s="2">
        <v>40844</v>
      </c>
      <c r="C274" s="4">
        <v>0</v>
      </c>
      <c r="D274" s="4">
        <v>2</v>
      </c>
      <c r="E274" s="4">
        <v>2</v>
      </c>
      <c r="F274">
        <f t="shared" si="36"/>
        <v>0</v>
      </c>
      <c r="G274">
        <f t="shared" si="37"/>
        <v>1</v>
      </c>
      <c r="H274" s="4">
        <f t="shared" si="38"/>
        <v>1</v>
      </c>
      <c r="I274" s="4">
        <f t="shared" si="39"/>
        <v>0</v>
      </c>
      <c r="J274" s="4">
        <f t="shared" si="40"/>
        <v>1</v>
      </c>
      <c r="K274" s="4">
        <f t="shared" si="41"/>
        <v>0</v>
      </c>
      <c r="L274" s="4">
        <f t="shared" si="33"/>
        <v>0</v>
      </c>
      <c r="M274" s="4">
        <f t="shared" si="34"/>
        <v>0</v>
      </c>
      <c r="N274" s="4">
        <f t="shared" si="35"/>
        <v>0.5</v>
      </c>
    </row>
    <row r="275" spans="1:14" x14ac:dyDescent="0.2">
      <c r="A275" t="str">
        <v>d_274</v>
      </c>
      <c r="B275" s="2">
        <v>40845</v>
      </c>
      <c r="C275" s="4">
        <v>0</v>
      </c>
      <c r="D275" s="4">
        <v>1</v>
      </c>
      <c r="E275" s="4">
        <v>3</v>
      </c>
      <c r="F275">
        <f t="shared" si="36"/>
        <v>0</v>
      </c>
      <c r="G275">
        <f t="shared" si="37"/>
        <v>0.5</v>
      </c>
      <c r="H275" s="4">
        <f t="shared" si="38"/>
        <v>3</v>
      </c>
      <c r="I275" s="4">
        <f t="shared" si="39"/>
        <v>0</v>
      </c>
      <c r="J275" s="4">
        <f t="shared" si="40"/>
        <v>1.5</v>
      </c>
      <c r="K275" s="4">
        <f t="shared" si="41"/>
        <v>1.5</v>
      </c>
      <c r="L275" s="4">
        <f t="shared" si="33"/>
        <v>0</v>
      </c>
      <c r="M275" s="4">
        <f t="shared" si="34"/>
        <v>2.5</v>
      </c>
      <c r="N275" s="4">
        <f t="shared" si="35"/>
        <v>1</v>
      </c>
    </row>
    <row r="276" spans="1:14" x14ac:dyDescent="0.2">
      <c r="A276" t="str">
        <v>d_275</v>
      </c>
      <c r="B276" s="2">
        <v>40846</v>
      </c>
      <c r="C276" s="4">
        <v>0</v>
      </c>
      <c r="D276" s="4">
        <v>2</v>
      </c>
      <c r="E276" s="4">
        <v>2</v>
      </c>
      <c r="F276">
        <f t="shared" si="36"/>
        <v>0</v>
      </c>
      <c r="G276">
        <f t="shared" si="37"/>
        <v>2</v>
      </c>
      <c r="H276" s="4">
        <f t="shared" si="38"/>
        <v>1</v>
      </c>
      <c r="I276" s="4">
        <f t="shared" si="39"/>
        <v>0</v>
      </c>
      <c r="J276" s="4">
        <f t="shared" si="40"/>
        <v>2</v>
      </c>
      <c r="K276" s="4">
        <f t="shared" si="41"/>
        <v>1.5</v>
      </c>
      <c r="L276" s="4">
        <f t="shared" si="33"/>
        <v>0</v>
      </c>
      <c r="M276" s="4">
        <f t="shared" si="34"/>
        <v>0.5</v>
      </c>
      <c r="N276" s="4">
        <f t="shared" si="35"/>
        <v>1.5</v>
      </c>
    </row>
    <row r="277" spans="1:14" x14ac:dyDescent="0.2">
      <c r="A277" t="str">
        <v>d_276</v>
      </c>
      <c r="B277" s="2">
        <v>40847</v>
      </c>
      <c r="C277" s="4">
        <v>0</v>
      </c>
      <c r="D277" s="4">
        <v>1</v>
      </c>
      <c r="E277" s="4">
        <v>0</v>
      </c>
      <c r="F277">
        <f t="shared" si="36"/>
        <v>0</v>
      </c>
      <c r="G277">
        <f t="shared" si="37"/>
        <v>0.5</v>
      </c>
      <c r="H277" s="4">
        <f t="shared" si="38"/>
        <v>0</v>
      </c>
      <c r="I277" s="4">
        <f t="shared" si="39"/>
        <v>0</v>
      </c>
      <c r="J277" s="4">
        <f t="shared" si="40"/>
        <v>1.5</v>
      </c>
      <c r="K277" s="4">
        <f t="shared" si="41"/>
        <v>1.5</v>
      </c>
      <c r="L277" s="4">
        <f t="shared" si="33"/>
        <v>0</v>
      </c>
      <c r="M277" s="4">
        <f t="shared" si="34"/>
        <v>1.5</v>
      </c>
      <c r="N277" s="4">
        <f t="shared" si="35"/>
        <v>1.5</v>
      </c>
    </row>
    <row r="278" spans="1:14" x14ac:dyDescent="0.2">
      <c r="A278" t="str">
        <v>d_277</v>
      </c>
      <c r="B278" s="2">
        <v>40848</v>
      </c>
      <c r="C278" s="4">
        <v>0</v>
      </c>
      <c r="D278" s="4">
        <v>0</v>
      </c>
      <c r="E278" s="4">
        <v>1</v>
      </c>
      <c r="F278">
        <f t="shared" si="36"/>
        <v>0</v>
      </c>
      <c r="G278">
        <f t="shared" si="37"/>
        <v>0</v>
      </c>
      <c r="H278" s="4">
        <f t="shared" si="38"/>
        <v>2.5</v>
      </c>
      <c r="I278" s="4">
        <f t="shared" si="39"/>
        <v>0</v>
      </c>
      <c r="J278" s="4">
        <f t="shared" si="40"/>
        <v>0.5</v>
      </c>
      <c r="K278" s="4">
        <f t="shared" si="41"/>
        <v>1</v>
      </c>
      <c r="L278" s="4">
        <f t="shared" si="33"/>
        <v>0</v>
      </c>
      <c r="M278" s="4">
        <f t="shared" si="34"/>
        <v>0.5</v>
      </c>
      <c r="N278" s="4">
        <f t="shared" si="35"/>
        <v>1</v>
      </c>
    </row>
    <row r="279" spans="1:14" x14ac:dyDescent="0.2">
      <c r="A279" t="str">
        <v>d_278</v>
      </c>
      <c r="B279" s="2">
        <v>40849</v>
      </c>
      <c r="C279" s="4">
        <v>3</v>
      </c>
      <c r="D279" s="4">
        <v>0</v>
      </c>
      <c r="E279" s="4">
        <v>1</v>
      </c>
      <c r="F279">
        <f t="shared" si="36"/>
        <v>1.5</v>
      </c>
      <c r="G279">
        <f t="shared" si="37"/>
        <v>0</v>
      </c>
      <c r="H279" s="4">
        <f t="shared" si="38"/>
        <v>0.5</v>
      </c>
      <c r="I279" s="4">
        <f t="shared" si="39"/>
        <v>0</v>
      </c>
      <c r="J279" s="4">
        <f t="shared" si="40"/>
        <v>0</v>
      </c>
      <c r="K279" s="4">
        <f t="shared" si="41"/>
        <v>0.5</v>
      </c>
      <c r="L279" s="4">
        <f t="shared" si="33"/>
        <v>0</v>
      </c>
      <c r="M279" s="4">
        <f t="shared" si="34"/>
        <v>0</v>
      </c>
      <c r="N279" s="4">
        <f t="shared" si="35"/>
        <v>0.5</v>
      </c>
    </row>
    <row r="280" spans="1:14" x14ac:dyDescent="0.2">
      <c r="A280" t="str">
        <v>d_279</v>
      </c>
      <c r="B280" s="2">
        <v>40850</v>
      </c>
      <c r="C280" s="4">
        <v>1</v>
      </c>
      <c r="D280" s="4">
        <v>0</v>
      </c>
      <c r="E280" s="4">
        <v>0</v>
      </c>
      <c r="F280">
        <f t="shared" si="36"/>
        <v>0.5</v>
      </c>
      <c r="G280">
        <f t="shared" si="37"/>
        <v>1</v>
      </c>
      <c r="H280" s="4">
        <f t="shared" si="38"/>
        <v>1</v>
      </c>
      <c r="I280" s="4">
        <f t="shared" si="39"/>
        <v>1.5</v>
      </c>
      <c r="J280" s="4">
        <f t="shared" si="40"/>
        <v>0.5</v>
      </c>
      <c r="K280" s="4">
        <f t="shared" si="41"/>
        <v>1</v>
      </c>
      <c r="L280" s="4">
        <f t="shared" si="33"/>
        <v>1.5</v>
      </c>
      <c r="M280" s="4">
        <f t="shared" si="34"/>
        <v>0</v>
      </c>
      <c r="N280" s="4">
        <f t="shared" si="35"/>
        <v>1.5</v>
      </c>
    </row>
    <row r="281" spans="1:14" x14ac:dyDescent="0.2">
      <c r="A281" t="str">
        <v>d_280</v>
      </c>
      <c r="B281" s="2">
        <v>40851</v>
      </c>
      <c r="C281" s="4">
        <v>4</v>
      </c>
      <c r="D281" s="4">
        <v>3</v>
      </c>
      <c r="E281" s="4">
        <v>2</v>
      </c>
      <c r="F281">
        <f t="shared" si="36"/>
        <v>2</v>
      </c>
      <c r="G281">
        <f t="shared" si="37"/>
        <v>2</v>
      </c>
      <c r="H281" s="4">
        <f t="shared" si="38"/>
        <v>2.5</v>
      </c>
      <c r="I281" s="4">
        <f t="shared" si="39"/>
        <v>0.5</v>
      </c>
      <c r="J281" s="4">
        <f t="shared" si="40"/>
        <v>0</v>
      </c>
      <c r="K281" s="4">
        <f t="shared" si="41"/>
        <v>0.5</v>
      </c>
      <c r="L281" s="4">
        <f t="shared" si="33"/>
        <v>0.5</v>
      </c>
      <c r="M281" s="4">
        <f t="shared" si="34"/>
        <v>0</v>
      </c>
      <c r="N281" s="4">
        <f t="shared" si="35"/>
        <v>0.5</v>
      </c>
    </row>
    <row r="282" spans="1:14" x14ac:dyDescent="0.2">
      <c r="A282" t="str">
        <v>d_281</v>
      </c>
      <c r="B282" s="2">
        <v>40852</v>
      </c>
      <c r="C282" s="4">
        <v>2</v>
      </c>
      <c r="D282" s="4">
        <v>1</v>
      </c>
      <c r="E282" s="4">
        <v>0</v>
      </c>
      <c r="F282">
        <f t="shared" si="36"/>
        <v>1</v>
      </c>
      <c r="G282">
        <f t="shared" si="37"/>
        <v>1.5</v>
      </c>
      <c r="H282" s="4">
        <f t="shared" si="38"/>
        <v>1</v>
      </c>
      <c r="I282" s="4">
        <f t="shared" si="39"/>
        <v>2</v>
      </c>
      <c r="J282" s="4">
        <f t="shared" si="40"/>
        <v>1.5</v>
      </c>
      <c r="K282" s="4">
        <f t="shared" si="41"/>
        <v>1</v>
      </c>
      <c r="L282" s="4">
        <f t="shared" si="33"/>
        <v>2</v>
      </c>
      <c r="M282" s="4">
        <f t="shared" si="34"/>
        <v>2</v>
      </c>
      <c r="N282" s="4">
        <f t="shared" si="35"/>
        <v>2</v>
      </c>
    </row>
    <row r="283" spans="1:14" x14ac:dyDescent="0.2">
      <c r="A283" t="str">
        <v>d_282</v>
      </c>
      <c r="B283" s="2">
        <v>40853</v>
      </c>
      <c r="C283" s="4">
        <v>1</v>
      </c>
      <c r="D283" s="4">
        <v>1</v>
      </c>
      <c r="E283" s="4">
        <v>0</v>
      </c>
      <c r="F283">
        <f t="shared" si="36"/>
        <v>0.5</v>
      </c>
      <c r="G283">
        <f t="shared" si="37"/>
        <v>1</v>
      </c>
      <c r="H283" s="4">
        <f t="shared" si="38"/>
        <v>0</v>
      </c>
      <c r="I283" s="4">
        <f t="shared" si="39"/>
        <v>1</v>
      </c>
      <c r="J283" s="4">
        <f t="shared" si="40"/>
        <v>0.5</v>
      </c>
      <c r="K283" s="4">
        <f t="shared" si="41"/>
        <v>1.5</v>
      </c>
      <c r="L283" s="4">
        <f t="shared" si="33"/>
        <v>1</v>
      </c>
      <c r="M283" s="4">
        <f t="shared" si="34"/>
        <v>1.5</v>
      </c>
      <c r="N283" s="4">
        <f t="shared" si="35"/>
        <v>0.5</v>
      </c>
    </row>
    <row r="284" spans="1:14" x14ac:dyDescent="0.2">
      <c r="A284" t="str">
        <v>d_283</v>
      </c>
      <c r="B284" s="2">
        <v>40854</v>
      </c>
      <c r="C284" s="4">
        <v>0</v>
      </c>
      <c r="D284" s="4">
        <v>0</v>
      </c>
      <c r="E284" s="4">
        <v>0</v>
      </c>
      <c r="F284">
        <f t="shared" si="36"/>
        <v>0</v>
      </c>
      <c r="G284">
        <f t="shared" si="37"/>
        <v>0</v>
      </c>
      <c r="H284" s="4">
        <f t="shared" si="38"/>
        <v>0.5</v>
      </c>
      <c r="I284" s="4">
        <f t="shared" si="39"/>
        <v>0.5</v>
      </c>
      <c r="J284" s="4">
        <f t="shared" si="40"/>
        <v>1.5</v>
      </c>
      <c r="K284" s="4">
        <f t="shared" si="41"/>
        <v>0</v>
      </c>
      <c r="L284" s="4">
        <f t="shared" si="33"/>
        <v>0.5</v>
      </c>
      <c r="M284" s="4">
        <f t="shared" si="34"/>
        <v>1</v>
      </c>
      <c r="N284" s="4">
        <f t="shared" si="35"/>
        <v>1</v>
      </c>
    </row>
    <row r="285" spans="1:14" x14ac:dyDescent="0.2">
      <c r="A285" t="str">
        <v>d_284</v>
      </c>
      <c r="B285" s="2">
        <v>40855</v>
      </c>
      <c r="C285" s="4">
        <v>2</v>
      </c>
      <c r="D285" s="4">
        <v>1</v>
      </c>
      <c r="E285" s="4">
        <v>0</v>
      </c>
      <c r="F285">
        <f t="shared" si="36"/>
        <v>2.5</v>
      </c>
      <c r="G285">
        <f t="shared" si="37"/>
        <v>0.5</v>
      </c>
      <c r="H285" s="4">
        <f t="shared" si="38"/>
        <v>0.5</v>
      </c>
      <c r="I285" s="4">
        <f t="shared" si="39"/>
        <v>0</v>
      </c>
      <c r="J285" s="4">
        <f t="shared" si="40"/>
        <v>0</v>
      </c>
      <c r="K285" s="4">
        <f t="shared" si="41"/>
        <v>0</v>
      </c>
      <c r="L285" s="4">
        <f t="shared" si="33"/>
        <v>0</v>
      </c>
      <c r="M285" s="4">
        <f t="shared" si="34"/>
        <v>0</v>
      </c>
      <c r="N285" s="4">
        <f t="shared" si="35"/>
        <v>1</v>
      </c>
    </row>
    <row r="286" spans="1:14" x14ac:dyDescent="0.2">
      <c r="A286" t="str">
        <v>d_285</v>
      </c>
      <c r="B286" s="2">
        <v>40856</v>
      </c>
      <c r="C286" s="4">
        <v>1</v>
      </c>
      <c r="D286" s="4">
        <v>3</v>
      </c>
      <c r="E286" s="4">
        <v>1</v>
      </c>
      <c r="F286">
        <f t="shared" si="36"/>
        <v>1</v>
      </c>
      <c r="G286">
        <f t="shared" si="37"/>
        <v>1.5</v>
      </c>
      <c r="H286" s="4">
        <f t="shared" si="38"/>
        <v>0.5</v>
      </c>
      <c r="I286" s="4">
        <f t="shared" si="39"/>
        <v>1</v>
      </c>
      <c r="J286" s="4">
        <f t="shared" si="40"/>
        <v>0.5</v>
      </c>
      <c r="K286" s="4">
        <f t="shared" si="41"/>
        <v>2</v>
      </c>
      <c r="L286" s="4">
        <f t="shared" si="33"/>
        <v>1</v>
      </c>
      <c r="M286" s="4">
        <f t="shared" si="34"/>
        <v>0.5</v>
      </c>
      <c r="N286" s="4">
        <f t="shared" si="35"/>
        <v>0</v>
      </c>
    </row>
    <row r="287" spans="1:14" x14ac:dyDescent="0.2">
      <c r="A287" t="str">
        <v>d_286</v>
      </c>
      <c r="B287" s="2">
        <v>40857</v>
      </c>
      <c r="C287" s="4">
        <v>0</v>
      </c>
      <c r="D287" s="4">
        <v>0</v>
      </c>
      <c r="E287" s="4">
        <v>1</v>
      </c>
      <c r="F287">
        <f t="shared" si="36"/>
        <v>2</v>
      </c>
      <c r="G287">
        <f t="shared" si="37"/>
        <v>1.5</v>
      </c>
      <c r="H287" s="4">
        <f t="shared" si="38"/>
        <v>1.5</v>
      </c>
      <c r="I287" s="4">
        <f t="shared" si="39"/>
        <v>0.5</v>
      </c>
      <c r="J287" s="4">
        <f t="shared" si="40"/>
        <v>1.5</v>
      </c>
      <c r="K287" s="4">
        <f t="shared" si="41"/>
        <v>0.5</v>
      </c>
      <c r="L287" s="4">
        <f t="shared" ref="L287:L350" si="42">AVERAGE(C259,C286)</f>
        <v>0.5</v>
      </c>
      <c r="M287" s="4">
        <f t="shared" ref="M287:M350" si="43">AVERAGE(D259,D286)</f>
        <v>1.5</v>
      </c>
      <c r="N287" s="4">
        <f t="shared" ref="N287:N350" si="44">AVERAGE(E259,E286)</f>
        <v>0.5</v>
      </c>
    </row>
    <row r="288" spans="1:14" x14ac:dyDescent="0.2">
      <c r="A288" t="str">
        <v>d_287</v>
      </c>
      <c r="B288" s="2">
        <v>40858</v>
      </c>
      <c r="C288" s="4">
        <v>1</v>
      </c>
      <c r="D288" s="4">
        <v>0</v>
      </c>
      <c r="E288" s="4">
        <v>0</v>
      </c>
      <c r="F288">
        <f t="shared" si="36"/>
        <v>1.5</v>
      </c>
      <c r="G288">
        <f t="shared" si="37"/>
        <v>0.5</v>
      </c>
      <c r="H288" s="4">
        <f t="shared" si="38"/>
        <v>0</v>
      </c>
      <c r="I288" s="4">
        <f t="shared" si="39"/>
        <v>0</v>
      </c>
      <c r="J288" s="4">
        <f t="shared" si="40"/>
        <v>1</v>
      </c>
      <c r="K288" s="4">
        <f t="shared" si="41"/>
        <v>1.5</v>
      </c>
      <c r="L288" s="4">
        <f t="shared" si="42"/>
        <v>0</v>
      </c>
      <c r="M288" s="4">
        <f t="shared" si="43"/>
        <v>1</v>
      </c>
      <c r="N288" s="4">
        <f t="shared" si="44"/>
        <v>0.5</v>
      </c>
    </row>
    <row r="289" spans="1:14" x14ac:dyDescent="0.2">
      <c r="A289" t="str">
        <v>d_288</v>
      </c>
      <c r="B289" s="2">
        <v>40859</v>
      </c>
      <c r="C289" s="4">
        <v>0</v>
      </c>
      <c r="D289" s="4">
        <v>0</v>
      </c>
      <c r="E289" s="4">
        <v>2</v>
      </c>
      <c r="F289">
        <f t="shared" si="36"/>
        <v>0.5</v>
      </c>
      <c r="G289">
        <f t="shared" si="37"/>
        <v>0.5</v>
      </c>
      <c r="H289" s="4">
        <f t="shared" si="38"/>
        <v>1</v>
      </c>
      <c r="I289" s="4">
        <f t="shared" si="39"/>
        <v>0.5</v>
      </c>
      <c r="J289" s="4">
        <f t="shared" si="40"/>
        <v>0.5</v>
      </c>
      <c r="K289" s="4">
        <f t="shared" si="41"/>
        <v>1.5</v>
      </c>
      <c r="L289" s="4">
        <f t="shared" si="42"/>
        <v>0.5</v>
      </c>
      <c r="M289" s="4">
        <f t="shared" si="43"/>
        <v>0.5</v>
      </c>
      <c r="N289" s="4">
        <f t="shared" si="44"/>
        <v>0.5</v>
      </c>
    </row>
    <row r="290" spans="1:14" x14ac:dyDescent="0.2">
      <c r="A290" t="str">
        <v>d_289</v>
      </c>
      <c r="B290" s="2">
        <v>40860</v>
      </c>
      <c r="C290" s="4">
        <v>6</v>
      </c>
      <c r="D290" s="4">
        <v>0</v>
      </c>
      <c r="E290" s="4">
        <v>0</v>
      </c>
      <c r="F290">
        <f t="shared" si="36"/>
        <v>3</v>
      </c>
      <c r="G290">
        <f t="shared" si="37"/>
        <v>0</v>
      </c>
      <c r="H290" s="4">
        <f t="shared" si="38"/>
        <v>0</v>
      </c>
      <c r="I290" s="4">
        <f t="shared" si="39"/>
        <v>0</v>
      </c>
      <c r="J290" s="4">
        <f t="shared" si="40"/>
        <v>1</v>
      </c>
      <c r="K290" s="4">
        <f t="shared" si="41"/>
        <v>2</v>
      </c>
      <c r="L290" s="4">
        <f t="shared" si="42"/>
        <v>0</v>
      </c>
      <c r="M290" s="4">
        <f t="shared" si="43"/>
        <v>1.5</v>
      </c>
      <c r="N290" s="4">
        <f t="shared" si="44"/>
        <v>1</v>
      </c>
    </row>
    <row r="291" spans="1:14" x14ac:dyDescent="0.2">
      <c r="A291" t="str">
        <v>d_290</v>
      </c>
      <c r="B291" s="2">
        <v>40861</v>
      </c>
      <c r="C291" s="4">
        <v>1</v>
      </c>
      <c r="D291" s="4">
        <v>1</v>
      </c>
      <c r="E291" s="4">
        <v>0</v>
      </c>
      <c r="F291">
        <f t="shared" si="36"/>
        <v>1.5</v>
      </c>
      <c r="G291">
        <f t="shared" si="37"/>
        <v>1</v>
      </c>
      <c r="H291" s="4">
        <f t="shared" si="38"/>
        <v>0</v>
      </c>
      <c r="I291" s="4">
        <f t="shared" si="39"/>
        <v>3</v>
      </c>
      <c r="J291" s="4">
        <f t="shared" si="40"/>
        <v>0.5</v>
      </c>
      <c r="K291" s="4">
        <f t="shared" si="41"/>
        <v>0</v>
      </c>
      <c r="L291" s="4">
        <f t="shared" si="42"/>
        <v>3</v>
      </c>
      <c r="M291" s="4">
        <f t="shared" si="43"/>
        <v>0.5</v>
      </c>
      <c r="N291" s="4">
        <f t="shared" si="44"/>
        <v>0.5</v>
      </c>
    </row>
    <row r="292" spans="1:14" x14ac:dyDescent="0.2">
      <c r="A292" t="str">
        <v>d_291</v>
      </c>
      <c r="B292" s="2">
        <v>40862</v>
      </c>
      <c r="C292" s="4">
        <v>0</v>
      </c>
      <c r="D292" s="4">
        <v>1</v>
      </c>
      <c r="E292" s="4">
        <v>1</v>
      </c>
      <c r="F292">
        <f t="shared" si="36"/>
        <v>0.5</v>
      </c>
      <c r="G292">
        <f t="shared" si="37"/>
        <v>2</v>
      </c>
      <c r="H292" s="4">
        <f t="shared" si="38"/>
        <v>1</v>
      </c>
      <c r="I292" s="4">
        <f t="shared" si="39"/>
        <v>0.5</v>
      </c>
      <c r="J292" s="4">
        <f t="shared" si="40"/>
        <v>0.5</v>
      </c>
      <c r="K292" s="4">
        <f t="shared" si="41"/>
        <v>0.5</v>
      </c>
      <c r="L292" s="4">
        <f t="shared" si="42"/>
        <v>0.5</v>
      </c>
      <c r="M292" s="4">
        <f t="shared" si="43"/>
        <v>0.5</v>
      </c>
      <c r="N292" s="4">
        <f t="shared" si="44"/>
        <v>1</v>
      </c>
    </row>
    <row r="293" spans="1:14" x14ac:dyDescent="0.2">
      <c r="A293" t="str">
        <v>d_292</v>
      </c>
      <c r="B293" s="2">
        <v>40863</v>
      </c>
      <c r="C293" s="4">
        <v>0</v>
      </c>
      <c r="D293" s="4">
        <v>1</v>
      </c>
      <c r="E293" s="4">
        <v>0</v>
      </c>
      <c r="F293">
        <f t="shared" si="36"/>
        <v>0</v>
      </c>
      <c r="G293">
        <f t="shared" si="37"/>
        <v>0.5</v>
      </c>
      <c r="H293" s="4">
        <f t="shared" si="38"/>
        <v>0.5</v>
      </c>
      <c r="I293" s="4">
        <f t="shared" si="39"/>
        <v>1.5</v>
      </c>
      <c r="J293" s="4">
        <f t="shared" si="40"/>
        <v>0.5</v>
      </c>
      <c r="K293" s="4">
        <f t="shared" si="41"/>
        <v>1</v>
      </c>
      <c r="L293" s="4">
        <f t="shared" si="42"/>
        <v>0</v>
      </c>
      <c r="M293" s="4">
        <f t="shared" si="43"/>
        <v>0.5</v>
      </c>
      <c r="N293" s="4">
        <f t="shared" si="44"/>
        <v>0.5</v>
      </c>
    </row>
    <row r="294" spans="1:14" x14ac:dyDescent="0.2">
      <c r="A294" t="str">
        <v>d_293</v>
      </c>
      <c r="B294" s="2">
        <v>40864</v>
      </c>
      <c r="C294" s="4">
        <v>0</v>
      </c>
      <c r="D294" s="4">
        <v>1</v>
      </c>
      <c r="E294" s="4">
        <v>1</v>
      </c>
      <c r="F294">
        <f t="shared" si="36"/>
        <v>0.5</v>
      </c>
      <c r="G294">
        <f t="shared" si="37"/>
        <v>0.5</v>
      </c>
      <c r="H294" s="4">
        <f t="shared" si="38"/>
        <v>0.5</v>
      </c>
      <c r="I294" s="4">
        <f t="shared" si="39"/>
        <v>0.5</v>
      </c>
      <c r="J294" s="4">
        <f t="shared" si="40"/>
        <v>0.5</v>
      </c>
      <c r="K294" s="4">
        <f t="shared" si="41"/>
        <v>0</v>
      </c>
      <c r="L294" s="4">
        <f t="shared" si="42"/>
        <v>0</v>
      </c>
      <c r="M294" s="4">
        <f t="shared" si="43"/>
        <v>1</v>
      </c>
      <c r="N294" s="4">
        <f t="shared" si="44"/>
        <v>0.5</v>
      </c>
    </row>
    <row r="295" spans="1:14" x14ac:dyDescent="0.2">
      <c r="A295" t="str">
        <v>d_294</v>
      </c>
      <c r="B295" s="2">
        <v>40865</v>
      </c>
      <c r="C295" s="4">
        <v>1</v>
      </c>
      <c r="D295" s="4">
        <v>4</v>
      </c>
      <c r="E295" s="4">
        <v>1</v>
      </c>
      <c r="F295">
        <f t="shared" si="36"/>
        <v>0.5</v>
      </c>
      <c r="G295">
        <f t="shared" si="37"/>
        <v>2</v>
      </c>
      <c r="H295" s="4">
        <f t="shared" si="38"/>
        <v>1.5</v>
      </c>
      <c r="I295" s="4">
        <f t="shared" si="39"/>
        <v>2</v>
      </c>
      <c r="J295" s="4">
        <f t="shared" si="40"/>
        <v>2</v>
      </c>
      <c r="K295" s="4">
        <f t="shared" si="41"/>
        <v>1.5</v>
      </c>
      <c r="L295" s="4">
        <f t="shared" si="42"/>
        <v>0</v>
      </c>
      <c r="M295" s="4">
        <f t="shared" si="43"/>
        <v>0.5</v>
      </c>
      <c r="N295" s="4">
        <f t="shared" si="44"/>
        <v>1</v>
      </c>
    </row>
    <row r="296" spans="1:14" x14ac:dyDescent="0.2">
      <c r="A296" t="str">
        <v>d_295</v>
      </c>
      <c r="B296" s="2">
        <v>40866</v>
      </c>
      <c r="C296" s="4">
        <v>3</v>
      </c>
      <c r="D296" s="4">
        <v>0</v>
      </c>
      <c r="E296" s="4">
        <v>3</v>
      </c>
      <c r="F296">
        <f t="shared" si="36"/>
        <v>4.5</v>
      </c>
      <c r="G296">
        <f t="shared" si="37"/>
        <v>0</v>
      </c>
      <c r="H296" s="4">
        <f t="shared" si="38"/>
        <v>1.5</v>
      </c>
      <c r="I296" s="4">
        <f t="shared" si="39"/>
        <v>1.5</v>
      </c>
      <c r="J296" s="4">
        <f t="shared" si="40"/>
        <v>2.5</v>
      </c>
      <c r="K296" s="4">
        <f t="shared" si="41"/>
        <v>0.5</v>
      </c>
      <c r="L296" s="4">
        <f t="shared" si="42"/>
        <v>0.5</v>
      </c>
      <c r="M296" s="4">
        <f t="shared" si="43"/>
        <v>2</v>
      </c>
      <c r="N296" s="4">
        <f t="shared" si="44"/>
        <v>0.5</v>
      </c>
    </row>
    <row r="297" spans="1:14" x14ac:dyDescent="0.2">
      <c r="A297" t="str">
        <v>d_296</v>
      </c>
      <c r="B297" s="2">
        <v>40867</v>
      </c>
      <c r="C297" s="4">
        <v>4</v>
      </c>
      <c r="D297" s="4">
        <v>2</v>
      </c>
      <c r="E297" s="4">
        <v>3</v>
      </c>
      <c r="F297">
        <f t="shared" si="36"/>
        <v>2.5</v>
      </c>
      <c r="G297">
        <f t="shared" si="37"/>
        <v>1.5</v>
      </c>
      <c r="H297" s="4">
        <f t="shared" si="38"/>
        <v>1.5</v>
      </c>
      <c r="I297" s="4">
        <f t="shared" si="39"/>
        <v>2</v>
      </c>
      <c r="J297" s="4">
        <f t="shared" si="40"/>
        <v>0.5</v>
      </c>
      <c r="K297" s="4">
        <f t="shared" si="41"/>
        <v>1.5</v>
      </c>
      <c r="L297" s="4">
        <f t="shared" si="42"/>
        <v>1.5</v>
      </c>
      <c r="M297" s="4">
        <f t="shared" si="43"/>
        <v>0</v>
      </c>
      <c r="N297" s="4">
        <f t="shared" si="44"/>
        <v>3</v>
      </c>
    </row>
    <row r="298" spans="1:14" x14ac:dyDescent="0.2">
      <c r="A298" t="str">
        <v>d_297</v>
      </c>
      <c r="B298" s="2">
        <v>40868</v>
      </c>
      <c r="C298" s="4">
        <v>0</v>
      </c>
      <c r="D298" s="4">
        <v>1</v>
      </c>
      <c r="E298" s="4">
        <v>0</v>
      </c>
      <c r="F298">
        <f t="shared" si="36"/>
        <v>0</v>
      </c>
      <c r="G298">
        <f t="shared" si="37"/>
        <v>1</v>
      </c>
      <c r="H298" s="4">
        <f t="shared" si="38"/>
        <v>0.5</v>
      </c>
      <c r="I298" s="4">
        <f t="shared" si="39"/>
        <v>2</v>
      </c>
      <c r="J298" s="4">
        <f t="shared" si="40"/>
        <v>1</v>
      </c>
      <c r="K298" s="4">
        <f t="shared" si="41"/>
        <v>1.5</v>
      </c>
      <c r="L298" s="4">
        <f t="shared" si="42"/>
        <v>2</v>
      </c>
      <c r="M298" s="4">
        <f t="shared" si="43"/>
        <v>2</v>
      </c>
      <c r="N298" s="4">
        <f t="shared" si="44"/>
        <v>1.5</v>
      </c>
    </row>
    <row r="299" spans="1:14" x14ac:dyDescent="0.2">
      <c r="A299" t="str">
        <v>d_298</v>
      </c>
      <c r="B299" s="2">
        <v>40869</v>
      </c>
      <c r="C299" s="4">
        <v>0</v>
      </c>
      <c r="D299" s="4">
        <v>2</v>
      </c>
      <c r="E299" s="4">
        <v>1</v>
      </c>
      <c r="F299">
        <f t="shared" si="36"/>
        <v>0</v>
      </c>
      <c r="G299">
        <f t="shared" si="37"/>
        <v>1.5</v>
      </c>
      <c r="H299" s="4">
        <f t="shared" si="38"/>
        <v>0.5</v>
      </c>
      <c r="I299" s="4">
        <f t="shared" si="39"/>
        <v>1</v>
      </c>
      <c r="J299" s="4">
        <f t="shared" si="40"/>
        <v>1</v>
      </c>
      <c r="K299" s="4">
        <f t="shared" si="41"/>
        <v>0</v>
      </c>
      <c r="L299" s="4">
        <f t="shared" si="42"/>
        <v>0</v>
      </c>
      <c r="M299" s="4">
        <f t="shared" si="43"/>
        <v>0.5</v>
      </c>
      <c r="N299" s="4">
        <f t="shared" si="44"/>
        <v>0</v>
      </c>
    </row>
    <row r="300" spans="1:14" x14ac:dyDescent="0.2">
      <c r="A300" t="str">
        <v>d_299</v>
      </c>
      <c r="B300" s="2">
        <v>40870</v>
      </c>
      <c r="C300" s="4">
        <v>1</v>
      </c>
      <c r="D300" s="4">
        <v>1</v>
      </c>
      <c r="E300" s="4">
        <v>0</v>
      </c>
      <c r="F300">
        <f t="shared" si="36"/>
        <v>0.5</v>
      </c>
      <c r="G300">
        <f t="shared" si="37"/>
        <v>1</v>
      </c>
      <c r="H300" s="4">
        <f t="shared" si="38"/>
        <v>0.5</v>
      </c>
      <c r="I300" s="4">
        <f t="shared" si="39"/>
        <v>0.5</v>
      </c>
      <c r="J300" s="4">
        <f t="shared" si="40"/>
        <v>2.5</v>
      </c>
      <c r="K300" s="4">
        <f t="shared" si="41"/>
        <v>1</v>
      </c>
      <c r="L300" s="4">
        <f t="shared" si="42"/>
        <v>0</v>
      </c>
      <c r="M300" s="4">
        <f t="shared" si="43"/>
        <v>1</v>
      </c>
      <c r="N300" s="4">
        <f t="shared" si="44"/>
        <v>2.5</v>
      </c>
    </row>
    <row r="301" spans="1:14" x14ac:dyDescent="0.2">
      <c r="A301" t="str">
        <v>d_300</v>
      </c>
      <c r="B301" s="2">
        <v>40871</v>
      </c>
      <c r="C301" s="4">
        <v>0</v>
      </c>
      <c r="D301" s="4">
        <v>0</v>
      </c>
      <c r="E301" s="4">
        <v>0</v>
      </c>
      <c r="F301">
        <f t="shared" si="36"/>
        <v>0.5</v>
      </c>
      <c r="G301">
        <f t="shared" si="37"/>
        <v>2</v>
      </c>
      <c r="H301" s="4">
        <f t="shared" si="38"/>
        <v>0.5</v>
      </c>
      <c r="I301" s="4">
        <f t="shared" si="39"/>
        <v>0.5</v>
      </c>
      <c r="J301" s="4">
        <f t="shared" si="40"/>
        <v>0.5</v>
      </c>
      <c r="K301" s="4">
        <f t="shared" si="41"/>
        <v>0.5</v>
      </c>
      <c r="L301" s="4">
        <f t="shared" si="42"/>
        <v>0.5</v>
      </c>
      <c r="M301" s="4">
        <f t="shared" si="43"/>
        <v>0.5</v>
      </c>
      <c r="N301" s="4">
        <f t="shared" si="44"/>
        <v>0</v>
      </c>
    </row>
    <row r="302" spans="1:14" x14ac:dyDescent="0.2">
      <c r="A302" t="str">
        <v>d_301</v>
      </c>
      <c r="B302" s="2">
        <v>40872</v>
      </c>
      <c r="C302" s="4">
        <v>2</v>
      </c>
      <c r="D302" s="4">
        <v>1</v>
      </c>
      <c r="E302" s="4">
        <v>2</v>
      </c>
      <c r="F302">
        <f t="shared" si="36"/>
        <v>2.5</v>
      </c>
      <c r="G302">
        <f t="shared" si="37"/>
        <v>0.5</v>
      </c>
      <c r="H302" s="4">
        <f t="shared" si="38"/>
        <v>2.5</v>
      </c>
      <c r="I302" s="4">
        <f t="shared" si="39"/>
        <v>0.5</v>
      </c>
      <c r="J302" s="4">
        <f t="shared" si="40"/>
        <v>0</v>
      </c>
      <c r="K302" s="4">
        <f t="shared" si="41"/>
        <v>0</v>
      </c>
      <c r="L302" s="4">
        <f t="shared" si="42"/>
        <v>0</v>
      </c>
      <c r="M302" s="4">
        <f t="shared" si="43"/>
        <v>1</v>
      </c>
      <c r="N302" s="4">
        <f t="shared" si="44"/>
        <v>1</v>
      </c>
    </row>
    <row r="303" spans="1:14" x14ac:dyDescent="0.2">
      <c r="A303" t="str">
        <v>d_302</v>
      </c>
      <c r="B303" s="2">
        <v>40873</v>
      </c>
      <c r="C303" s="4">
        <v>0</v>
      </c>
      <c r="D303" s="4">
        <v>0</v>
      </c>
      <c r="E303" s="4">
        <v>0</v>
      </c>
      <c r="F303">
        <f t="shared" si="36"/>
        <v>2</v>
      </c>
      <c r="G303">
        <f t="shared" si="37"/>
        <v>1</v>
      </c>
      <c r="H303" s="4">
        <f t="shared" si="38"/>
        <v>1.5</v>
      </c>
      <c r="I303" s="4">
        <f t="shared" si="39"/>
        <v>1</v>
      </c>
      <c r="J303" s="4">
        <f t="shared" si="40"/>
        <v>0.5</v>
      </c>
      <c r="K303" s="4">
        <f t="shared" si="41"/>
        <v>2</v>
      </c>
      <c r="L303" s="4">
        <f t="shared" si="42"/>
        <v>1</v>
      </c>
      <c r="M303" s="4">
        <f t="shared" si="43"/>
        <v>1</v>
      </c>
      <c r="N303" s="4">
        <f t="shared" si="44"/>
        <v>2.5</v>
      </c>
    </row>
    <row r="304" spans="1:14" x14ac:dyDescent="0.2">
      <c r="A304" t="str">
        <v>d_303</v>
      </c>
      <c r="B304" s="2">
        <v>40874</v>
      </c>
      <c r="C304" s="4">
        <v>0</v>
      </c>
      <c r="D304" s="4">
        <v>1</v>
      </c>
      <c r="E304" s="4">
        <v>0</v>
      </c>
      <c r="F304">
        <f t="shared" si="36"/>
        <v>0</v>
      </c>
      <c r="G304">
        <f t="shared" si="37"/>
        <v>1</v>
      </c>
      <c r="H304" s="4">
        <f t="shared" si="38"/>
        <v>0</v>
      </c>
      <c r="I304" s="4">
        <f t="shared" si="39"/>
        <v>3</v>
      </c>
      <c r="J304" s="4">
        <f t="shared" si="40"/>
        <v>0</v>
      </c>
      <c r="K304" s="4">
        <f t="shared" si="41"/>
        <v>0</v>
      </c>
      <c r="L304" s="4">
        <f t="shared" si="42"/>
        <v>0</v>
      </c>
      <c r="M304" s="4">
        <f t="shared" si="43"/>
        <v>1</v>
      </c>
      <c r="N304" s="4">
        <f t="shared" si="44"/>
        <v>1</v>
      </c>
    </row>
    <row r="305" spans="1:14" x14ac:dyDescent="0.2">
      <c r="A305" t="str">
        <v>d_304</v>
      </c>
      <c r="B305" s="2">
        <v>40875</v>
      </c>
      <c r="C305" s="4">
        <v>1</v>
      </c>
      <c r="D305" s="4">
        <v>1</v>
      </c>
      <c r="E305" s="4">
        <v>0</v>
      </c>
      <c r="F305">
        <f t="shared" si="36"/>
        <v>0.5</v>
      </c>
      <c r="G305">
        <f t="shared" si="37"/>
        <v>1.5</v>
      </c>
      <c r="H305" s="4">
        <f t="shared" si="38"/>
        <v>0.5</v>
      </c>
      <c r="I305" s="4">
        <f t="shared" si="39"/>
        <v>0.5</v>
      </c>
      <c r="J305" s="4">
        <f t="shared" si="40"/>
        <v>1</v>
      </c>
      <c r="K305" s="4">
        <f t="shared" si="41"/>
        <v>0</v>
      </c>
      <c r="L305" s="4">
        <f t="shared" si="42"/>
        <v>0</v>
      </c>
      <c r="M305" s="4">
        <f t="shared" si="43"/>
        <v>1</v>
      </c>
      <c r="N305" s="4">
        <f t="shared" si="44"/>
        <v>0</v>
      </c>
    </row>
    <row r="306" spans="1:14" x14ac:dyDescent="0.2">
      <c r="A306" t="str">
        <v>d_305</v>
      </c>
      <c r="B306" s="2">
        <v>40876</v>
      </c>
      <c r="C306" s="4">
        <v>0</v>
      </c>
      <c r="D306" s="4">
        <v>0</v>
      </c>
      <c r="E306" s="4">
        <v>0</v>
      </c>
      <c r="F306">
        <f t="shared" si="36"/>
        <v>0.5</v>
      </c>
      <c r="G306">
        <f t="shared" si="37"/>
        <v>0.5</v>
      </c>
      <c r="H306" s="4">
        <f t="shared" si="38"/>
        <v>0</v>
      </c>
      <c r="I306" s="4">
        <f t="shared" si="39"/>
        <v>0.5</v>
      </c>
      <c r="J306" s="4">
        <f t="shared" si="40"/>
        <v>1</v>
      </c>
      <c r="K306" s="4">
        <f t="shared" si="41"/>
        <v>0.5</v>
      </c>
      <c r="L306" s="4">
        <f t="shared" si="42"/>
        <v>0.5</v>
      </c>
      <c r="M306" s="4">
        <f t="shared" si="43"/>
        <v>0.5</v>
      </c>
      <c r="N306" s="4">
        <f t="shared" si="44"/>
        <v>0.5</v>
      </c>
    </row>
    <row r="307" spans="1:14" x14ac:dyDescent="0.2">
      <c r="A307" t="str">
        <v>d_306</v>
      </c>
      <c r="B307" s="2">
        <v>40877</v>
      </c>
      <c r="C307" s="4">
        <v>8</v>
      </c>
      <c r="D307" s="4">
        <v>0</v>
      </c>
      <c r="E307" s="4">
        <v>2</v>
      </c>
      <c r="F307">
        <f t="shared" si="36"/>
        <v>4</v>
      </c>
      <c r="G307">
        <f t="shared" si="37"/>
        <v>0</v>
      </c>
      <c r="H307" s="4">
        <f t="shared" si="38"/>
        <v>1</v>
      </c>
      <c r="I307" s="4">
        <f t="shared" si="39"/>
        <v>0</v>
      </c>
      <c r="J307" s="4">
        <f t="shared" si="40"/>
        <v>0.5</v>
      </c>
      <c r="K307" s="4">
        <f t="shared" si="41"/>
        <v>0</v>
      </c>
      <c r="L307" s="4">
        <f t="shared" si="42"/>
        <v>1.5</v>
      </c>
      <c r="M307" s="4">
        <f t="shared" si="43"/>
        <v>0</v>
      </c>
      <c r="N307" s="4">
        <f t="shared" si="44"/>
        <v>0.5</v>
      </c>
    </row>
    <row r="308" spans="1:14" x14ac:dyDescent="0.2">
      <c r="A308" t="str">
        <v>d_307</v>
      </c>
      <c r="B308" s="2">
        <v>40878</v>
      </c>
      <c r="C308" s="4">
        <v>3</v>
      </c>
      <c r="D308" s="4">
        <v>0</v>
      </c>
      <c r="E308" s="4">
        <v>1</v>
      </c>
      <c r="F308">
        <f t="shared" si="36"/>
        <v>2.5</v>
      </c>
      <c r="G308">
        <f t="shared" si="37"/>
        <v>0.5</v>
      </c>
      <c r="H308" s="4">
        <f t="shared" si="38"/>
        <v>1.5</v>
      </c>
      <c r="I308" s="4">
        <f t="shared" si="39"/>
        <v>4</v>
      </c>
      <c r="J308" s="4">
        <f t="shared" si="40"/>
        <v>0.5</v>
      </c>
      <c r="K308" s="4">
        <f t="shared" si="41"/>
        <v>1.5</v>
      </c>
      <c r="L308" s="4">
        <f t="shared" si="42"/>
        <v>4.5</v>
      </c>
      <c r="M308" s="4">
        <f t="shared" si="43"/>
        <v>0</v>
      </c>
      <c r="N308" s="4">
        <f t="shared" si="44"/>
        <v>1</v>
      </c>
    </row>
    <row r="309" spans="1:14" x14ac:dyDescent="0.2">
      <c r="A309" t="str">
        <v>d_308</v>
      </c>
      <c r="B309" s="2">
        <v>40879</v>
      </c>
      <c r="C309" s="4">
        <v>1</v>
      </c>
      <c r="D309" s="4">
        <v>2</v>
      </c>
      <c r="E309" s="4">
        <v>0</v>
      </c>
      <c r="F309">
        <f t="shared" si="36"/>
        <v>0.5</v>
      </c>
      <c r="G309">
        <f t="shared" si="37"/>
        <v>1</v>
      </c>
      <c r="H309" s="4">
        <f t="shared" si="38"/>
        <v>0</v>
      </c>
      <c r="I309" s="4">
        <f t="shared" si="39"/>
        <v>2</v>
      </c>
      <c r="J309" s="4">
        <f t="shared" si="40"/>
        <v>2</v>
      </c>
      <c r="K309" s="4">
        <f t="shared" si="41"/>
        <v>1</v>
      </c>
      <c r="L309" s="4">
        <f t="shared" si="42"/>
        <v>3.5</v>
      </c>
      <c r="M309" s="4">
        <f t="shared" si="43"/>
        <v>1.5</v>
      </c>
      <c r="N309" s="4">
        <f t="shared" si="44"/>
        <v>1.5</v>
      </c>
    </row>
    <row r="310" spans="1:14" x14ac:dyDescent="0.2">
      <c r="A310" t="str">
        <v>d_309</v>
      </c>
      <c r="B310" s="2">
        <v>40880</v>
      </c>
      <c r="C310" s="4">
        <v>1</v>
      </c>
      <c r="D310" s="4">
        <v>2</v>
      </c>
      <c r="E310" s="4">
        <v>1</v>
      </c>
      <c r="F310">
        <f t="shared" si="36"/>
        <v>0.5</v>
      </c>
      <c r="G310">
        <f t="shared" si="37"/>
        <v>1.5</v>
      </c>
      <c r="H310" s="4">
        <f t="shared" si="38"/>
        <v>0.5</v>
      </c>
      <c r="I310" s="4">
        <f t="shared" si="39"/>
        <v>2</v>
      </c>
      <c r="J310" s="4">
        <f t="shared" si="40"/>
        <v>1</v>
      </c>
      <c r="K310" s="4">
        <f t="shared" si="41"/>
        <v>1.5</v>
      </c>
      <c r="L310" s="4">
        <f t="shared" si="42"/>
        <v>1.5</v>
      </c>
      <c r="M310" s="4">
        <f t="shared" si="43"/>
        <v>1.5</v>
      </c>
      <c r="N310" s="4">
        <f t="shared" si="44"/>
        <v>0</v>
      </c>
    </row>
    <row r="311" spans="1:14" x14ac:dyDescent="0.2">
      <c r="A311" t="str">
        <v>d_310</v>
      </c>
      <c r="B311" s="2">
        <v>40881</v>
      </c>
      <c r="C311" s="4">
        <v>5</v>
      </c>
      <c r="D311" s="4">
        <v>1</v>
      </c>
      <c r="E311" s="4">
        <v>2</v>
      </c>
      <c r="F311">
        <f t="shared" si="36"/>
        <v>3</v>
      </c>
      <c r="G311">
        <f t="shared" si="37"/>
        <v>1</v>
      </c>
      <c r="H311" s="4">
        <f t="shared" si="38"/>
        <v>1</v>
      </c>
      <c r="I311" s="4">
        <f t="shared" si="39"/>
        <v>2.5</v>
      </c>
      <c r="J311" s="4">
        <f t="shared" si="40"/>
        <v>2</v>
      </c>
      <c r="K311" s="4">
        <f t="shared" si="41"/>
        <v>2</v>
      </c>
      <c r="L311" s="4">
        <f t="shared" si="42"/>
        <v>1</v>
      </c>
      <c r="M311" s="4">
        <f t="shared" si="43"/>
        <v>1.5</v>
      </c>
      <c r="N311" s="4">
        <f t="shared" si="44"/>
        <v>0.5</v>
      </c>
    </row>
    <row r="312" spans="1:14" x14ac:dyDescent="0.2">
      <c r="A312" t="str">
        <v>d_311</v>
      </c>
      <c r="B312" s="2">
        <v>40882</v>
      </c>
      <c r="C312" s="4">
        <v>3</v>
      </c>
      <c r="D312" s="4">
        <v>2</v>
      </c>
      <c r="E312" s="4">
        <v>0</v>
      </c>
      <c r="F312">
        <f t="shared" si="36"/>
        <v>1.5</v>
      </c>
      <c r="G312">
        <f t="shared" si="37"/>
        <v>1</v>
      </c>
      <c r="H312" s="4">
        <f t="shared" si="38"/>
        <v>0</v>
      </c>
      <c r="I312" s="4">
        <f t="shared" si="39"/>
        <v>2.5</v>
      </c>
      <c r="J312" s="4">
        <f t="shared" si="40"/>
        <v>1</v>
      </c>
      <c r="K312" s="4">
        <f t="shared" si="41"/>
        <v>1</v>
      </c>
      <c r="L312" s="4">
        <f t="shared" si="42"/>
        <v>2.5</v>
      </c>
      <c r="M312" s="4">
        <f t="shared" si="43"/>
        <v>0.5</v>
      </c>
      <c r="N312" s="4">
        <f t="shared" si="44"/>
        <v>1</v>
      </c>
    </row>
    <row r="313" spans="1:14" x14ac:dyDescent="0.2">
      <c r="A313" t="str">
        <v>d_312</v>
      </c>
      <c r="B313" s="2">
        <v>40883</v>
      </c>
      <c r="C313" s="4">
        <v>2</v>
      </c>
      <c r="D313" s="4">
        <v>3</v>
      </c>
      <c r="E313" s="4">
        <v>1</v>
      </c>
      <c r="F313">
        <f t="shared" si="36"/>
        <v>5</v>
      </c>
      <c r="G313">
        <f t="shared" si="37"/>
        <v>1.5</v>
      </c>
      <c r="H313" s="4">
        <f t="shared" si="38"/>
        <v>1.5</v>
      </c>
      <c r="I313" s="4">
        <f t="shared" si="39"/>
        <v>1.5</v>
      </c>
      <c r="J313" s="4">
        <f t="shared" si="40"/>
        <v>2</v>
      </c>
      <c r="K313" s="4">
        <f t="shared" si="41"/>
        <v>0.5</v>
      </c>
      <c r="L313" s="4">
        <f t="shared" si="42"/>
        <v>2.5</v>
      </c>
      <c r="M313" s="4">
        <f t="shared" si="43"/>
        <v>1.5</v>
      </c>
      <c r="N313" s="4">
        <f t="shared" si="44"/>
        <v>0</v>
      </c>
    </row>
    <row r="314" spans="1:14" x14ac:dyDescent="0.2">
      <c r="A314" t="str">
        <v>d_313</v>
      </c>
      <c r="B314" s="2">
        <v>40884</v>
      </c>
      <c r="C314" s="4">
        <v>0</v>
      </c>
      <c r="D314" s="4">
        <v>0</v>
      </c>
      <c r="E314" s="4">
        <v>0</v>
      </c>
      <c r="F314">
        <f t="shared" si="36"/>
        <v>1.5</v>
      </c>
      <c r="G314">
        <f t="shared" si="37"/>
        <v>0</v>
      </c>
      <c r="H314" s="4">
        <f t="shared" si="38"/>
        <v>0.5</v>
      </c>
      <c r="I314" s="4">
        <f t="shared" si="39"/>
        <v>1.5</v>
      </c>
      <c r="J314" s="4">
        <f t="shared" si="40"/>
        <v>2</v>
      </c>
      <c r="K314" s="4">
        <f t="shared" si="41"/>
        <v>0.5</v>
      </c>
      <c r="L314" s="4">
        <f t="shared" si="42"/>
        <v>1.5</v>
      </c>
      <c r="M314" s="4">
        <f t="shared" si="43"/>
        <v>3</v>
      </c>
      <c r="N314" s="4">
        <f t="shared" si="44"/>
        <v>1</v>
      </c>
    </row>
    <row r="315" spans="1:14" x14ac:dyDescent="0.2">
      <c r="A315" t="str">
        <v>d_314</v>
      </c>
      <c r="B315" s="2">
        <v>40885</v>
      </c>
      <c r="C315" s="4">
        <v>1</v>
      </c>
      <c r="D315" s="4">
        <v>2</v>
      </c>
      <c r="E315" s="4">
        <v>0</v>
      </c>
      <c r="F315">
        <f t="shared" si="36"/>
        <v>1</v>
      </c>
      <c r="G315">
        <f t="shared" si="37"/>
        <v>2</v>
      </c>
      <c r="H315" s="4">
        <f t="shared" si="38"/>
        <v>0</v>
      </c>
      <c r="I315" s="4">
        <f t="shared" si="39"/>
        <v>0</v>
      </c>
      <c r="J315" s="4">
        <f t="shared" si="40"/>
        <v>0</v>
      </c>
      <c r="K315" s="4">
        <f t="shared" si="41"/>
        <v>0</v>
      </c>
      <c r="L315" s="4">
        <f t="shared" si="42"/>
        <v>0</v>
      </c>
      <c r="M315" s="4">
        <f t="shared" si="43"/>
        <v>0</v>
      </c>
      <c r="N315" s="4">
        <f t="shared" si="44"/>
        <v>0.5</v>
      </c>
    </row>
    <row r="316" spans="1:14" x14ac:dyDescent="0.2">
      <c r="A316" t="str">
        <v>d_315</v>
      </c>
      <c r="B316" s="2">
        <v>40886</v>
      </c>
      <c r="C316" s="4">
        <v>0</v>
      </c>
      <c r="D316" s="4">
        <v>0</v>
      </c>
      <c r="E316" s="4">
        <v>0</v>
      </c>
      <c r="F316">
        <f t="shared" si="36"/>
        <v>0.5</v>
      </c>
      <c r="G316">
        <f t="shared" si="37"/>
        <v>1</v>
      </c>
      <c r="H316" s="4">
        <f t="shared" si="38"/>
        <v>0.5</v>
      </c>
      <c r="I316" s="4">
        <f t="shared" si="39"/>
        <v>1.5</v>
      </c>
      <c r="J316" s="4">
        <f t="shared" si="40"/>
        <v>1.5</v>
      </c>
      <c r="K316" s="4">
        <f t="shared" si="41"/>
        <v>1</v>
      </c>
      <c r="L316" s="4">
        <f t="shared" si="42"/>
        <v>1</v>
      </c>
      <c r="M316" s="4">
        <f t="shared" si="43"/>
        <v>1</v>
      </c>
      <c r="N316" s="4">
        <f t="shared" si="44"/>
        <v>0</v>
      </c>
    </row>
    <row r="317" spans="1:14" x14ac:dyDescent="0.2">
      <c r="A317" t="str">
        <v>d_316</v>
      </c>
      <c r="B317" s="2">
        <v>40887</v>
      </c>
      <c r="C317" s="4">
        <v>0</v>
      </c>
      <c r="D317" s="4">
        <v>0</v>
      </c>
      <c r="E317" s="4">
        <v>2</v>
      </c>
      <c r="F317">
        <f t="shared" si="36"/>
        <v>2.5</v>
      </c>
      <c r="G317">
        <f t="shared" si="37"/>
        <v>0.5</v>
      </c>
      <c r="H317" s="4">
        <f t="shared" si="38"/>
        <v>2</v>
      </c>
      <c r="I317" s="4">
        <f t="shared" si="39"/>
        <v>0</v>
      </c>
      <c r="J317" s="4">
        <f t="shared" si="40"/>
        <v>0</v>
      </c>
      <c r="K317" s="4">
        <f t="shared" si="41"/>
        <v>0</v>
      </c>
      <c r="L317" s="4">
        <f t="shared" si="42"/>
        <v>0</v>
      </c>
      <c r="M317" s="4">
        <f t="shared" si="43"/>
        <v>0</v>
      </c>
      <c r="N317" s="4">
        <f t="shared" si="44"/>
        <v>1</v>
      </c>
    </row>
    <row r="318" spans="1:14" x14ac:dyDescent="0.2">
      <c r="A318" t="str">
        <v>d_317</v>
      </c>
      <c r="B318" s="2">
        <v>40888</v>
      </c>
      <c r="C318" s="4">
        <v>2</v>
      </c>
      <c r="D318" s="4">
        <v>0</v>
      </c>
      <c r="E318" s="4">
        <v>1</v>
      </c>
      <c r="F318">
        <f t="shared" si="36"/>
        <v>2.5</v>
      </c>
      <c r="G318">
        <f t="shared" si="37"/>
        <v>1</v>
      </c>
      <c r="H318" s="4">
        <f t="shared" si="38"/>
        <v>0.5</v>
      </c>
      <c r="I318" s="4">
        <f t="shared" si="39"/>
        <v>0</v>
      </c>
      <c r="J318" s="4">
        <f t="shared" si="40"/>
        <v>0.5</v>
      </c>
      <c r="K318" s="4">
        <f t="shared" si="41"/>
        <v>1</v>
      </c>
      <c r="L318" s="4">
        <f t="shared" si="42"/>
        <v>3</v>
      </c>
      <c r="M318" s="4">
        <f t="shared" si="43"/>
        <v>0</v>
      </c>
      <c r="N318" s="4">
        <f t="shared" si="44"/>
        <v>1</v>
      </c>
    </row>
    <row r="319" spans="1:14" x14ac:dyDescent="0.2">
      <c r="A319" t="str">
        <v>d_318</v>
      </c>
      <c r="B319" s="2">
        <v>40889</v>
      </c>
      <c r="C319" s="4">
        <v>0</v>
      </c>
      <c r="D319" s="4">
        <v>0</v>
      </c>
      <c r="E319" s="4">
        <v>0</v>
      </c>
      <c r="F319">
        <f t="shared" si="36"/>
        <v>1</v>
      </c>
      <c r="G319">
        <f t="shared" si="37"/>
        <v>1.5</v>
      </c>
      <c r="H319" s="4">
        <f t="shared" si="38"/>
        <v>0.5</v>
      </c>
      <c r="I319" s="4">
        <f t="shared" si="39"/>
        <v>1.5</v>
      </c>
      <c r="J319" s="4">
        <f t="shared" si="40"/>
        <v>0.5</v>
      </c>
      <c r="K319" s="4">
        <f t="shared" si="41"/>
        <v>0.5</v>
      </c>
      <c r="L319" s="4">
        <f t="shared" si="42"/>
        <v>1.5</v>
      </c>
      <c r="M319" s="4">
        <f t="shared" si="43"/>
        <v>0.5</v>
      </c>
      <c r="N319" s="4">
        <f t="shared" si="44"/>
        <v>0.5</v>
      </c>
    </row>
    <row r="320" spans="1:14" x14ac:dyDescent="0.2">
      <c r="A320" t="str">
        <v>d_319</v>
      </c>
      <c r="B320" s="2">
        <v>40890</v>
      </c>
      <c r="C320" s="4">
        <v>1</v>
      </c>
      <c r="D320" s="4">
        <v>2</v>
      </c>
      <c r="E320" s="4">
        <v>2</v>
      </c>
      <c r="F320">
        <f t="shared" si="36"/>
        <v>0.5</v>
      </c>
      <c r="G320">
        <f t="shared" si="37"/>
        <v>1</v>
      </c>
      <c r="H320" s="4">
        <f t="shared" si="38"/>
        <v>1</v>
      </c>
      <c r="I320" s="4">
        <f t="shared" si="39"/>
        <v>0</v>
      </c>
      <c r="J320" s="4">
        <f t="shared" si="40"/>
        <v>0</v>
      </c>
      <c r="K320" s="4">
        <f t="shared" si="41"/>
        <v>0</v>
      </c>
      <c r="L320" s="4">
        <f t="shared" si="42"/>
        <v>0</v>
      </c>
      <c r="M320" s="4">
        <f t="shared" si="43"/>
        <v>0.5</v>
      </c>
      <c r="N320" s="4">
        <f t="shared" si="44"/>
        <v>0.5</v>
      </c>
    </row>
    <row r="321" spans="1:14" x14ac:dyDescent="0.2">
      <c r="A321" t="str">
        <v>d_320</v>
      </c>
      <c r="B321" s="2">
        <v>40891</v>
      </c>
      <c r="C321" s="4">
        <v>0</v>
      </c>
      <c r="D321" s="4">
        <v>1</v>
      </c>
      <c r="E321" s="4">
        <v>2</v>
      </c>
      <c r="F321">
        <f t="shared" si="36"/>
        <v>0.5</v>
      </c>
      <c r="G321">
        <f t="shared" si="37"/>
        <v>1.5</v>
      </c>
      <c r="H321" s="4">
        <f t="shared" si="38"/>
        <v>1</v>
      </c>
      <c r="I321" s="4">
        <f t="shared" si="39"/>
        <v>4.5</v>
      </c>
      <c r="J321" s="4">
        <f t="shared" si="40"/>
        <v>1</v>
      </c>
      <c r="K321" s="4">
        <f t="shared" si="41"/>
        <v>2</v>
      </c>
      <c r="L321" s="4">
        <f t="shared" si="42"/>
        <v>0.5</v>
      </c>
      <c r="M321" s="4">
        <f t="shared" si="43"/>
        <v>1.5</v>
      </c>
      <c r="N321" s="4">
        <f t="shared" si="44"/>
        <v>1</v>
      </c>
    </row>
    <row r="322" spans="1:14" x14ac:dyDescent="0.2">
      <c r="A322" t="str">
        <v>d_321</v>
      </c>
      <c r="B322" s="2">
        <v>40892</v>
      </c>
      <c r="C322" s="4">
        <v>1</v>
      </c>
      <c r="D322" s="4">
        <v>1</v>
      </c>
      <c r="E322" s="4">
        <v>1</v>
      </c>
      <c r="F322">
        <f t="shared" si="36"/>
        <v>0.5</v>
      </c>
      <c r="G322">
        <f t="shared" si="37"/>
        <v>0.5</v>
      </c>
      <c r="H322" s="4">
        <f t="shared" si="38"/>
        <v>0.5</v>
      </c>
      <c r="I322" s="4">
        <f t="shared" si="39"/>
        <v>1.5</v>
      </c>
      <c r="J322" s="4">
        <f t="shared" si="40"/>
        <v>0.5</v>
      </c>
      <c r="K322" s="4">
        <f t="shared" si="41"/>
        <v>1.5</v>
      </c>
      <c r="L322" s="4">
        <f t="shared" si="42"/>
        <v>0</v>
      </c>
      <c r="M322" s="4">
        <f t="shared" si="43"/>
        <v>1</v>
      </c>
      <c r="N322" s="4">
        <f t="shared" si="44"/>
        <v>1.5</v>
      </c>
    </row>
    <row r="323" spans="1:14" x14ac:dyDescent="0.2">
      <c r="A323" t="str">
        <v>d_322</v>
      </c>
      <c r="B323" s="2">
        <v>40893</v>
      </c>
      <c r="C323" s="4">
        <v>2</v>
      </c>
      <c r="D323" s="4">
        <v>0</v>
      </c>
      <c r="E323" s="4">
        <v>1</v>
      </c>
      <c r="F323">
        <f t="shared" si="36"/>
        <v>1</v>
      </c>
      <c r="G323">
        <f t="shared" si="37"/>
        <v>0</v>
      </c>
      <c r="H323" s="4">
        <f t="shared" si="38"/>
        <v>1.5</v>
      </c>
      <c r="I323" s="4">
        <f t="shared" si="39"/>
        <v>1</v>
      </c>
      <c r="J323" s="4">
        <f t="shared" si="40"/>
        <v>1.5</v>
      </c>
      <c r="K323" s="4">
        <f t="shared" si="41"/>
        <v>0.5</v>
      </c>
      <c r="L323" s="4">
        <f t="shared" si="42"/>
        <v>1</v>
      </c>
      <c r="M323" s="4">
        <f t="shared" si="43"/>
        <v>2.5</v>
      </c>
      <c r="N323" s="4">
        <f t="shared" si="44"/>
        <v>1</v>
      </c>
    </row>
    <row r="324" spans="1:14" x14ac:dyDescent="0.2">
      <c r="A324" t="str">
        <v>d_323</v>
      </c>
      <c r="B324" s="2">
        <v>40894</v>
      </c>
      <c r="C324" s="4">
        <v>2</v>
      </c>
      <c r="D324" s="4">
        <v>0</v>
      </c>
      <c r="E324" s="4">
        <v>6</v>
      </c>
      <c r="F324">
        <f t="shared" si="36"/>
        <v>2</v>
      </c>
      <c r="G324">
        <f t="shared" si="37"/>
        <v>0</v>
      </c>
      <c r="H324" s="4">
        <f t="shared" si="38"/>
        <v>3.5</v>
      </c>
      <c r="I324" s="4">
        <f t="shared" si="39"/>
        <v>1.5</v>
      </c>
      <c r="J324" s="4">
        <f t="shared" si="40"/>
        <v>1</v>
      </c>
      <c r="K324" s="4">
        <f t="shared" si="41"/>
        <v>1</v>
      </c>
      <c r="L324" s="4">
        <f t="shared" si="42"/>
        <v>2.5</v>
      </c>
      <c r="M324" s="4">
        <f t="shared" si="43"/>
        <v>0</v>
      </c>
      <c r="N324" s="4">
        <f t="shared" si="44"/>
        <v>2</v>
      </c>
    </row>
    <row r="325" spans="1:14" x14ac:dyDescent="0.2">
      <c r="A325" t="str">
        <v>d_324</v>
      </c>
      <c r="B325" s="2">
        <v>40895</v>
      </c>
      <c r="C325" s="4">
        <v>6</v>
      </c>
      <c r="D325" s="4">
        <v>2</v>
      </c>
      <c r="E325" s="4">
        <v>0</v>
      </c>
      <c r="F325">
        <f t="shared" si="36"/>
        <v>3</v>
      </c>
      <c r="G325">
        <f t="shared" si="37"/>
        <v>1</v>
      </c>
      <c r="H325" s="4">
        <f t="shared" si="38"/>
        <v>0</v>
      </c>
      <c r="I325" s="4">
        <f t="shared" si="39"/>
        <v>3.5</v>
      </c>
      <c r="J325" s="4">
        <f t="shared" si="40"/>
        <v>0.5</v>
      </c>
      <c r="K325" s="4">
        <f t="shared" si="41"/>
        <v>4</v>
      </c>
      <c r="L325" s="4">
        <f t="shared" si="42"/>
        <v>3</v>
      </c>
      <c r="M325" s="4">
        <f t="shared" si="43"/>
        <v>1</v>
      </c>
      <c r="N325" s="4">
        <f t="shared" si="44"/>
        <v>4.5</v>
      </c>
    </row>
    <row r="326" spans="1:14" x14ac:dyDescent="0.2">
      <c r="A326" t="str">
        <v>d_325</v>
      </c>
      <c r="B326" s="2">
        <v>40896</v>
      </c>
      <c r="C326" s="4">
        <v>2</v>
      </c>
      <c r="D326" s="4">
        <v>4</v>
      </c>
      <c r="E326" s="4">
        <v>1</v>
      </c>
      <c r="F326">
        <f t="shared" si="36"/>
        <v>1.5</v>
      </c>
      <c r="G326">
        <f t="shared" si="37"/>
        <v>3</v>
      </c>
      <c r="H326" s="4">
        <f t="shared" si="38"/>
        <v>1.5</v>
      </c>
      <c r="I326" s="4">
        <f t="shared" si="39"/>
        <v>4.5</v>
      </c>
      <c r="J326" s="4">
        <f t="shared" si="40"/>
        <v>2</v>
      </c>
      <c r="K326" s="4">
        <f t="shared" si="41"/>
        <v>0</v>
      </c>
      <c r="L326" s="4">
        <f t="shared" si="42"/>
        <v>3</v>
      </c>
      <c r="M326" s="4">
        <f t="shared" si="43"/>
        <v>1.5</v>
      </c>
      <c r="N326" s="4">
        <f t="shared" si="44"/>
        <v>0</v>
      </c>
    </row>
    <row r="327" spans="1:14" x14ac:dyDescent="0.2">
      <c r="A327" t="str">
        <v>d_326</v>
      </c>
      <c r="B327" s="2">
        <v>40897</v>
      </c>
      <c r="C327" s="4">
        <v>3</v>
      </c>
      <c r="D327" s="4">
        <v>1</v>
      </c>
      <c r="E327" s="4">
        <v>0</v>
      </c>
      <c r="F327">
        <f t="shared" si="36"/>
        <v>1.5</v>
      </c>
      <c r="G327">
        <f t="shared" si="37"/>
        <v>1</v>
      </c>
      <c r="H327" s="4">
        <f t="shared" si="38"/>
        <v>1</v>
      </c>
      <c r="I327" s="4">
        <f t="shared" si="39"/>
        <v>2</v>
      </c>
      <c r="J327" s="4">
        <f t="shared" si="40"/>
        <v>3.5</v>
      </c>
      <c r="K327" s="4">
        <f t="shared" si="41"/>
        <v>1</v>
      </c>
      <c r="L327" s="4">
        <f t="shared" si="42"/>
        <v>1</v>
      </c>
      <c r="M327" s="4">
        <f t="shared" si="43"/>
        <v>3</v>
      </c>
      <c r="N327" s="4">
        <f t="shared" si="44"/>
        <v>1</v>
      </c>
    </row>
    <row r="328" spans="1:14" x14ac:dyDescent="0.2">
      <c r="A328" t="str">
        <v>d_327</v>
      </c>
      <c r="B328" s="2">
        <v>40898</v>
      </c>
      <c r="C328" s="4">
        <v>5</v>
      </c>
      <c r="D328" s="4">
        <v>0</v>
      </c>
      <c r="E328" s="4">
        <v>0</v>
      </c>
      <c r="F328">
        <f t="shared" si="36"/>
        <v>3</v>
      </c>
      <c r="G328">
        <f t="shared" si="37"/>
        <v>0.5</v>
      </c>
      <c r="H328" s="4">
        <f t="shared" si="38"/>
        <v>0.5</v>
      </c>
      <c r="I328" s="4">
        <f t="shared" si="39"/>
        <v>1.5</v>
      </c>
      <c r="J328" s="4">
        <f t="shared" si="40"/>
        <v>0.5</v>
      </c>
      <c r="K328" s="4">
        <f t="shared" si="41"/>
        <v>0</v>
      </c>
      <c r="L328" s="4">
        <f t="shared" si="42"/>
        <v>2</v>
      </c>
      <c r="M328" s="4">
        <f t="shared" si="43"/>
        <v>1</v>
      </c>
      <c r="N328" s="4">
        <f t="shared" si="44"/>
        <v>0</v>
      </c>
    </row>
    <row r="329" spans="1:14" x14ac:dyDescent="0.2">
      <c r="A329" t="str">
        <v>d_328</v>
      </c>
      <c r="B329" s="2">
        <v>40899</v>
      </c>
      <c r="C329" s="4">
        <v>3</v>
      </c>
      <c r="D329" s="4">
        <v>0</v>
      </c>
      <c r="E329" s="4">
        <v>2</v>
      </c>
      <c r="F329">
        <f t="shared" ref="F329:F366" si="45">AVERAGE(C323,C329)</f>
        <v>2.5</v>
      </c>
      <c r="G329">
        <f t="shared" ref="G329:G366" si="46">AVERAGE(D323,D329)</f>
        <v>0</v>
      </c>
      <c r="H329" s="4">
        <f t="shared" ref="H329:H366" si="47">AVERAGE(E323,E329)</f>
        <v>1.5</v>
      </c>
      <c r="I329" s="4">
        <f t="shared" si="39"/>
        <v>3</v>
      </c>
      <c r="J329" s="4">
        <f t="shared" si="40"/>
        <v>1</v>
      </c>
      <c r="K329" s="4">
        <f t="shared" si="41"/>
        <v>0</v>
      </c>
      <c r="L329" s="4">
        <f t="shared" si="42"/>
        <v>2.5</v>
      </c>
      <c r="M329" s="4">
        <f t="shared" si="43"/>
        <v>0</v>
      </c>
      <c r="N329" s="4">
        <f t="shared" si="44"/>
        <v>0</v>
      </c>
    </row>
    <row r="330" spans="1:14" x14ac:dyDescent="0.2">
      <c r="A330" t="str">
        <v>d_329</v>
      </c>
      <c r="B330" s="2">
        <v>40900</v>
      </c>
      <c r="C330" s="4">
        <v>5</v>
      </c>
      <c r="D330" s="4">
        <v>1</v>
      </c>
      <c r="E330" s="4">
        <v>0</v>
      </c>
      <c r="F330">
        <f t="shared" si="45"/>
        <v>3.5</v>
      </c>
      <c r="G330">
        <f t="shared" si="46"/>
        <v>0.5</v>
      </c>
      <c r="H330" s="4">
        <f t="shared" si="47"/>
        <v>3</v>
      </c>
      <c r="I330" s="4">
        <f t="shared" si="39"/>
        <v>1.5</v>
      </c>
      <c r="J330" s="4">
        <f t="shared" si="40"/>
        <v>0</v>
      </c>
      <c r="K330" s="4">
        <f t="shared" si="41"/>
        <v>1</v>
      </c>
      <c r="L330" s="4">
        <f t="shared" si="42"/>
        <v>2.5</v>
      </c>
      <c r="M330" s="4">
        <f t="shared" si="43"/>
        <v>0.5</v>
      </c>
      <c r="N330" s="4">
        <f t="shared" si="44"/>
        <v>2</v>
      </c>
    </row>
    <row r="331" spans="1:14" x14ac:dyDescent="0.2">
      <c r="A331" t="str">
        <v>d_330</v>
      </c>
      <c r="B331" s="2">
        <v>40901</v>
      </c>
      <c r="C331" s="4">
        <v>1</v>
      </c>
      <c r="D331" s="4">
        <v>2</v>
      </c>
      <c r="E331" s="4">
        <v>0</v>
      </c>
      <c r="F331">
        <f t="shared" si="45"/>
        <v>3.5</v>
      </c>
      <c r="G331">
        <f t="shared" si="46"/>
        <v>2</v>
      </c>
      <c r="H331" s="4">
        <f t="shared" si="47"/>
        <v>0</v>
      </c>
      <c r="I331" s="4">
        <f t="shared" si="39"/>
        <v>2.5</v>
      </c>
      <c r="J331" s="4">
        <f t="shared" si="40"/>
        <v>0.5</v>
      </c>
      <c r="K331" s="4">
        <f t="shared" si="41"/>
        <v>1</v>
      </c>
      <c r="L331" s="4">
        <f t="shared" si="42"/>
        <v>2.5</v>
      </c>
      <c r="M331" s="4">
        <f t="shared" si="43"/>
        <v>0.5</v>
      </c>
      <c r="N331" s="4">
        <f t="shared" si="44"/>
        <v>0</v>
      </c>
    </row>
    <row r="332" spans="1:14" x14ac:dyDescent="0.2">
      <c r="A332" t="str">
        <v>d_331</v>
      </c>
      <c r="B332" s="2">
        <v>40902</v>
      </c>
      <c r="C332" s="4">
        <v>0</v>
      </c>
      <c r="D332" s="4">
        <v>0</v>
      </c>
      <c r="E332" s="4">
        <v>0</v>
      </c>
      <c r="F332">
        <f t="shared" si="45"/>
        <v>1</v>
      </c>
      <c r="G332">
        <f t="shared" si="46"/>
        <v>2</v>
      </c>
      <c r="H332" s="4">
        <f t="shared" si="47"/>
        <v>0.5</v>
      </c>
      <c r="I332" s="4">
        <f t="shared" si="39"/>
        <v>1.5</v>
      </c>
      <c r="J332" s="4">
        <f t="shared" si="40"/>
        <v>1</v>
      </c>
      <c r="K332" s="4">
        <f t="shared" si="41"/>
        <v>0.5</v>
      </c>
      <c r="L332" s="4">
        <f t="shared" si="42"/>
        <v>0.5</v>
      </c>
      <c r="M332" s="4">
        <f t="shared" si="43"/>
        <v>1.5</v>
      </c>
      <c r="N332" s="4">
        <f t="shared" si="44"/>
        <v>0</v>
      </c>
    </row>
    <row r="333" spans="1:14" x14ac:dyDescent="0.2">
      <c r="A333" t="str">
        <v>d_332</v>
      </c>
      <c r="B333" s="2">
        <v>40903</v>
      </c>
      <c r="C333" s="4">
        <v>1</v>
      </c>
      <c r="D333" s="4">
        <v>0</v>
      </c>
      <c r="E333" s="4">
        <v>0</v>
      </c>
      <c r="F333">
        <f t="shared" si="45"/>
        <v>2</v>
      </c>
      <c r="G333">
        <f t="shared" si="46"/>
        <v>0.5</v>
      </c>
      <c r="H333" s="4">
        <f t="shared" si="47"/>
        <v>0</v>
      </c>
      <c r="I333" s="4">
        <f t="shared" si="39"/>
        <v>0</v>
      </c>
      <c r="J333" s="4">
        <f t="shared" si="40"/>
        <v>0</v>
      </c>
      <c r="K333" s="4">
        <f t="shared" si="41"/>
        <v>0</v>
      </c>
      <c r="L333" s="4">
        <f t="shared" si="42"/>
        <v>0.5</v>
      </c>
      <c r="M333" s="4">
        <f t="shared" si="43"/>
        <v>0.5</v>
      </c>
      <c r="N333" s="4">
        <f t="shared" si="44"/>
        <v>0</v>
      </c>
    </row>
    <row r="334" spans="1:14" x14ac:dyDescent="0.2">
      <c r="A334" t="str">
        <v>d_333</v>
      </c>
      <c r="B334" s="2">
        <v>40904</v>
      </c>
      <c r="C334" s="4">
        <v>1</v>
      </c>
      <c r="D334" s="4">
        <v>1</v>
      </c>
      <c r="E334" s="4">
        <v>0</v>
      </c>
      <c r="F334">
        <f t="shared" si="45"/>
        <v>3</v>
      </c>
      <c r="G334">
        <f t="shared" si="46"/>
        <v>0.5</v>
      </c>
      <c r="H334" s="4">
        <f t="shared" si="47"/>
        <v>0</v>
      </c>
      <c r="I334" s="4">
        <f t="shared" si="39"/>
        <v>1</v>
      </c>
      <c r="J334" s="4">
        <f t="shared" si="40"/>
        <v>1</v>
      </c>
      <c r="K334" s="4">
        <f t="shared" si="41"/>
        <v>1</v>
      </c>
      <c r="L334" s="4">
        <f t="shared" si="42"/>
        <v>0.5</v>
      </c>
      <c r="M334" s="4">
        <f t="shared" si="43"/>
        <v>0</v>
      </c>
      <c r="N334" s="4">
        <f t="shared" si="44"/>
        <v>0</v>
      </c>
    </row>
    <row r="335" spans="1:14" x14ac:dyDescent="0.2">
      <c r="A335" t="str">
        <v>d_334</v>
      </c>
      <c r="B335" s="2">
        <v>40905</v>
      </c>
      <c r="C335" s="4">
        <v>1</v>
      </c>
      <c r="D335" s="4">
        <v>0</v>
      </c>
      <c r="E335" s="4">
        <v>0</v>
      </c>
      <c r="F335">
        <f t="shared" si="45"/>
        <v>2</v>
      </c>
      <c r="G335">
        <f t="shared" si="46"/>
        <v>0</v>
      </c>
      <c r="H335" s="4">
        <f t="shared" si="47"/>
        <v>1</v>
      </c>
      <c r="I335" s="4">
        <f t="shared" si="39"/>
        <v>0.5</v>
      </c>
      <c r="J335" s="4">
        <f t="shared" si="40"/>
        <v>1</v>
      </c>
      <c r="K335" s="4">
        <f t="shared" si="41"/>
        <v>1</v>
      </c>
      <c r="L335" s="4">
        <f t="shared" si="42"/>
        <v>4.5</v>
      </c>
      <c r="M335" s="4">
        <f t="shared" si="43"/>
        <v>0.5</v>
      </c>
      <c r="N335" s="4">
        <f t="shared" si="44"/>
        <v>1</v>
      </c>
    </row>
    <row r="336" spans="1:14" x14ac:dyDescent="0.2">
      <c r="A336" t="str">
        <v>d_335</v>
      </c>
      <c r="B336" s="2">
        <v>40906</v>
      </c>
      <c r="C336" s="4">
        <v>0</v>
      </c>
      <c r="D336" s="4">
        <v>1</v>
      </c>
      <c r="E336" s="4">
        <v>0</v>
      </c>
      <c r="F336">
        <f t="shared" si="45"/>
        <v>2.5</v>
      </c>
      <c r="G336">
        <f t="shared" si="46"/>
        <v>1</v>
      </c>
      <c r="H336" s="4">
        <f t="shared" si="47"/>
        <v>0</v>
      </c>
      <c r="I336" s="4">
        <f t="shared" si="39"/>
        <v>1</v>
      </c>
      <c r="J336" s="4">
        <f t="shared" si="40"/>
        <v>0.5</v>
      </c>
      <c r="K336" s="4">
        <f t="shared" si="41"/>
        <v>0.5</v>
      </c>
      <c r="L336" s="4">
        <f t="shared" si="42"/>
        <v>2</v>
      </c>
      <c r="M336" s="4">
        <f t="shared" si="43"/>
        <v>0</v>
      </c>
      <c r="N336" s="4">
        <f t="shared" si="44"/>
        <v>0.5</v>
      </c>
    </row>
    <row r="337" spans="1:14" x14ac:dyDescent="0.2">
      <c r="A337" t="str">
        <v>d_336</v>
      </c>
      <c r="B337" s="2">
        <v>40907</v>
      </c>
      <c r="C337" s="4">
        <v>0</v>
      </c>
      <c r="D337" s="4">
        <v>0</v>
      </c>
      <c r="E337" s="4">
        <v>1</v>
      </c>
      <c r="F337">
        <f t="shared" si="45"/>
        <v>0.5</v>
      </c>
      <c r="G337">
        <f t="shared" si="46"/>
        <v>1</v>
      </c>
      <c r="H337" s="4">
        <f t="shared" si="47"/>
        <v>0.5</v>
      </c>
      <c r="I337" s="4">
        <f t="shared" ref="I337:I366" si="48">AVERAGE(C323,C336)</f>
        <v>1</v>
      </c>
      <c r="J337" s="4">
        <f t="shared" ref="J337:J366" si="49">AVERAGE(D323,D336)</f>
        <v>0.5</v>
      </c>
      <c r="K337" s="4">
        <f t="shared" ref="K337:K366" si="50">AVERAGE(E323,E336)</f>
        <v>0.5</v>
      </c>
      <c r="L337" s="4">
        <f t="shared" si="42"/>
        <v>0.5</v>
      </c>
      <c r="M337" s="4">
        <f t="shared" si="43"/>
        <v>1.5</v>
      </c>
      <c r="N337" s="4">
        <f t="shared" si="44"/>
        <v>0</v>
      </c>
    </row>
    <row r="338" spans="1:14" x14ac:dyDescent="0.2">
      <c r="A338" t="str">
        <v>d_337</v>
      </c>
      <c r="B338" s="2">
        <v>40908</v>
      </c>
      <c r="C338" s="4">
        <v>2</v>
      </c>
      <c r="D338" s="4">
        <v>1</v>
      </c>
      <c r="E338" s="4">
        <v>1</v>
      </c>
      <c r="F338">
        <f t="shared" si="45"/>
        <v>1</v>
      </c>
      <c r="G338">
        <f t="shared" si="46"/>
        <v>0.5</v>
      </c>
      <c r="H338" s="4">
        <f t="shared" si="47"/>
        <v>0.5</v>
      </c>
      <c r="I338" s="4">
        <f t="shared" si="48"/>
        <v>1</v>
      </c>
      <c r="J338" s="4">
        <f t="shared" si="49"/>
        <v>0</v>
      </c>
      <c r="K338" s="4">
        <f t="shared" si="50"/>
        <v>3.5</v>
      </c>
      <c r="L338" s="4">
        <f t="shared" si="42"/>
        <v>0.5</v>
      </c>
      <c r="M338" s="4">
        <f t="shared" si="43"/>
        <v>1</v>
      </c>
      <c r="N338" s="4">
        <f t="shared" si="44"/>
        <v>1</v>
      </c>
    </row>
    <row r="339" spans="1:14" x14ac:dyDescent="0.2">
      <c r="A339" t="str">
        <v>d_338</v>
      </c>
      <c r="B339" s="2">
        <v>40909</v>
      </c>
      <c r="C339" s="4">
        <v>2</v>
      </c>
      <c r="D339" s="4">
        <v>0</v>
      </c>
      <c r="E339" s="4">
        <v>0</v>
      </c>
      <c r="F339">
        <f t="shared" si="45"/>
        <v>1.5</v>
      </c>
      <c r="G339">
        <f t="shared" si="46"/>
        <v>0</v>
      </c>
      <c r="H339" s="4">
        <f t="shared" si="47"/>
        <v>0</v>
      </c>
      <c r="I339" s="4">
        <f t="shared" si="48"/>
        <v>4</v>
      </c>
      <c r="J339" s="4">
        <f t="shared" si="49"/>
        <v>1.5</v>
      </c>
      <c r="K339" s="4">
        <f t="shared" si="50"/>
        <v>0.5</v>
      </c>
      <c r="L339" s="4">
        <f t="shared" si="42"/>
        <v>3.5</v>
      </c>
      <c r="M339" s="4">
        <f t="shared" si="43"/>
        <v>1</v>
      </c>
      <c r="N339" s="4">
        <f t="shared" si="44"/>
        <v>1.5</v>
      </c>
    </row>
    <row r="340" spans="1:14" x14ac:dyDescent="0.2">
      <c r="A340" t="str">
        <v>d_339</v>
      </c>
      <c r="B340" s="2">
        <v>40910</v>
      </c>
      <c r="C340" s="4">
        <v>0</v>
      </c>
      <c r="D340" s="4">
        <v>2</v>
      </c>
      <c r="E340" s="4">
        <v>0</v>
      </c>
      <c r="F340">
        <f t="shared" si="45"/>
        <v>0.5</v>
      </c>
      <c r="G340">
        <f t="shared" si="46"/>
        <v>1.5</v>
      </c>
      <c r="H340" s="4">
        <f t="shared" si="47"/>
        <v>0</v>
      </c>
      <c r="I340" s="4">
        <f t="shared" si="48"/>
        <v>2</v>
      </c>
      <c r="J340" s="4">
        <f t="shared" si="49"/>
        <v>2</v>
      </c>
      <c r="K340" s="4">
        <f t="shared" si="50"/>
        <v>0.5</v>
      </c>
      <c r="L340" s="4">
        <f t="shared" si="42"/>
        <v>2.5</v>
      </c>
      <c r="M340" s="4">
        <f t="shared" si="43"/>
        <v>1</v>
      </c>
      <c r="N340" s="4">
        <f t="shared" si="44"/>
        <v>0</v>
      </c>
    </row>
    <row r="341" spans="1:14" x14ac:dyDescent="0.2">
      <c r="A341" t="str">
        <v>d_340</v>
      </c>
      <c r="B341" s="2">
        <v>40911</v>
      </c>
      <c r="C341" s="4">
        <v>0</v>
      </c>
      <c r="D341" s="4">
        <v>0</v>
      </c>
      <c r="E341" s="4">
        <v>0</v>
      </c>
      <c r="F341">
        <f t="shared" si="45"/>
        <v>0.5</v>
      </c>
      <c r="G341">
        <f t="shared" si="46"/>
        <v>0</v>
      </c>
      <c r="H341" s="4">
        <f t="shared" si="47"/>
        <v>0</v>
      </c>
      <c r="I341" s="4">
        <f t="shared" si="48"/>
        <v>1.5</v>
      </c>
      <c r="J341" s="4">
        <f t="shared" si="49"/>
        <v>1.5</v>
      </c>
      <c r="K341" s="4">
        <f t="shared" si="50"/>
        <v>0</v>
      </c>
      <c r="L341" s="4">
        <f t="shared" si="42"/>
        <v>1</v>
      </c>
      <c r="M341" s="4">
        <f t="shared" si="43"/>
        <v>2.5</v>
      </c>
      <c r="N341" s="4">
        <f t="shared" si="44"/>
        <v>0.5</v>
      </c>
    </row>
    <row r="342" spans="1:14" x14ac:dyDescent="0.2">
      <c r="A342" t="str">
        <v>d_341</v>
      </c>
      <c r="B342" s="2">
        <v>40912</v>
      </c>
      <c r="C342" s="4">
        <v>1</v>
      </c>
      <c r="D342" s="4">
        <v>2</v>
      </c>
      <c r="E342" s="4">
        <v>0</v>
      </c>
      <c r="F342">
        <f t="shared" si="45"/>
        <v>0.5</v>
      </c>
      <c r="G342">
        <f t="shared" si="46"/>
        <v>1.5</v>
      </c>
      <c r="H342" s="4">
        <f t="shared" si="47"/>
        <v>0</v>
      </c>
      <c r="I342" s="4">
        <f t="shared" si="48"/>
        <v>2.5</v>
      </c>
      <c r="J342" s="4">
        <f t="shared" si="49"/>
        <v>0</v>
      </c>
      <c r="K342" s="4">
        <f t="shared" si="50"/>
        <v>0</v>
      </c>
      <c r="L342" s="4">
        <f t="shared" si="42"/>
        <v>0</v>
      </c>
      <c r="M342" s="4">
        <f t="shared" si="43"/>
        <v>0</v>
      </c>
      <c r="N342" s="4">
        <f t="shared" si="44"/>
        <v>0</v>
      </c>
    </row>
    <row r="343" spans="1:14" x14ac:dyDescent="0.2">
      <c r="A343" t="str">
        <v>d_342</v>
      </c>
      <c r="B343" s="2">
        <v>40913</v>
      </c>
      <c r="C343" s="4">
        <v>1</v>
      </c>
      <c r="D343" s="4">
        <v>0</v>
      </c>
      <c r="E343" s="4">
        <v>1</v>
      </c>
      <c r="F343">
        <f t="shared" si="45"/>
        <v>0.5</v>
      </c>
      <c r="G343">
        <f t="shared" si="46"/>
        <v>0</v>
      </c>
      <c r="H343" s="4">
        <f t="shared" si="47"/>
        <v>1</v>
      </c>
      <c r="I343" s="4">
        <f t="shared" si="48"/>
        <v>2</v>
      </c>
      <c r="J343" s="4">
        <f t="shared" si="49"/>
        <v>1</v>
      </c>
      <c r="K343" s="4">
        <f t="shared" si="50"/>
        <v>1</v>
      </c>
      <c r="L343" s="4">
        <f t="shared" si="42"/>
        <v>1</v>
      </c>
      <c r="M343" s="4">
        <f t="shared" si="43"/>
        <v>2</v>
      </c>
      <c r="N343" s="4">
        <f t="shared" si="44"/>
        <v>0</v>
      </c>
    </row>
    <row r="344" spans="1:14" x14ac:dyDescent="0.2">
      <c r="A344" t="str">
        <v>d_343</v>
      </c>
      <c r="B344" s="2">
        <v>40914</v>
      </c>
      <c r="C344" s="4">
        <v>0</v>
      </c>
      <c r="D344" s="4">
        <v>0</v>
      </c>
      <c r="E344" s="4">
        <v>0</v>
      </c>
      <c r="F344">
        <f t="shared" si="45"/>
        <v>1</v>
      </c>
      <c r="G344">
        <f t="shared" si="46"/>
        <v>0.5</v>
      </c>
      <c r="H344" s="4">
        <f t="shared" si="47"/>
        <v>0.5</v>
      </c>
      <c r="I344" s="4">
        <f t="shared" si="48"/>
        <v>3</v>
      </c>
      <c r="J344" s="4">
        <f t="shared" si="49"/>
        <v>0.5</v>
      </c>
      <c r="K344" s="4">
        <f t="shared" si="50"/>
        <v>0.5</v>
      </c>
      <c r="L344" s="4">
        <f t="shared" si="42"/>
        <v>0.5</v>
      </c>
      <c r="M344" s="4">
        <f t="shared" si="43"/>
        <v>0</v>
      </c>
      <c r="N344" s="4">
        <f t="shared" si="44"/>
        <v>0.5</v>
      </c>
    </row>
    <row r="345" spans="1:14" x14ac:dyDescent="0.2">
      <c r="A345" t="str">
        <v>d_344</v>
      </c>
      <c r="B345" s="2">
        <v>40915</v>
      </c>
      <c r="C345" s="4">
        <v>1</v>
      </c>
      <c r="D345" s="4">
        <v>0</v>
      </c>
      <c r="E345" s="4">
        <v>0</v>
      </c>
      <c r="F345">
        <f t="shared" si="45"/>
        <v>1.5</v>
      </c>
      <c r="G345">
        <f t="shared" si="46"/>
        <v>0</v>
      </c>
      <c r="H345" s="4">
        <f t="shared" si="47"/>
        <v>0</v>
      </c>
      <c r="I345" s="4">
        <f t="shared" si="48"/>
        <v>0.5</v>
      </c>
      <c r="J345" s="4">
        <f t="shared" si="49"/>
        <v>1</v>
      </c>
      <c r="K345" s="4">
        <f t="shared" si="50"/>
        <v>0</v>
      </c>
      <c r="L345" s="4">
        <f t="shared" si="42"/>
        <v>0</v>
      </c>
      <c r="M345" s="4">
        <f t="shared" si="43"/>
        <v>0</v>
      </c>
      <c r="N345" s="4">
        <f t="shared" si="44"/>
        <v>1</v>
      </c>
    </row>
    <row r="346" spans="1:14" x14ac:dyDescent="0.2">
      <c r="A346" t="str">
        <v>d_345</v>
      </c>
      <c r="B346" s="2">
        <v>40916</v>
      </c>
      <c r="C346" s="4">
        <v>0</v>
      </c>
      <c r="D346" s="4">
        <v>4</v>
      </c>
      <c r="E346" s="4">
        <v>0</v>
      </c>
      <c r="F346">
        <f t="shared" si="45"/>
        <v>0</v>
      </c>
      <c r="G346">
        <f t="shared" si="46"/>
        <v>3</v>
      </c>
      <c r="H346" s="4">
        <f t="shared" si="47"/>
        <v>0</v>
      </c>
      <c r="I346" s="4">
        <f t="shared" si="48"/>
        <v>0.5</v>
      </c>
      <c r="J346" s="4">
        <f t="shared" si="49"/>
        <v>0</v>
      </c>
      <c r="K346" s="4">
        <f t="shared" si="50"/>
        <v>0</v>
      </c>
      <c r="L346" s="4">
        <f t="shared" si="42"/>
        <v>1.5</v>
      </c>
      <c r="M346" s="4">
        <f t="shared" si="43"/>
        <v>0</v>
      </c>
      <c r="N346" s="4">
        <f t="shared" si="44"/>
        <v>0.5</v>
      </c>
    </row>
    <row r="347" spans="1:14" x14ac:dyDescent="0.2">
      <c r="A347" t="str">
        <v>d_346</v>
      </c>
      <c r="B347" s="2">
        <v>40917</v>
      </c>
      <c r="C347" s="4">
        <v>0</v>
      </c>
      <c r="D347" s="4">
        <v>2</v>
      </c>
      <c r="E347" s="4">
        <v>0</v>
      </c>
      <c r="F347">
        <f t="shared" si="45"/>
        <v>0</v>
      </c>
      <c r="G347">
        <f t="shared" si="46"/>
        <v>1</v>
      </c>
      <c r="H347" s="4">
        <f t="shared" si="47"/>
        <v>0</v>
      </c>
      <c r="I347" s="4">
        <f t="shared" si="48"/>
        <v>0.5</v>
      </c>
      <c r="J347" s="4">
        <f t="shared" si="49"/>
        <v>2</v>
      </c>
      <c r="K347" s="4">
        <f t="shared" si="50"/>
        <v>0</v>
      </c>
      <c r="L347" s="4">
        <f t="shared" si="42"/>
        <v>0</v>
      </c>
      <c r="M347" s="4">
        <f t="shared" si="43"/>
        <v>2</v>
      </c>
      <c r="N347" s="4">
        <f t="shared" si="44"/>
        <v>0</v>
      </c>
    </row>
    <row r="348" spans="1:14" x14ac:dyDescent="0.2">
      <c r="A348" t="str">
        <v>d_347</v>
      </c>
      <c r="B348" s="2">
        <v>40918</v>
      </c>
      <c r="C348" s="4">
        <v>0</v>
      </c>
      <c r="D348" s="4">
        <v>0</v>
      </c>
      <c r="E348" s="4">
        <v>1</v>
      </c>
      <c r="F348">
        <f t="shared" si="45"/>
        <v>0.5</v>
      </c>
      <c r="G348">
        <f t="shared" si="46"/>
        <v>1</v>
      </c>
      <c r="H348" s="4">
        <f t="shared" si="47"/>
        <v>0.5</v>
      </c>
      <c r="I348" s="4">
        <f t="shared" si="48"/>
        <v>0.5</v>
      </c>
      <c r="J348" s="4">
        <f t="shared" si="49"/>
        <v>1.5</v>
      </c>
      <c r="K348" s="4">
        <f t="shared" si="50"/>
        <v>0</v>
      </c>
      <c r="L348" s="4">
        <f t="shared" si="42"/>
        <v>0.5</v>
      </c>
      <c r="M348" s="4">
        <f t="shared" si="43"/>
        <v>2</v>
      </c>
      <c r="N348" s="4">
        <f t="shared" si="44"/>
        <v>1</v>
      </c>
    </row>
    <row r="349" spans="1:14" x14ac:dyDescent="0.2">
      <c r="A349" t="str">
        <v>d_348</v>
      </c>
      <c r="B349" s="2">
        <v>40919</v>
      </c>
      <c r="C349" s="4">
        <v>2</v>
      </c>
      <c r="D349" s="4">
        <v>2</v>
      </c>
      <c r="E349" s="4">
        <v>1</v>
      </c>
      <c r="F349">
        <f t="shared" si="45"/>
        <v>1.5</v>
      </c>
      <c r="G349">
        <f t="shared" si="46"/>
        <v>1</v>
      </c>
      <c r="H349" s="4">
        <f t="shared" si="47"/>
        <v>1</v>
      </c>
      <c r="I349" s="4">
        <f t="shared" si="48"/>
        <v>0.5</v>
      </c>
      <c r="J349" s="4">
        <f t="shared" si="49"/>
        <v>0</v>
      </c>
      <c r="K349" s="4">
        <f t="shared" si="50"/>
        <v>0.5</v>
      </c>
      <c r="L349" s="4">
        <f t="shared" si="42"/>
        <v>0</v>
      </c>
      <c r="M349" s="4">
        <f t="shared" si="43"/>
        <v>0.5</v>
      </c>
      <c r="N349" s="4">
        <f t="shared" si="44"/>
        <v>1.5</v>
      </c>
    </row>
    <row r="350" spans="1:14" x14ac:dyDescent="0.2">
      <c r="A350" t="str">
        <v>d_349</v>
      </c>
      <c r="B350" s="2">
        <v>40920</v>
      </c>
      <c r="C350" s="4">
        <v>0</v>
      </c>
      <c r="D350" s="4">
        <v>1</v>
      </c>
      <c r="E350" s="4">
        <v>0</v>
      </c>
      <c r="F350">
        <f t="shared" si="45"/>
        <v>0</v>
      </c>
      <c r="G350">
        <f t="shared" si="46"/>
        <v>0.5</v>
      </c>
      <c r="H350" s="4">
        <f t="shared" si="47"/>
        <v>0</v>
      </c>
      <c r="I350" s="4">
        <f t="shared" si="48"/>
        <v>1</v>
      </c>
      <c r="J350" s="4">
        <f t="shared" si="49"/>
        <v>1.5</v>
      </c>
      <c r="K350" s="4">
        <f t="shared" si="50"/>
        <v>0.5</v>
      </c>
      <c r="L350" s="4">
        <f t="shared" si="42"/>
        <v>1.5</v>
      </c>
      <c r="M350" s="4">
        <f t="shared" si="43"/>
        <v>1.5</v>
      </c>
      <c r="N350" s="4">
        <f t="shared" si="44"/>
        <v>1</v>
      </c>
    </row>
    <row r="351" spans="1:14" x14ac:dyDescent="0.2">
      <c r="A351" t="str">
        <v>d_350</v>
      </c>
      <c r="B351" s="2">
        <v>40921</v>
      </c>
      <c r="C351" s="4">
        <v>1</v>
      </c>
      <c r="D351" s="4">
        <v>0</v>
      </c>
      <c r="E351" s="4">
        <v>1</v>
      </c>
      <c r="F351">
        <f t="shared" si="45"/>
        <v>1</v>
      </c>
      <c r="G351">
        <f t="shared" si="46"/>
        <v>0</v>
      </c>
      <c r="H351" s="4">
        <f t="shared" si="47"/>
        <v>0.5</v>
      </c>
      <c r="I351" s="4">
        <f t="shared" si="48"/>
        <v>0</v>
      </c>
      <c r="J351" s="4">
        <f t="shared" si="49"/>
        <v>0.5</v>
      </c>
      <c r="K351" s="4">
        <f t="shared" si="50"/>
        <v>0.5</v>
      </c>
      <c r="L351" s="4">
        <f t="shared" ref="L351:L366" si="51">AVERAGE(C323,C350)</f>
        <v>1</v>
      </c>
      <c r="M351" s="4">
        <f t="shared" ref="M351:M366" si="52">AVERAGE(D323,D350)</f>
        <v>0.5</v>
      </c>
      <c r="N351" s="4">
        <f t="shared" ref="N351:N366" si="53">AVERAGE(E323,E350)</f>
        <v>0.5</v>
      </c>
    </row>
    <row r="352" spans="1:14" x14ac:dyDescent="0.2">
      <c r="A352" t="str">
        <v>d_351</v>
      </c>
      <c r="B352" s="2">
        <v>40922</v>
      </c>
      <c r="C352" s="4">
        <v>0</v>
      </c>
      <c r="D352" s="4">
        <v>1</v>
      </c>
      <c r="E352" s="4">
        <v>4</v>
      </c>
      <c r="F352">
        <f t="shared" si="45"/>
        <v>0</v>
      </c>
      <c r="G352">
        <f t="shared" si="46"/>
        <v>2.5</v>
      </c>
      <c r="H352" s="4">
        <f t="shared" si="47"/>
        <v>2</v>
      </c>
      <c r="I352" s="4">
        <f t="shared" si="48"/>
        <v>1.5</v>
      </c>
      <c r="J352" s="4">
        <f t="shared" si="49"/>
        <v>0.5</v>
      </c>
      <c r="K352" s="4">
        <f t="shared" si="50"/>
        <v>1</v>
      </c>
      <c r="L352" s="4">
        <f t="shared" si="51"/>
        <v>1.5</v>
      </c>
      <c r="M352" s="4">
        <f t="shared" si="52"/>
        <v>0</v>
      </c>
      <c r="N352" s="4">
        <f t="shared" si="53"/>
        <v>3.5</v>
      </c>
    </row>
    <row r="353" spans="1:14" x14ac:dyDescent="0.2">
      <c r="A353" t="str">
        <v>d_352</v>
      </c>
      <c r="B353" s="2">
        <v>40923</v>
      </c>
      <c r="C353" s="4">
        <v>1</v>
      </c>
      <c r="D353" s="4">
        <v>0</v>
      </c>
      <c r="E353" s="4">
        <v>0</v>
      </c>
      <c r="F353">
        <f t="shared" si="45"/>
        <v>0.5</v>
      </c>
      <c r="G353">
        <f t="shared" si="46"/>
        <v>1</v>
      </c>
      <c r="H353" s="4">
        <f t="shared" si="47"/>
        <v>0</v>
      </c>
      <c r="I353" s="4">
        <f t="shared" si="48"/>
        <v>1</v>
      </c>
      <c r="J353" s="4">
        <f t="shared" si="49"/>
        <v>0.5</v>
      </c>
      <c r="K353" s="4">
        <f t="shared" si="50"/>
        <v>2</v>
      </c>
      <c r="L353" s="4">
        <f t="shared" si="51"/>
        <v>3</v>
      </c>
      <c r="M353" s="4">
        <f t="shared" si="52"/>
        <v>1.5</v>
      </c>
      <c r="N353" s="4">
        <f t="shared" si="53"/>
        <v>2</v>
      </c>
    </row>
    <row r="354" spans="1:14" x14ac:dyDescent="0.2">
      <c r="A354" t="str">
        <v>d_353</v>
      </c>
      <c r="B354" s="2">
        <v>40924</v>
      </c>
      <c r="C354" s="4">
        <v>1</v>
      </c>
      <c r="D354" s="4">
        <v>0</v>
      </c>
      <c r="E354" s="4">
        <v>0</v>
      </c>
      <c r="F354">
        <f t="shared" si="45"/>
        <v>0.5</v>
      </c>
      <c r="G354">
        <f t="shared" si="46"/>
        <v>0</v>
      </c>
      <c r="H354" s="4">
        <f t="shared" si="47"/>
        <v>0.5</v>
      </c>
      <c r="I354" s="4">
        <f t="shared" si="48"/>
        <v>0.5</v>
      </c>
      <c r="J354" s="4">
        <f t="shared" si="49"/>
        <v>1</v>
      </c>
      <c r="K354" s="4">
        <f t="shared" si="50"/>
        <v>0</v>
      </c>
      <c r="L354" s="4">
        <f t="shared" si="51"/>
        <v>1.5</v>
      </c>
      <c r="M354" s="4">
        <f t="shared" si="52"/>
        <v>2</v>
      </c>
      <c r="N354" s="4">
        <f t="shared" si="53"/>
        <v>0.5</v>
      </c>
    </row>
    <row r="355" spans="1:14" x14ac:dyDescent="0.2">
      <c r="A355" t="str">
        <v>d_354</v>
      </c>
      <c r="B355" s="2">
        <v>40925</v>
      </c>
      <c r="C355" s="4">
        <v>1</v>
      </c>
      <c r="D355" s="4">
        <v>1</v>
      </c>
      <c r="E355" s="4">
        <v>2</v>
      </c>
      <c r="F355">
        <f t="shared" si="45"/>
        <v>1.5</v>
      </c>
      <c r="G355">
        <f t="shared" si="46"/>
        <v>1.5</v>
      </c>
      <c r="H355" s="4">
        <f t="shared" si="47"/>
        <v>1.5</v>
      </c>
      <c r="I355" s="4">
        <f t="shared" si="48"/>
        <v>0.5</v>
      </c>
      <c r="J355" s="4">
        <f t="shared" si="49"/>
        <v>0</v>
      </c>
      <c r="K355" s="4">
        <f t="shared" si="50"/>
        <v>0</v>
      </c>
      <c r="L355" s="4">
        <f t="shared" si="51"/>
        <v>2</v>
      </c>
      <c r="M355" s="4">
        <f t="shared" si="52"/>
        <v>0.5</v>
      </c>
      <c r="N355" s="4">
        <f t="shared" si="53"/>
        <v>0</v>
      </c>
    </row>
    <row r="356" spans="1:14" x14ac:dyDescent="0.2">
      <c r="A356" t="str">
        <v>d_355</v>
      </c>
      <c r="B356" s="2">
        <v>40926</v>
      </c>
      <c r="C356" s="4">
        <v>0</v>
      </c>
      <c r="D356" s="4">
        <v>1</v>
      </c>
      <c r="E356" s="4">
        <v>0</v>
      </c>
      <c r="F356">
        <f t="shared" si="45"/>
        <v>0</v>
      </c>
      <c r="G356">
        <f t="shared" si="46"/>
        <v>1</v>
      </c>
      <c r="H356" s="4">
        <f t="shared" si="47"/>
        <v>0</v>
      </c>
      <c r="I356" s="4">
        <f t="shared" si="48"/>
        <v>1</v>
      </c>
      <c r="J356" s="4">
        <f t="shared" si="49"/>
        <v>1.5</v>
      </c>
      <c r="K356" s="4">
        <f t="shared" si="50"/>
        <v>1</v>
      </c>
      <c r="L356" s="4">
        <f t="shared" si="51"/>
        <v>3</v>
      </c>
      <c r="M356" s="4">
        <f t="shared" si="52"/>
        <v>0.5</v>
      </c>
      <c r="N356" s="4">
        <f t="shared" si="53"/>
        <v>1</v>
      </c>
    </row>
    <row r="357" spans="1:14" x14ac:dyDescent="0.2">
      <c r="A357" t="str">
        <v>d_356</v>
      </c>
      <c r="B357" s="2">
        <v>40927</v>
      </c>
      <c r="C357" s="4">
        <v>0</v>
      </c>
      <c r="D357" s="4">
        <v>1</v>
      </c>
      <c r="E357" s="4">
        <v>0</v>
      </c>
      <c r="F357">
        <f t="shared" si="45"/>
        <v>0.5</v>
      </c>
      <c r="G357">
        <f t="shared" si="46"/>
        <v>0.5</v>
      </c>
      <c r="H357" s="4">
        <f t="shared" si="47"/>
        <v>0.5</v>
      </c>
      <c r="I357" s="4">
        <f t="shared" si="48"/>
        <v>0.5</v>
      </c>
      <c r="J357" s="4">
        <f t="shared" si="49"/>
        <v>0.5</v>
      </c>
      <c r="K357" s="4">
        <f t="shared" si="50"/>
        <v>0.5</v>
      </c>
      <c r="L357" s="4">
        <f t="shared" si="51"/>
        <v>1.5</v>
      </c>
      <c r="M357" s="4">
        <f t="shared" si="52"/>
        <v>0.5</v>
      </c>
      <c r="N357" s="4">
        <f t="shared" si="53"/>
        <v>1</v>
      </c>
    </row>
    <row r="358" spans="1:14" x14ac:dyDescent="0.2">
      <c r="A358" t="str">
        <v>d_357</v>
      </c>
      <c r="B358" s="2">
        <v>40928</v>
      </c>
      <c r="C358" s="4">
        <v>4</v>
      </c>
      <c r="D358" s="4">
        <v>0</v>
      </c>
      <c r="E358" s="4">
        <v>0</v>
      </c>
      <c r="F358">
        <f t="shared" si="45"/>
        <v>2</v>
      </c>
      <c r="G358">
        <f t="shared" si="46"/>
        <v>0.5</v>
      </c>
      <c r="H358" s="4">
        <f t="shared" si="47"/>
        <v>2</v>
      </c>
      <c r="I358" s="4">
        <f t="shared" si="48"/>
        <v>0</v>
      </c>
      <c r="J358" s="4">
        <f t="shared" si="49"/>
        <v>0.5</v>
      </c>
      <c r="K358" s="4">
        <f t="shared" si="50"/>
        <v>0</v>
      </c>
      <c r="L358" s="4">
        <f t="shared" si="51"/>
        <v>2.5</v>
      </c>
      <c r="M358" s="4">
        <f t="shared" si="52"/>
        <v>1</v>
      </c>
      <c r="N358" s="4">
        <f t="shared" si="53"/>
        <v>0</v>
      </c>
    </row>
    <row r="359" spans="1:14" x14ac:dyDescent="0.2">
      <c r="A359" t="str">
        <v>d_358</v>
      </c>
      <c r="B359" s="2">
        <v>40929</v>
      </c>
      <c r="C359" s="4">
        <v>1</v>
      </c>
      <c r="D359" s="4">
        <v>0</v>
      </c>
      <c r="E359" s="4">
        <v>0</v>
      </c>
      <c r="F359">
        <f t="shared" si="45"/>
        <v>1</v>
      </c>
      <c r="G359">
        <f t="shared" si="46"/>
        <v>0</v>
      </c>
      <c r="H359" s="4">
        <f t="shared" si="47"/>
        <v>0</v>
      </c>
      <c r="I359" s="4">
        <f t="shared" si="48"/>
        <v>2.5</v>
      </c>
      <c r="J359" s="4">
        <f t="shared" si="49"/>
        <v>0</v>
      </c>
      <c r="K359" s="4">
        <f t="shared" si="50"/>
        <v>0</v>
      </c>
      <c r="L359" s="4">
        <f t="shared" si="51"/>
        <v>2.5</v>
      </c>
      <c r="M359" s="4">
        <f t="shared" si="52"/>
        <v>1</v>
      </c>
      <c r="N359" s="4">
        <f t="shared" si="53"/>
        <v>0</v>
      </c>
    </row>
    <row r="360" spans="1:14" x14ac:dyDescent="0.2">
      <c r="A360" t="str">
        <v>d_359</v>
      </c>
      <c r="B360" s="2">
        <v>40930</v>
      </c>
      <c r="C360" s="4">
        <v>1</v>
      </c>
      <c r="D360" s="4">
        <v>0</v>
      </c>
      <c r="E360" s="4">
        <v>0</v>
      </c>
      <c r="F360">
        <f t="shared" si="45"/>
        <v>1</v>
      </c>
      <c r="G360">
        <f t="shared" si="46"/>
        <v>0</v>
      </c>
      <c r="H360" s="4">
        <f t="shared" si="47"/>
        <v>0</v>
      </c>
      <c r="I360" s="4">
        <f t="shared" si="48"/>
        <v>0.5</v>
      </c>
      <c r="J360" s="4">
        <f t="shared" si="49"/>
        <v>2</v>
      </c>
      <c r="K360" s="4">
        <f t="shared" si="50"/>
        <v>0</v>
      </c>
      <c r="L360" s="4">
        <f t="shared" si="51"/>
        <v>0.5</v>
      </c>
      <c r="M360" s="4">
        <f t="shared" si="52"/>
        <v>0</v>
      </c>
      <c r="N360" s="4">
        <f t="shared" si="53"/>
        <v>0</v>
      </c>
    </row>
    <row r="361" spans="1:14" x14ac:dyDescent="0.2">
      <c r="A361" t="str">
        <v>d_360</v>
      </c>
      <c r="B361" s="2">
        <v>40931</v>
      </c>
      <c r="C361" s="4">
        <v>0</v>
      </c>
      <c r="D361" s="4">
        <v>2</v>
      </c>
      <c r="E361" s="4">
        <v>0</v>
      </c>
      <c r="F361">
        <f t="shared" si="45"/>
        <v>0.5</v>
      </c>
      <c r="G361">
        <f t="shared" si="46"/>
        <v>1.5</v>
      </c>
      <c r="H361" s="4">
        <f t="shared" si="47"/>
        <v>1</v>
      </c>
      <c r="I361" s="4">
        <f t="shared" si="48"/>
        <v>0.5</v>
      </c>
      <c r="J361" s="4">
        <f t="shared" si="49"/>
        <v>1</v>
      </c>
      <c r="K361" s="4">
        <f t="shared" si="50"/>
        <v>0</v>
      </c>
      <c r="L361" s="4">
        <f t="shared" si="51"/>
        <v>1</v>
      </c>
      <c r="M361" s="4">
        <f t="shared" si="52"/>
        <v>0</v>
      </c>
      <c r="N361" s="4">
        <f t="shared" si="53"/>
        <v>0</v>
      </c>
    </row>
    <row r="362" spans="1:14" x14ac:dyDescent="0.2">
      <c r="A362" t="str">
        <v>d_361</v>
      </c>
      <c r="B362" s="2">
        <v>40932</v>
      </c>
      <c r="C362" s="4">
        <v>0</v>
      </c>
      <c r="D362" s="4">
        <v>0</v>
      </c>
      <c r="E362" s="4">
        <v>1</v>
      </c>
      <c r="F362">
        <f t="shared" si="45"/>
        <v>0</v>
      </c>
      <c r="G362">
        <f t="shared" si="46"/>
        <v>0.5</v>
      </c>
      <c r="H362" s="4">
        <f t="shared" si="47"/>
        <v>0.5</v>
      </c>
      <c r="I362" s="4">
        <f t="shared" si="48"/>
        <v>0</v>
      </c>
      <c r="J362" s="4">
        <f t="shared" si="49"/>
        <v>1</v>
      </c>
      <c r="K362" s="4">
        <f t="shared" si="50"/>
        <v>0.5</v>
      </c>
      <c r="L362" s="4">
        <f t="shared" si="51"/>
        <v>0.5</v>
      </c>
      <c r="M362" s="4">
        <f t="shared" si="52"/>
        <v>1.5</v>
      </c>
      <c r="N362" s="4">
        <f t="shared" si="53"/>
        <v>0</v>
      </c>
    </row>
    <row r="363" spans="1:14" x14ac:dyDescent="0.2">
      <c r="A363" t="str">
        <v>d_362</v>
      </c>
      <c r="B363" s="2">
        <v>40933</v>
      </c>
      <c r="C363" s="4">
        <v>0</v>
      </c>
      <c r="D363" s="4">
        <v>1</v>
      </c>
      <c r="E363" s="4">
        <v>1</v>
      </c>
      <c r="F363">
        <f t="shared" si="45"/>
        <v>0</v>
      </c>
      <c r="G363">
        <f t="shared" si="46"/>
        <v>1</v>
      </c>
      <c r="H363" s="4">
        <f t="shared" si="47"/>
        <v>0.5</v>
      </c>
      <c r="I363" s="4">
        <f t="shared" si="48"/>
        <v>1</v>
      </c>
      <c r="J363" s="4">
        <f t="shared" si="49"/>
        <v>1</v>
      </c>
      <c r="K363" s="4">
        <f t="shared" si="50"/>
        <v>1</v>
      </c>
      <c r="L363" s="4">
        <f t="shared" si="51"/>
        <v>0.5</v>
      </c>
      <c r="M363" s="4">
        <f t="shared" si="52"/>
        <v>0</v>
      </c>
      <c r="N363" s="4">
        <f t="shared" si="53"/>
        <v>0.5</v>
      </c>
    </row>
    <row r="364" spans="1:14" x14ac:dyDescent="0.2">
      <c r="A364" t="str">
        <v>d_363</v>
      </c>
      <c r="B364" s="2">
        <v>40934</v>
      </c>
      <c r="C364" s="4">
        <v>0</v>
      </c>
      <c r="D364" s="4">
        <v>3</v>
      </c>
      <c r="E364" s="4">
        <v>1</v>
      </c>
      <c r="F364">
        <f t="shared" si="45"/>
        <v>2</v>
      </c>
      <c r="G364">
        <f t="shared" si="46"/>
        <v>1.5</v>
      </c>
      <c r="H364" s="4">
        <f t="shared" si="47"/>
        <v>0.5</v>
      </c>
      <c r="I364" s="4">
        <f t="shared" si="48"/>
        <v>0</v>
      </c>
      <c r="J364" s="4">
        <f t="shared" si="49"/>
        <v>1</v>
      </c>
      <c r="K364" s="4">
        <f t="shared" si="50"/>
        <v>0.5</v>
      </c>
      <c r="L364" s="4">
        <f t="shared" si="51"/>
        <v>0</v>
      </c>
      <c r="M364" s="4">
        <f t="shared" si="52"/>
        <v>1</v>
      </c>
      <c r="N364" s="4">
        <f t="shared" si="53"/>
        <v>0.5</v>
      </c>
    </row>
    <row r="365" spans="1:14" x14ac:dyDescent="0.2">
      <c r="A365" t="str">
        <v>d_364</v>
      </c>
      <c r="B365" s="2">
        <v>40935</v>
      </c>
      <c r="C365" s="4">
        <v>0</v>
      </c>
      <c r="D365" s="4">
        <v>0</v>
      </c>
      <c r="E365" s="4">
        <v>0</v>
      </c>
      <c r="F365">
        <f t="shared" si="45"/>
        <v>0.5</v>
      </c>
      <c r="G365">
        <f t="shared" si="46"/>
        <v>0</v>
      </c>
      <c r="H365" s="4">
        <f t="shared" si="47"/>
        <v>0</v>
      </c>
      <c r="I365" s="4">
        <f t="shared" si="48"/>
        <v>0.5</v>
      </c>
      <c r="J365" s="4">
        <f t="shared" si="49"/>
        <v>1.5</v>
      </c>
      <c r="K365" s="4">
        <f t="shared" si="50"/>
        <v>1</v>
      </c>
      <c r="L365" s="4">
        <f t="shared" si="51"/>
        <v>0</v>
      </c>
      <c r="M365" s="4">
        <f t="shared" si="52"/>
        <v>1.5</v>
      </c>
      <c r="N365" s="4">
        <f t="shared" si="53"/>
        <v>1</v>
      </c>
    </row>
    <row r="366" spans="1:14" x14ac:dyDescent="0.2">
      <c r="A366" t="str">
        <v>d_365</v>
      </c>
      <c r="B366" s="2">
        <v>40936</v>
      </c>
      <c r="C366" s="4">
        <v>2</v>
      </c>
      <c r="D366" s="4">
        <v>0</v>
      </c>
      <c r="E366" s="4">
        <v>1</v>
      </c>
      <c r="F366">
        <f t="shared" si="45"/>
        <v>1.5</v>
      </c>
      <c r="G366">
        <f t="shared" si="46"/>
        <v>0</v>
      </c>
      <c r="H366" s="4">
        <f t="shared" si="47"/>
        <v>0.5</v>
      </c>
      <c r="I366" s="4">
        <f t="shared" si="48"/>
        <v>0</v>
      </c>
      <c r="J366" s="4">
        <f t="shared" si="49"/>
        <v>0.5</v>
      </c>
      <c r="K366" s="4">
        <f t="shared" si="50"/>
        <v>2</v>
      </c>
      <c r="L366" s="4">
        <f t="shared" si="51"/>
        <v>1</v>
      </c>
      <c r="M366" s="4">
        <f t="shared" si="52"/>
        <v>0.5</v>
      </c>
      <c r="N366" s="4">
        <f t="shared" si="53"/>
        <v>0.5</v>
      </c>
    </row>
    <row r="370" spans="2:13" x14ac:dyDescent="0.2">
      <c r="B370" t="s">
        <v>400</v>
      </c>
      <c r="C370" t="s">
        <v>401</v>
      </c>
      <c r="D370" t="s">
        <v>404</v>
      </c>
      <c r="E370" t="s">
        <v>403</v>
      </c>
      <c r="G370" t="s">
        <v>409</v>
      </c>
      <c r="H370" t="s">
        <v>402</v>
      </c>
      <c r="I370" t="s">
        <v>410</v>
      </c>
      <c r="K370" t="s">
        <v>411</v>
      </c>
      <c r="L370" t="s">
        <v>412</v>
      </c>
      <c r="M370" t="s">
        <v>413</v>
      </c>
    </row>
    <row r="371" spans="2:13" x14ac:dyDescent="0.2">
      <c r="B371" t="s">
        <v>405</v>
      </c>
      <c r="C371" cm="1">
        <f t="array" ref="C371">SUMPRODUCT(ABS(C302:C366 - F302:F366))/65</f>
        <v>0.87692307692307692</v>
      </c>
      <c r="D371" cm="1">
        <f t="array" ref="D371">SUMPRODUCT(ABS(C302:C366 - I302:I366))/65</f>
        <v>1.3384615384615384</v>
      </c>
      <c r="E371" cm="1">
        <f t="array" ref="E371">SUMPRODUCT(ABS(C302:C366 -L302:L366))/65</f>
        <v>1.2615384615384615</v>
      </c>
    </row>
    <row r="372" spans="2:13" x14ac:dyDescent="0.2">
      <c r="B372" t="s">
        <v>406</v>
      </c>
      <c r="C372" cm="1">
        <f t="array" ref="C372">SQRT(SUMPRODUCT(ABS(C302:C366 - F302:F366)^2)/65)</f>
        <v>1.2403473458920846</v>
      </c>
      <c r="D372" cm="1">
        <f t="array" ref="D372">SQRT(SUMPRODUCT(ABS(C302:C366 - I302:I366)^2)/65)</f>
        <v>1.8543089112824591</v>
      </c>
      <c r="E372" cm="1">
        <f t="array" ref="E372">SQRT(SUMPRODUCT(ABS(C302:C366 - L302:L366)^2)/65)</f>
        <v>1.6756169931378433</v>
      </c>
    </row>
    <row r="373" spans="2:13" x14ac:dyDescent="0.2">
      <c r="B373" t="s">
        <v>407</v>
      </c>
      <c r="C373" cm="1">
        <f t="array" ref="C373">SUMPRODUCT(ABS((C302:C366-F302:F366)/IF(C302:C366=0,1,C302:C366)))/65</f>
        <v>0.59128205128205136</v>
      </c>
      <c r="D373" cm="1">
        <f t="array" ref="D373">SUMPRODUCT(ABS((C302:C366-I302:I366)/IF(C302:C366=0,1,C302:C366)))/65</f>
        <v>0.89846153846153842</v>
      </c>
      <c r="E373" cm="1">
        <f t="array" ref="E373">SUMPRODUCT(ABS((C302:C366-L302:L366)/IF(C302:C366=0,1,C302:C366)))/65</f>
        <v>0.86288461538461547</v>
      </c>
    </row>
    <row r="374" spans="2:13" x14ac:dyDescent="0.2">
      <c r="B374" t="s">
        <v>408</v>
      </c>
      <c r="C374" s="4" cm="1">
        <f t="array" ref="C374">AVERAGE(C302:C366-F302:F366)</f>
        <v>-4.6153846153846156E-2</v>
      </c>
      <c r="D374" s="4" cm="1">
        <f t="array" ref="D374">AVERAGE(C302:C366-I302:I366)</f>
        <v>-3.0769230769230771E-2</v>
      </c>
      <c r="E374" s="4" cm="1">
        <f t="array" ref="E374">AVERAGE(C302:C366-L302:L366)</f>
        <v>-7.6923076923076927E-2</v>
      </c>
    </row>
  </sheetData>
  <conditionalFormatting sqref="B370:E374 G370:I370 K370:M37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D165-D353-A34B-A3B5-0686E4C5CF9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InputData</vt:lpstr>
      <vt:lpstr>MovingAverages</vt:lpstr>
      <vt:lpstr>Simple Exponential Smoothing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Chudali</dc:creator>
  <cp:lastModifiedBy>Niraj Chudali</cp:lastModifiedBy>
  <dcterms:created xsi:type="dcterms:W3CDTF">2026-06-15T01:48:39Z</dcterms:created>
  <dcterms:modified xsi:type="dcterms:W3CDTF">2026-06-15T14:14:49Z</dcterms:modified>
</cp:coreProperties>
</file>
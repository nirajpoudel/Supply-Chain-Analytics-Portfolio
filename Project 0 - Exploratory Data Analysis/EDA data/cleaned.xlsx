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j/Downloads/m5-forecasting-accuracy/"/>
    </mc:Choice>
  </mc:AlternateContent>
  <xr:revisionPtr revIDLastSave="0" documentId="13_ncr:1_{A0047BE3-6B78-8D45-8CDC-8828122BF6EA}" xr6:coauthVersionLast="47" xr6:coauthVersionMax="47" xr10:uidLastSave="{00000000-0000-0000-0000-000000000000}"/>
  <bookViews>
    <workbookView xWindow="1080" yWindow="820" windowWidth="27640" windowHeight="16860" activeTab="3" xr2:uid="{4481C919-CC32-1D47-9779-269080D11644}"/>
  </bookViews>
  <sheets>
    <sheet name="raw_sales" sheetId="1" r:id="rId1"/>
    <sheet name="transformed_sales" sheetId="2" r:id="rId2"/>
    <sheet name="calendar" sheetId="3" r:id="rId3"/>
    <sheet name="data_quality" sheetId="4" r:id="rId4"/>
  </sheets>
  <definedNames>
    <definedName name="_xlnm._FilterDatabase" localSheetId="2" hidden="1">calendar!$A$1:$I$366</definedName>
    <definedName name="_xlnm._FilterDatabase" localSheetId="0" hidden="1">raw_sales!$A$1:$NC$4</definedName>
    <definedName name="ExternalData_1" localSheetId="1" hidden="1">transformed_sales!$A$1:$D$1096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4" l="1"/>
  <c r="E16" i="4" a="1"/>
  <c r="C18" i="4"/>
  <c r="C17" i="4"/>
  <c r="B18" i="4"/>
  <c r="B17" i="4"/>
  <c r="D16" i="4"/>
  <c r="C16" i="4"/>
  <c r="B16" i="4"/>
  <c r="C7" i="4"/>
  <c r="A16" i="4" a="1"/>
  <c r="B7" i="4"/>
  <c r="B9" i="4"/>
  <c r="B8" i="4"/>
  <c r="A7" i="4" a="1"/>
  <c r="ND3" i="1"/>
  <c r="ND4" i="1"/>
  <c r="ND2" i="1"/>
  <c r="A3" i="4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732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367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2" i="3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732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36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732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367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732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36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732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36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732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36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2" i="2"/>
  <c r="E16" i="4" l="1"/>
  <c r="A16" i="4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732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25" i="2"/>
  <c r="I726" i="2"/>
  <c r="I727" i="2"/>
  <c r="I728" i="2"/>
  <c r="I729" i="2"/>
  <c r="I730" i="2"/>
  <c r="I731" i="2"/>
  <c r="I367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B10" i="4"/>
  <c r="A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A0A4B-4533-384C-8180-E5C5C459328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<sst xmlns="http://schemas.openxmlformats.org/spreadsheetml/2006/main" count="4480" uniqueCount="437">
  <si>
    <t>item_id</t>
  </si>
  <si>
    <t>store_id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</si>
  <si>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</si>
  <si>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</si>
  <si>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</si>
  <si>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</si>
  <si>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</si>
  <si>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</si>
  <si>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</si>
  <si>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</si>
  <si>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</si>
  <si>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</si>
  <si>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</si>
  <si>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</si>
  <si>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</si>
  <si>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</si>
  <si>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</si>
  <si>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</si>
  <si>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</si>
  <si>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</si>
  <si>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</si>
  <si>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</si>
  <si>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</si>
  <si>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</si>
  <si>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</si>
  <si>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</si>
  <si>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</si>
  <si>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</si>
  <si>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</si>
  <si>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</si>
  <si>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</si>
  <si>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</si>
  <si>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</si>
  <si>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</si>
  <si>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</si>
  <si>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</si>
  <si>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</si>
  <si>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</si>
  <si>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</si>
  <si>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</si>
  <si>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</si>
  <si>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d_40</t>
  </si>
  <si>
    <t>d_41</t>
  </si>
  <si>
    <t>d_42</t>
  </si>
  <si>
    <t>d_43</t>
  </si>
  <si>
    <t>d_44</t>
  </si>
  <si>
    <t>d_45</t>
  </si>
  <si>
    <t>d_46</t>
  </si>
  <si>
    <t>d_47</t>
  </si>
  <si>
    <t>d_48</t>
  </si>
  <si>
    <t>d_49</t>
  </si>
  <si>
    <t>d_50</t>
  </si>
  <si>
    <t>d_51</t>
  </si>
  <si>
    <t>d_52</t>
  </si>
  <si>
    <t>d_53</t>
  </si>
  <si>
    <t>d_54</t>
  </si>
  <si>
    <t>d_55</t>
  </si>
  <si>
    <t>d_56</t>
  </si>
  <si>
    <t>d_57</t>
  </si>
  <si>
    <t>d_58</t>
  </si>
  <si>
    <t>d_59</t>
  </si>
  <si>
    <t>d_60</t>
  </si>
  <si>
    <t>d_61</t>
  </si>
  <si>
    <t>d_62</t>
  </si>
  <si>
    <t>d_63</t>
  </si>
  <si>
    <t>d_64</t>
  </si>
  <si>
    <t>d_65</t>
  </si>
  <si>
    <t>d_66</t>
  </si>
  <si>
    <t>d_67</t>
  </si>
  <si>
    <t>d_68</t>
  </si>
  <si>
    <t>d_69</t>
  </si>
  <si>
    <t>d_70</t>
  </si>
  <si>
    <t>d_71</t>
  </si>
  <si>
    <t>d_72</t>
  </si>
  <si>
    <t>d_73</t>
  </si>
  <si>
    <t>d_74</t>
  </si>
  <si>
    <t>d_75</t>
  </si>
  <si>
    <t>d_76</t>
  </si>
  <si>
    <t>d_77</t>
  </si>
  <si>
    <t>d_78</t>
  </si>
  <si>
    <t>d_79</t>
  </si>
  <si>
    <t>d_80</t>
  </si>
  <si>
    <t>d_81</t>
  </si>
  <si>
    <t>d_82</t>
  </si>
  <si>
    <t>d_83</t>
  </si>
  <si>
    <t>d_84</t>
  </si>
  <si>
    <t>d_85</t>
  </si>
  <si>
    <t>d_86</t>
  </si>
  <si>
    <t>d_87</t>
  </si>
  <si>
    <t>d_88</t>
  </si>
  <si>
    <t>d_89</t>
  </si>
  <si>
    <t>d_90</t>
  </si>
  <si>
    <t>d_91</t>
  </si>
  <si>
    <t>d_92</t>
  </si>
  <si>
    <t>d_93</t>
  </si>
  <si>
    <t>d_94</t>
  </si>
  <si>
    <t>d_95</t>
  </si>
  <si>
    <t>d_96</t>
  </si>
  <si>
    <t>d_97</t>
  </si>
  <si>
    <t>d_98</t>
  </si>
  <si>
    <t>d_99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</si>
  <si>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</si>
  <si>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</si>
  <si>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</si>
  <si>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</si>
  <si>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</si>
  <si>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</si>
  <si>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</si>
  <si>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</si>
  <si>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</si>
  <si>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</si>
  <si>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</si>
  <si>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</si>
  <si>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</si>
  <si>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</si>
  <si>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</si>
  <si>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</si>
  <si>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</si>
  <si>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</si>
  <si>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</si>
  <si>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</si>
  <si>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</si>
  <si>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</si>
  <si>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</si>
  <si>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</si>
  <si>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</si>
  <si>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</si>
  <si>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</si>
  <si>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</si>
  <si>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</si>
  <si>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</si>
  <si>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</si>
  <si>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</si>
  <si>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</si>
  <si>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</si>
  <si>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</si>
  <si>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</si>
  <si>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</si>
  <si>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</si>
  <si>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</si>
  <si>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</si>
  <si>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</si>
  <si>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</si>
  <si>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</si>
  <si>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</si>
  <si>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</si>
  <si>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</si>
  <si>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</si>
  <si>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</si>
  <si>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</si>
  <si>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</si>
  <si>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</si>
  <si>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</si>
  <si>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</si>
  <si>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</si>
  <si>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</si>
  <si>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</si>
  <si>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</si>
  <si>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</si>
  <si>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</si>
  <si>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</si>
  <si>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</si>
  <si>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</si>
  <si>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</si>
  <si>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</si>
  <si>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</si>
  <si>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</si>
  <si>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</si>
  <si>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</si>
  <si>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</si>
  <si>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</si>
  <si>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</si>
  <si>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</si>
  <si>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</si>
  <si>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</si>
  <si>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</si>
  <si>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</si>
  <si>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</si>
  <si>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</si>
  <si>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</si>
  <si>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</si>
  <si>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</si>
  <si>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</si>
  <si>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</si>
  <si>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</si>
  <si>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</si>
  <si>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</si>
  <si>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</si>
  <si>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</si>
  <si>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</si>
  <si>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</si>
  <si>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</si>
  <si>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</si>
  <si>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</si>
  <si>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</si>
  <si>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</si>
  <si>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</si>
  <si>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</si>
  <si>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</si>
  <si>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</si>
  <si>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</si>
  <si>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</si>
  <si>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</si>
  <si>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</si>
  <si>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</si>
  <si>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</si>
  <si>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</si>
  <si>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</si>
  <si>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</si>
  <si>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</si>
  <si>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</si>
  <si>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</si>
  <si>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</si>
  <si>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</si>
  <si>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</si>
  <si>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</si>
  <si>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</si>
  <si>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</si>
  <si>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</si>
  <si>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</si>
  <si>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</si>
  <si>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</si>
  <si>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</si>
  <si>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</si>
  <si>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</si>
  <si>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</si>
  <si>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</si>
  <si>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</si>
  <si>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</si>
  <si>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</si>
  <si>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</si>
  <si>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</si>
  <si>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</si>
  <si>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</si>
  <si>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</si>
  <si>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</si>
  <si>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</si>
  <si>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</si>
  <si>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</si>
  <si>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</si>
  <si>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</si>
  <si>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</si>
  <si>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</si>
  <si>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</si>
  <si>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</si>
  <si>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</si>
  <si>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</si>
  <si>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</si>
  <si>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</si>
  <si>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</si>
  <si>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</si>
  <si>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</si>
  <si>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</si>
  <si>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</si>
  <si>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</si>
  <si>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</si>
  <si>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</si>
  <si>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</si>
  <si>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</si>
  <si>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</si>
  <si>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</si>
  <si>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</si>
  <si>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</si>
  <si>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</si>
  <si>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</si>
  <si>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</si>
  <si>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</si>
  <si>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</si>
  <si>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</si>
  <si>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</si>
  <si>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</si>
  <si>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</si>
  <si>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</si>
  <si>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</si>
  <si>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</si>
  <si>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</si>
  <si>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</si>
  <si>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</si>
  <si>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</si>
  <si>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</si>
  <si>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</si>
  <si>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</si>
  <si>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</si>
  <si>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</si>
  <si>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</si>
  <si>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</si>
  <si>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</si>
  <si>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</si>
  <si>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</si>
  <si>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</si>
  <si>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</si>
  <si>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</si>
  <si>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</si>
  <si>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</si>
  <si>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</si>
  <si>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</si>
  <si>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</si>
  <si>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</si>
  <si>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</si>
  <si>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</si>
  <si>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</si>
  <si>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</si>
  <si>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</si>
  <si>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</si>
  <si>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</si>
  <si>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</si>
  <si>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</si>
  <si>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</si>
  <si>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</si>
  <si>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</si>
  <si>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</si>
  <si>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</si>
  <si>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</si>
  <si>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</si>
  <si>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</si>
  <si>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</si>
  <si>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</si>
  <si>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</si>
  <si>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</si>
  <si>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</si>
  <si>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</si>
  <si>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</si>
  <si>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</si>
  <si>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</si>
  <si>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</si>
  <si>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</si>
  <si>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</si>
  <si>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</si>
  <si>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</si>
  <si>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</si>
  <si>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</si>
  <si>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</si>
  <si>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</si>
  <si>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</si>
  <si>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</si>
  <si>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</si>
  <si>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</si>
  <si>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</si>
  <si>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</si>
  <si>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</si>
  <si>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</si>
  <si>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</si>
  <si>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</si>
  <si>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</si>
  <si>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</si>
  <si>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</si>
  <si>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</si>
  <si>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</si>
  <si>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</si>
  <si>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</si>
  <si>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</si>
  <si>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</si>
  <si>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</si>
  <si>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</si>
  <si>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</si>
  <si>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</si>
  <si>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</si>
  <si>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</si>
  <si>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</si>
  <si>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</si>
  <si>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</si>
  <si>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</si>
  <si>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</si>
  <si>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</si>
  <si>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</si>
  <si>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</si>
  <si>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</si>
  <si>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Total</t>
  </si>
  <si>
    <t>FOODS_1_218</t>
  </si>
  <si>
    <t>CA_1</t>
  </si>
  <si>
    <t>FOODS_1_085</t>
  </si>
  <si>
    <t>FOODS_1_018</t>
  </si>
  <si>
    <t>day_id</t>
  </si>
  <si>
    <t>unit_sold</t>
  </si>
  <si>
    <t>date</t>
  </si>
  <si>
    <t>weekday</t>
  </si>
  <si>
    <t>wday</t>
  </si>
  <si>
    <t>month</t>
  </si>
  <si>
    <t>year</t>
  </si>
  <si>
    <t>d</t>
  </si>
  <si>
    <t>event_name_1</t>
  </si>
  <si>
    <t>event_type_1</t>
  </si>
  <si>
    <t>snap_CA</t>
  </si>
  <si>
    <t>Saturday</t>
  </si>
  <si>
    <t>Sunday</t>
  </si>
  <si>
    <t>Monday</t>
  </si>
  <si>
    <t>Tuesday</t>
  </si>
  <si>
    <t>Wednesday</t>
  </si>
  <si>
    <t>Thursday</t>
  </si>
  <si>
    <t>Friday</t>
  </si>
  <si>
    <t>SuperBowl</t>
  </si>
  <si>
    <t>Sporting</t>
  </si>
  <si>
    <t>ValentinesDay</t>
  </si>
  <si>
    <t>Cultural</t>
  </si>
  <si>
    <t>PresidentsDay</t>
  </si>
  <si>
    <t>National</t>
  </si>
  <si>
    <t>LentStart</t>
  </si>
  <si>
    <t>Religious</t>
  </si>
  <si>
    <t>LentWeek2</t>
  </si>
  <si>
    <t>StPatricksDay</t>
  </si>
  <si>
    <t>Purim End</t>
  </si>
  <si>
    <t>OrthodoxEaster</t>
  </si>
  <si>
    <t>Pesach End</t>
  </si>
  <si>
    <t>Cinco De Mayo</t>
  </si>
  <si>
    <t>Mother's day</t>
  </si>
  <si>
    <t>MemorialDay</t>
  </si>
  <si>
    <t>NBAFinalsStart</t>
  </si>
  <si>
    <t>NBAFinalsEnd</t>
  </si>
  <si>
    <t>Father's day</t>
  </si>
  <si>
    <t>IndependenceDay</t>
  </si>
  <si>
    <t>Ramadan starts</t>
  </si>
  <si>
    <t>Eid al-Fitr</t>
  </si>
  <si>
    <t>LaborDay</t>
  </si>
  <si>
    <t>ColumbusDay</t>
  </si>
  <si>
    <t>Halloween</t>
  </si>
  <si>
    <t>EidAlAdha</t>
  </si>
  <si>
    <t>VeteransDay</t>
  </si>
  <si>
    <t>Thanksgiving</t>
  </si>
  <si>
    <t>Christmas</t>
  </si>
  <si>
    <t>Chanukah End</t>
  </si>
  <si>
    <t>NewYear</t>
  </si>
  <si>
    <t>OrthodoxChristmas</t>
  </si>
  <si>
    <t>MartinLutherKingDay</t>
  </si>
  <si>
    <t>event_name</t>
  </si>
  <si>
    <t>event_type</t>
  </si>
  <si>
    <t>event_name_cleaned</t>
  </si>
  <si>
    <t>event_type_cleaned</t>
  </si>
  <si>
    <t>2. How many zero-sales days exist per SKU?</t>
  </si>
  <si>
    <t>Sku</t>
  </si>
  <si>
    <t>zero sales days</t>
  </si>
  <si>
    <t>1. Are there any negative sales value? (sales values are never negative.)</t>
  </si>
  <si>
    <t>What is the min, max, average, and standard deviation of daily sales per SKU?</t>
  </si>
  <si>
    <t>min</t>
  </si>
  <si>
    <t>max</t>
  </si>
  <si>
    <t>average</t>
  </si>
  <si>
    <t>sd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</si>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</sst>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ACF585-6E5F-1846-B195-D2A3C24E75C7}" autoFormatId="16" applyNumberFormats="0" applyBorderFormats="0" applyFontFormats="0" applyPatternFormats="0" applyAlignmentFormats="0" applyWidthHeightFormats="0">
  <queryTableRefresh nextId="12" unboundColumnsRight="7">
    <queryTableFields count="11">
      <queryTableField id="1" name="item_id" tableColumnId="1"/>
      <queryTableField id="2" name="store_id" tableColumnId="2"/>
      <queryTableField id="3" name="day_id" tableColumnId="3"/>
      <queryTableField id="4" name="unit_sold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BE422-26BC-C746-A0D5-A58EC564C65B}" name="Sheet1" displayName="Sheet1" ref="A1:K1096" tableType="queryTable" totalsRowShown="0">
  <autoFilter ref="A1:K1096" xr:uid="{F35BE422-26BC-C746-A0D5-A58EC564C65B}"/>
  <tableColumns count="11">
    <tableColumn id="1" xr3:uid="{C7E301E6-7572-1F4D-9C0E-6B3E6BBCAD2B}" uniqueName="1" name="item_id" queryTableFieldId="1" dataDxfId="9"/>
    <tableColumn id="2" xr3:uid="{D85BDA3D-001B-6B44-B019-0C297D21F1A6}" uniqueName="2" name="store_id" queryTableFieldId="2" dataDxfId="8"/>
    <tableColumn id="3" xr3:uid="{B8A96FD4-3042-D349-8DAA-5729A3646F7D}" uniqueName="3" name="day_id" queryTableFieldId="3" dataDxfId="7"/>
    <tableColumn id="4" xr3:uid="{D614A9F8-971E-0047-8C41-E09CA6C47466}" uniqueName="4" name="unit_sold" queryTableFieldId="4"/>
    <tableColumn id="5" xr3:uid="{EED65959-F342-A84B-A3DE-9C9667624A99}" uniqueName="5" name="date" queryTableFieldId="5" dataDxfId="6">
      <calculatedColumnFormula>_xlfn.XLOOKUP(Sheet1[[#This Row],[day_id]],calendar!A2,calendar!B2)</calculatedColumnFormula>
    </tableColumn>
    <tableColumn id="6" xr3:uid="{21846888-405E-524C-8385-B68645B9D23D}" uniqueName="6" name="weekday" queryTableFieldId="6" dataDxfId="5">
      <calculatedColumnFormula>_xlfn.XLOOKUP(Sheet1[[#This Row],[day_id]],calendar!A2,calendar!C2)</calculatedColumnFormula>
    </tableColumn>
    <tableColumn id="7" xr3:uid="{09CEF40D-57AE-8E4A-804B-8E9015CB711E}" uniqueName="7" name="month" queryTableFieldId="7" dataDxfId="4">
      <calculatedColumnFormula>_xlfn.XLOOKUP(Sheet1[[#This Row],[day_id]],calendar!A2,calendar!E2)</calculatedColumnFormula>
    </tableColumn>
    <tableColumn id="8" xr3:uid="{70DCCE9F-1FB9-A441-A1CF-FC041BA65C1E}" uniqueName="8" name="year" queryTableFieldId="8" dataDxfId="3">
      <calculatedColumnFormula>_xlfn.XLOOKUP(Sheet1[[#This Row],[day_id]],calendar!A2,calendar!F2)</calculatedColumnFormula>
    </tableColumn>
    <tableColumn id="9" xr3:uid="{0D864A1F-E842-2247-98B3-F40240DD2139}" uniqueName="9" name="event_name" queryTableFieldId="9" dataDxfId="2">
      <calculatedColumnFormula>_xlfn.XLOOKUP(Sheet1[[#This Row],[day_id]],calendar!A2,calendar!J2)</calculatedColumnFormula>
    </tableColumn>
    <tableColumn id="10" xr3:uid="{6C5024CA-3FA3-8E4E-BEF8-E41FF675F7DC}" uniqueName="10" name="event_type" queryTableFieldId="10" dataDxfId="1">
      <calculatedColumnFormula>_xlfn.XLOOKUP(Sheet1[[#This Row],[day_id]],calendar!A2,calendar!K2)</calculatedColumnFormula>
    </tableColumn>
    <tableColumn id="11" xr3:uid="{EC2C3947-495A-D445-AD20-F3B2417E9D85}" uniqueName="11" name="snap_CA" queryTableFieldId="11" dataDxfId="0">
      <calculatedColumnFormula>_xlfn.XLOOKUP(Sheet1[[#This Row],[day_id]],calendar!A2,calendar!I2)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8E22-5CCD-3F4B-959B-3670D6F3D55D}">
  <dimension ref="A1:ND4"/>
  <sheetViews>
    <sheetView topLeftCell="LD1" workbookViewId="0">
      <selection activeCell="ND2" sqref="ND2:ND4"/>
    </sheetView>
  </sheetViews>
  <sheetFormatPr baseColWidth="10" defaultRowHeight="16" x14ac:dyDescent="0.2"/>
  <cols>
    <col min="1" max="1" width="17.5" customWidth="1"/>
  </cols>
  <sheetData>
    <row r="1" spans="1:3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2">
      <c r="A2" t="s">
        <v>368</v>
      </c>
      <c r="B2" t="s">
        <v>369</v>
      </c>
      <c r="C2">
        <v>10</v>
      </c>
      <c r="D2">
        <v>3</v>
      </c>
      <c r="E2">
        <v>4</v>
      </c>
      <c r="F2">
        <v>0</v>
      </c>
      <c r="G2">
        <v>0</v>
      </c>
      <c r="H2">
        <v>0</v>
      </c>
      <c r="I2">
        <v>1</v>
      </c>
      <c r="J2">
        <v>4</v>
      </c>
      <c r="K2">
        <v>2</v>
      </c>
      <c r="L2">
        <v>0</v>
      </c>
      <c r="M2">
        <v>0</v>
      </c>
      <c r="N2">
        <v>4</v>
      </c>
      <c r="O2">
        <v>0</v>
      </c>
      <c r="P2">
        <v>2</v>
      </c>
      <c r="Q2">
        <v>0</v>
      </c>
      <c r="R2">
        <v>0</v>
      </c>
      <c r="S2">
        <v>1</v>
      </c>
      <c r="T2">
        <v>3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26</v>
      </c>
      <c r="AI2">
        <v>14</v>
      </c>
      <c r="AJ2">
        <v>24</v>
      </c>
      <c r="AK2">
        <v>16</v>
      </c>
      <c r="AL2">
        <v>18</v>
      </c>
      <c r="AM2">
        <v>15</v>
      </c>
      <c r="AN2">
        <v>6</v>
      </c>
      <c r="AO2">
        <v>2</v>
      </c>
      <c r="AP2">
        <v>3</v>
      </c>
      <c r="AQ2">
        <v>2</v>
      </c>
      <c r="AR2">
        <v>2</v>
      </c>
      <c r="AS2">
        <v>6</v>
      </c>
      <c r="AT2">
        <v>4</v>
      </c>
      <c r="AU2">
        <v>2</v>
      </c>
      <c r="AV2">
        <v>3</v>
      </c>
      <c r="AW2">
        <v>0</v>
      </c>
      <c r="AX2">
        <v>0</v>
      </c>
      <c r="AY2">
        <v>12</v>
      </c>
      <c r="AZ2">
        <v>2</v>
      </c>
      <c r="BA2">
        <v>2</v>
      </c>
      <c r="BB2">
        <v>0</v>
      </c>
      <c r="BC2">
        <v>2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23</v>
      </c>
      <c r="CT2">
        <v>6</v>
      </c>
      <c r="CU2">
        <v>10</v>
      </c>
      <c r="CV2">
        <v>10</v>
      </c>
      <c r="CW2">
        <v>7</v>
      </c>
      <c r="CX2">
        <v>8</v>
      </c>
      <c r="CY2">
        <v>19</v>
      </c>
      <c r="CZ2">
        <v>4</v>
      </c>
      <c r="DA2">
        <v>1</v>
      </c>
      <c r="DB2">
        <v>7</v>
      </c>
      <c r="DC2">
        <v>4</v>
      </c>
      <c r="DD2">
        <v>8</v>
      </c>
      <c r="DE2">
        <v>2</v>
      </c>
      <c r="DF2">
        <v>4</v>
      </c>
      <c r="DG2">
        <v>0</v>
      </c>
      <c r="DH2">
        <v>3</v>
      </c>
      <c r="DI2">
        <v>0</v>
      </c>
      <c r="DJ2">
        <v>5</v>
      </c>
      <c r="DK2">
        <v>3</v>
      </c>
      <c r="DL2">
        <v>2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4</v>
      </c>
      <c r="DU2">
        <v>6</v>
      </c>
      <c r="DV2">
        <v>4</v>
      </c>
      <c r="DW2">
        <v>10</v>
      </c>
      <c r="DX2">
        <v>20</v>
      </c>
      <c r="DY2">
        <v>19</v>
      </c>
      <c r="DZ2">
        <v>12</v>
      </c>
      <c r="EA2">
        <v>7</v>
      </c>
      <c r="EB2">
        <v>2</v>
      </c>
      <c r="EC2">
        <v>1</v>
      </c>
      <c r="ED2">
        <v>0</v>
      </c>
      <c r="EE2">
        <v>0</v>
      </c>
      <c r="EF2">
        <v>6</v>
      </c>
      <c r="EG2">
        <v>8</v>
      </c>
      <c r="EH2">
        <v>7</v>
      </c>
      <c r="EI2">
        <v>7</v>
      </c>
      <c r="EJ2">
        <v>4</v>
      </c>
      <c r="EK2">
        <v>3</v>
      </c>
      <c r="EL2">
        <v>6</v>
      </c>
      <c r="EM2">
        <v>9</v>
      </c>
      <c r="EN2">
        <v>10</v>
      </c>
      <c r="EO2">
        <v>5</v>
      </c>
      <c r="EP2">
        <v>17</v>
      </c>
      <c r="EQ2">
        <v>15</v>
      </c>
      <c r="ER2">
        <v>21</v>
      </c>
      <c r="ES2">
        <v>22</v>
      </c>
      <c r="ET2">
        <v>21</v>
      </c>
      <c r="EU2">
        <v>18</v>
      </c>
      <c r="EV2">
        <v>24</v>
      </c>
      <c r="EW2">
        <v>8</v>
      </c>
      <c r="EX2">
        <v>14</v>
      </c>
      <c r="EY2">
        <v>13</v>
      </c>
      <c r="EZ2">
        <v>16</v>
      </c>
      <c r="FA2">
        <v>17</v>
      </c>
      <c r="FB2">
        <v>11</v>
      </c>
      <c r="FC2">
        <v>9</v>
      </c>
      <c r="FD2">
        <v>17</v>
      </c>
      <c r="FE2">
        <v>10</v>
      </c>
      <c r="FF2">
        <v>12</v>
      </c>
      <c r="FG2">
        <v>11</v>
      </c>
      <c r="FH2">
        <v>14</v>
      </c>
      <c r="FI2">
        <v>27</v>
      </c>
      <c r="FJ2">
        <v>4</v>
      </c>
      <c r="FK2">
        <v>11</v>
      </c>
      <c r="FL2">
        <v>10</v>
      </c>
      <c r="FM2">
        <v>17</v>
      </c>
      <c r="FN2">
        <v>6</v>
      </c>
      <c r="FO2">
        <v>33</v>
      </c>
      <c r="FP2">
        <v>14</v>
      </c>
      <c r="FQ2">
        <v>5</v>
      </c>
      <c r="FR2">
        <v>15</v>
      </c>
      <c r="FS2">
        <v>8</v>
      </c>
      <c r="FT2">
        <v>8</v>
      </c>
      <c r="FU2">
        <v>5</v>
      </c>
      <c r="FV2">
        <v>15</v>
      </c>
      <c r="FW2">
        <v>9</v>
      </c>
      <c r="FX2">
        <v>2</v>
      </c>
      <c r="FY2">
        <v>13</v>
      </c>
      <c r="FZ2">
        <v>15</v>
      </c>
      <c r="GA2">
        <v>16</v>
      </c>
      <c r="GB2">
        <v>7</v>
      </c>
      <c r="GC2">
        <v>10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25</v>
      </c>
      <c r="GL2">
        <v>10</v>
      </c>
      <c r="GM2">
        <v>8</v>
      </c>
      <c r="GN2">
        <v>8</v>
      </c>
      <c r="GO2">
        <v>8</v>
      </c>
      <c r="GP2">
        <v>13</v>
      </c>
      <c r="GQ2">
        <v>13</v>
      </c>
      <c r="GR2">
        <v>3</v>
      </c>
      <c r="GS2">
        <v>3</v>
      </c>
      <c r="GT2">
        <v>7</v>
      </c>
      <c r="GU2">
        <v>10</v>
      </c>
      <c r="GV2">
        <v>11</v>
      </c>
      <c r="GW2">
        <v>12</v>
      </c>
      <c r="GX2">
        <v>12</v>
      </c>
      <c r="GY2">
        <v>18</v>
      </c>
      <c r="GZ2">
        <v>4</v>
      </c>
      <c r="HA2">
        <v>4</v>
      </c>
      <c r="HB2">
        <v>7</v>
      </c>
      <c r="HC2">
        <v>7</v>
      </c>
      <c r="HD2">
        <v>8</v>
      </c>
      <c r="HE2">
        <v>17</v>
      </c>
      <c r="HF2">
        <v>26</v>
      </c>
      <c r="HG2">
        <v>2</v>
      </c>
      <c r="HH2">
        <v>12</v>
      </c>
      <c r="HI2">
        <v>8</v>
      </c>
      <c r="HJ2">
        <v>6</v>
      </c>
      <c r="HK2">
        <v>4</v>
      </c>
      <c r="HL2">
        <v>6</v>
      </c>
      <c r="HM2">
        <v>4</v>
      </c>
      <c r="HN2">
        <v>9</v>
      </c>
      <c r="HO2">
        <v>17</v>
      </c>
      <c r="HP2">
        <v>11</v>
      </c>
      <c r="HQ2">
        <v>17</v>
      </c>
      <c r="HR2">
        <v>9</v>
      </c>
      <c r="HS2">
        <v>20</v>
      </c>
      <c r="HT2">
        <v>13</v>
      </c>
      <c r="HU2">
        <v>7</v>
      </c>
      <c r="HV2">
        <v>14</v>
      </c>
      <c r="HW2">
        <v>16</v>
      </c>
      <c r="HX2">
        <v>17</v>
      </c>
      <c r="HY2">
        <v>3</v>
      </c>
      <c r="HZ2">
        <v>20</v>
      </c>
      <c r="IA2">
        <v>14</v>
      </c>
      <c r="IB2">
        <v>5</v>
      </c>
      <c r="IC2">
        <v>7</v>
      </c>
      <c r="ID2">
        <v>1</v>
      </c>
      <c r="IE2">
        <v>2</v>
      </c>
      <c r="IF2">
        <v>7</v>
      </c>
      <c r="IG2">
        <v>18</v>
      </c>
      <c r="IH2">
        <v>16</v>
      </c>
      <c r="II2">
        <v>12</v>
      </c>
      <c r="IJ2">
        <v>2</v>
      </c>
      <c r="IK2">
        <v>4</v>
      </c>
      <c r="IL2">
        <v>18</v>
      </c>
      <c r="IM2">
        <v>23</v>
      </c>
      <c r="IN2">
        <v>59</v>
      </c>
      <c r="IO2">
        <v>30</v>
      </c>
      <c r="IP2">
        <v>27</v>
      </c>
      <c r="IQ2">
        <v>17</v>
      </c>
      <c r="IR2">
        <v>11</v>
      </c>
      <c r="IS2">
        <v>4</v>
      </c>
      <c r="IT2">
        <v>11</v>
      </c>
      <c r="IU2">
        <v>10</v>
      </c>
      <c r="IV2">
        <v>8</v>
      </c>
      <c r="IW2">
        <v>4</v>
      </c>
      <c r="IX2">
        <v>12</v>
      </c>
      <c r="IY2">
        <v>6</v>
      </c>
      <c r="IZ2">
        <v>11</v>
      </c>
      <c r="JA2">
        <v>27</v>
      </c>
      <c r="JB2">
        <v>31</v>
      </c>
      <c r="JC2">
        <v>17</v>
      </c>
      <c r="JD2">
        <v>20</v>
      </c>
      <c r="JE2">
        <v>7</v>
      </c>
      <c r="JF2">
        <v>7</v>
      </c>
      <c r="JG2">
        <v>7</v>
      </c>
      <c r="JH2">
        <v>5</v>
      </c>
      <c r="JI2">
        <v>18</v>
      </c>
      <c r="JJ2">
        <v>17</v>
      </c>
      <c r="JK2">
        <v>1</v>
      </c>
      <c r="JL2">
        <v>2</v>
      </c>
      <c r="JM2">
        <v>4</v>
      </c>
      <c r="JN2">
        <v>2</v>
      </c>
      <c r="JO2">
        <v>1</v>
      </c>
      <c r="JP2">
        <v>1</v>
      </c>
      <c r="JQ2">
        <v>3</v>
      </c>
      <c r="JR2">
        <v>0</v>
      </c>
      <c r="JS2">
        <v>8</v>
      </c>
      <c r="JT2">
        <v>2</v>
      </c>
      <c r="JU2">
        <v>6</v>
      </c>
      <c r="JV2">
        <v>4</v>
      </c>
      <c r="JW2">
        <v>4</v>
      </c>
      <c r="JX2">
        <v>4</v>
      </c>
      <c r="JY2">
        <v>4</v>
      </c>
      <c r="JZ2">
        <v>1</v>
      </c>
      <c r="KA2">
        <v>0</v>
      </c>
      <c r="KB2">
        <v>5</v>
      </c>
      <c r="KC2">
        <v>2</v>
      </c>
      <c r="KD2">
        <v>3</v>
      </c>
      <c r="KE2">
        <v>0</v>
      </c>
      <c r="KF2">
        <v>2</v>
      </c>
      <c r="KG2">
        <v>2</v>
      </c>
      <c r="KH2">
        <v>0</v>
      </c>
      <c r="KI2">
        <v>1</v>
      </c>
      <c r="KJ2">
        <v>3</v>
      </c>
      <c r="KK2">
        <v>2</v>
      </c>
      <c r="KL2">
        <v>2</v>
      </c>
      <c r="KM2">
        <v>0</v>
      </c>
      <c r="KN2">
        <v>0</v>
      </c>
      <c r="KO2">
        <v>3</v>
      </c>
      <c r="KP2">
        <v>0</v>
      </c>
      <c r="KQ2">
        <v>1</v>
      </c>
      <c r="KR2">
        <v>27</v>
      </c>
      <c r="KS2">
        <v>25</v>
      </c>
      <c r="KT2">
        <v>13</v>
      </c>
      <c r="KU2">
        <v>20</v>
      </c>
      <c r="KV2">
        <v>4</v>
      </c>
      <c r="KW2">
        <v>10</v>
      </c>
      <c r="KX2">
        <v>11</v>
      </c>
      <c r="KY2">
        <v>5</v>
      </c>
      <c r="KZ2">
        <v>9</v>
      </c>
      <c r="LA2">
        <v>8</v>
      </c>
      <c r="LB2">
        <v>5</v>
      </c>
      <c r="LC2">
        <v>5</v>
      </c>
      <c r="LD2">
        <v>3</v>
      </c>
      <c r="LE2">
        <v>20</v>
      </c>
      <c r="LF2">
        <v>14</v>
      </c>
      <c r="LG2">
        <v>36</v>
      </c>
      <c r="LH2">
        <v>6</v>
      </c>
      <c r="LI2">
        <v>6</v>
      </c>
      <c r="LJ2">
        <v>4</v>
      </c>
      <c r="LK2">
        <v>1</v>
      </c>
      <c r="LL2">
        <v>4</v>
      </c>
      <c r="LM2">
        <v>7</v>
      </c>
      <c r="LN2">
        <v>2</v>
      </c>
      <c r="LO2">
        <v>2</v>
      </c>
      <c r="LP2">
        <v>27</v>
      </c>
      <c r="LQ2">
        <v>35</v>
      </c>
      <c r="LR2">
        <v>26</v>
      </c>
      <c r="LS2">
        <v>13</v>
      </c>
      <c r="LT2">
        <v>12</v>
      </c>
      <c r="LU2">
        <v>0</v>
      </c>
      <c r="LV2">
        <v>2</v>
      </c>
      <c r="LW2">
        <v>6</v>
      </c>
      <c r="LX2">
        <v>1</v>
      </c>
      <c r="LY2">
        <v>4</v>
      </c>
      <c r="LZ2">
        <v>1</v>
      </c>
      <c r="MA2">
        <v>54</v>
      </c>
      <c r="MB2">
        <v>33</v>
      </c>
      <c r="MC2">
        <v>41</v>
      </c>
      <c r="MD2">
        <v>38</v>
      </c>
      <c r="ME2">
        <v>25</v>
      </c>
      <c r="MF2">
        <v>13</v>
      </c>
      <c r="MG2">
        <v>13</v>
      </c>
      <c r="MH2">
        <v>18</v>
      </c>
      <c r="MI2">
        <v>18</v>
      </c>
      <c r="MJ2">
        <v>20</v>
      </c>
      <c r="MK2">
        <v>14</v>
      </c>
      <c r="ML2">
        <v>23</v>
      </c>
      <c r="MM2">
        <v>19</v>
      </c>
      <c r="MN2">
        <v>26</v>
      </c>
      <c r="MO2">
        <v>68</v>
      </c>
      <c r="MP2">
        <v>28</v>
      </c>
      <c r="MQ2">
        <v>25</v>
      </c>
      <c r="MR2">
        <v>14</v>
      </c>
      <c r="MS2">
        <v>24</v>
      </c>
      <c r="MT2">
        <v>14</v>
      </c>
      <c r="MU2">
        <v>23</v>
      </c>
      <c r="MV2">
        <v>27</v>
      </c>
      <c r="MW2">
        <v>41</v>
      </c>
      <c r="MX2">
        <v>19</v>
      </c>
      <c r="MY2">
        <v>19</v>
      </c>
      <c r="MZ2">
        <v>24</v>
      </c>
      <c r="NA2">
        <v>35</v>
      </c>
      <c r="NB2">
        <v>37</v>
      </c>
      <c r="NC2">
        <v>55</v>
      </c>
      <c r="ND2">
        <f>SUM(C2:NC2)</f>
        <v>3214</v>
      </c>
    </row>
    <row r="3" spans="1:368" x14ac:dyDescent="0.2">
      <c r="A3" t="s">
        <v>370</v>
      </c>
      <c r="B3" t="s">
        <v>369</v>
      </c>
      <c r="C3">
        <v>10</v>
      </c>
      <c r="D3">
        <v>15</v>
      </c>
      <c r="E3">
        <v>13</v>
      </c>
      <c r="F3">
        <v>5</v>
      </c>
      <c r="G3">
        <v>11</v>
      </c>
      <c r="H3">
        <v>5</v>
      </c>
      <c r="I3">
        <v>7</v>
      </c>
      <c r="J3">
        <v>21</v>
      </c>
      <c r="K3">
        <v>6</v>
      </c>
      <c r="L3">
        <v>6</v>
      </c>
      <c r="M3">
        <v>5</v>
      </c>
      <c r="N3">
        <v>6</v>
      </c>
      <c r="O3">
        <v>14</v>
      </c>
      <c r="P3">
        <v>13</v>
      </c>
      <c r="Q3">
        <v>35</v>
      </c>
      <c r="R3">
        <v>25</v>
      </c>
      <c r="S3">
        <v>19</v>
      </c>
      <c r="T3">
        <v>4</v>
      </c>
      <c r="U3">
        <v>8</v>
      </c>
      <c r="V3">
        <v>10</v>
      </c>
      <c r="W3">
        <v>6</v>
      </c>
      <c r="X3">
        <v>25</v>
      </c>
      <c r="Y3">
        <v>24</v>
      </c>
      <c r="Z3">
        <v>7</v>
      </c>
      <c r="AA3">
        <v>10</v>
      </c>
      <c r="AB3">
        <v>6</v>
      </c>
      <c r="AC3">
        <v>14</v>
      </c>
      <c r="AD3">
        <v>27</v>
      </c>
      <c r="AE3">
        <v>24</v>
      </c>
      <c r="AF3">
        <v>8</v>
      </c>
      <c r="AG3">
        <v>3</v>
      </c>
      <c r="AH3">
        <v>4</v>
      </c>
      <c r="AI3">
        <v>3</v>
      </c>
      <c r="AJ3">
        <v>6</v>
      </c>
      <c r="AK3">
        <v>1</v>
      </c>
      <c r="AL3">
        <v>1</v>
      </c>
      <c r="AM3">
        <v>1</v>
      </c>
      <c r="AN3">
        <v>0</v>
      </c>
      <c r="AO3">
        <v>31</v>
      </c>
      <c r="AP3">
        <v>25</v>
      </c>
      <c r="AQ3">
        <v>19</v>
      </c>
      <c r="AR3">
        <v>27</v>
      </c>
      <c r="AS3">
        <v>34</v>
      </c>
      <c r="AT3">
        <v>32</v>
      </c>
      <c r="AU3">
        <v>12</v>
      </c>
      <c r="AV3">
        <v>20</v>
      </c>
      <c r="AW3">
        <v>14</v>
      </c>
      <c r="AX3">
        <v>8</v>
      </c>
      <c r="AY3">
        <v>33</v>
      </c>
      <c r="AZ3">
        <v>41</v>
      </c>
      <c r="BA3">
        <v>14</v>
      </c>
      <c r="BB3">
        <v>18</v>
      </c>
      <c r="BC3">
        <v>15</v>
      </c>
      <c r="BD3">
        <v>7</v>
      </c>
      <c r="BE3">
        <v>15</v>
      </c>
      <c r="BF3">
        <v>18</v>
      </c>
      <c r="BG3">
        <v>20</v>
      </c>
      <c r="BH3">
        <v>20</v>
      </c>
      <c r="BI3">
        <v>10</v>
      </c>
      <c r="BJ3">
        <v>10</v>
      </c>
      <c r="BK3">
        <v>3</v>
      </c>
      <c r="BL3">
        <v>6</v>
      </c>
      <c r="BM3">
        <v>17</v>
      </c>
      <c r="BN3">
        <v>20</v>
      </c>
      <c r="BO3">
        <v>11</v>
      </c>
      <c r="BP3">
        <v>15</v>
      </c>
      <c r="BQ3">
        <v>9</v>
      </c>
      <c r="BR3">
        <v>4</v>
      </c>
      <c r="BS3">
        <v>13</v>
      </c>
      <c r="BT3">
        <v>7</v>
      </c>
      <c r="BU3">
        <v>16</v>
      </c>
      <c r="BV3">
        <v>18</v>
      </c>
      <c r="BW3">
        <v>12</v>
      </c>
      <c r="BX3">
        <v>8</v>
      </c>
      <c r="BY3">
        <v>8</v>
      </c>
      <c r="BZ3">
        <v>12</v>
      </c>
      <c r="CA3">
        <v>15</v>
      </c>
      <c r="CB3">
        <v>21</v>
      </c>
      <c r="CC3">
        <v>17</v>
      </c>
      <c r="CD3">
        <v>5</v>
      </c>
      <c r="CE3">
        <v>9</v>
      </c>
      <c r="CF3">
        <v>18</v>
      </c>
      <c r="CG3">
        <v>13</v>
      </c>
      <c r="CH3">
        <v>30</v>
      </c>
      <c r="CI3">
        <v>46</v>
      </c>
      <c r="CJ3">
        <v>15</v>
      </c>
      <c r="CK3">
        <v>11</v>
      </c>
      <c r="CL3">
        <v>8</v>
      </c>
      <c r="CM3">
        <v>8</v>
      </c>
      <c r="CN3">
        <v>10</v>
      </c>
      <c r="CO3">
        <v>16</v>
      </c>
      <c r="CP3">
        <v>17</v>
      </c>
      <c r="CQ3">
        <v>14</v>
      </c>
      <c r="CR3">
        <v>14</v>
      </c>
      <c r="CS3">
        <v>16</v>
      </c>
      <c r="CT3">
        <v>14</v>
      </c>
      <c r="CU3">
        <v>32</v>
      </c>
      <c r="CV3">
        <v>22</v>
      </c>
      <c r="CW3">
        <v>21</v>
      </c>
      <c r="CX3">
        <v>31</v>
      </c>
      <c r="CY3">
        <v>8</v>
      </c>
      <c r="CZ3">
        <v>6</v>
      </c>
      <c r="DA3">
        <v>12</v>
      </c>
      <c r="DB3">
        <v>13</v>
      </c>
      <c r="DC3">
        <v>12</v>
      </c>
      <c r="DD3">
        <v>9</v>
      </c>
      <c r="DE3">
        <v>18</v>
      </c>
      <c r="DF3">
        <v>5</v>
      </c>
      <c r="DG3">
        <v>7</v>
      </c>
      <c r="DH3">
        <v>8</v>
      </c>
      <c r="DI3">
        <v>5</v>
      </c>
      <c r="DJ3">
        <v>13</v>
      </c>
      <c r="DK3">
        <v>15</v>
      </c>
      <c r="DL3">
        <v>10</v>
      </c>
      <c r="DM3">
        <v>10</v>
      </c>
      <c r="DN3">
        <v>8</v>
      </c>
      <c r="DO3">
        <v>7</v>
      </c>
      <c r="DP3">
        <v>5</v>
      </c>
      <c r="DQ3">
        <v>8</v>
      </c>
      <c r="DR3">
        <v>10</v>
      </c>
      <c r="DS3">
        <v>6</v>
      </c>
      <c r="DT3">
        <v>2</v>
      </c>
      <c r="DU3">
        <v>6</v>
      </c>
      <c r="DV3">
        <v>11</v>
      </c>
      <c r="DW3">
        <v>6</v>
      </c>
      <c r="DX3">
        <v>8</v>
      </c>
      <c r="DY3">
        <v>0</v>
      </c>
      <c r="DZ3">
        <v>0</v>
      </c>
      <c r="EA3">
        <v>0</v>
      </c>
      <c r="EB3">
        <v>0</v>
      </c>
      <c r="EC3">
        <v>1</v>
      </c>
      <c r="ED3">
        <v>5</v>
      </c>
      <c r="EE3">
        <v>8</v>
      </c>
      <c r="EF3">
        <v>14</v>
      </c>
      <c r="EG3">
        <v>18</v>
      </c>
      <c r="EH3">
        <v>17</v>
      </c>
      <c r="EI3">
        <v>10</v>
      </c>
      <c r="EJ3">
        <v>22</v>
      </c>
      <c r="EK3">
        <v>20</v>
      </c>
      <c r="EL3">
        <v>28</v>
      </c>
      <c r="EM3">
        <v>14</v>
      </c>
      <c r="EN3">
        <v>8</v>
      </c>
      <c r="EO3">
        <v>8</v>
      </c>
      <c r="EP3">
        <v>12</v>
      </c>
      <c r="EQ3">
        <v>17</v>
      </c>
      <c r="ER3">
        <v>10</v>
      </c>
      <c r="ES3">
        <v>20</v>
      </c>
      <c r="ET3">
        <v>25</v>
      </c>
      <c r="EU3">
        <v>19</v>
      </c>
      <c r="EV3">
        <v>13</v>
      </c>
      <c r="EW3">
        <v>16</v>
      </c>
      <c r="EX3">
        <v>16</v>
      </c>
      <c r="EY3">
        <v>14</v>
      </c>
      <c r="EZ3">
        <v>15</v>
      </c>
      <c r="FA3">
        <v>21</v>
      </c>
      <c r="FB3">
        <v>36</v>
      </c>
      <c r="FC3">
        <v>10</v>
      </c>
      <c r="FD3">
        <v>9</v>
      </c>
      <c r="FE3">
        <v>15</v>
      </c>
      <c r="FF3">
        <v>17</v>
      </c>
      <c r="FG3">
        <v>10</v>
      </c>
      <c r="FH3">
        <v>25</v>
      </c>
      <c r="FI3">
        <v>20</v>
      </c>
      <c r="FJ3">
        <v>7</v>
      </c>
      <c r="FK3">
        <v>9</v>
      </c>
      <c r="FL3">
        <v>12</v>
      </c>
      <c r="FM3">
        <v>21</v>
      </c>
      <c r="FN3">
        <v>20</v>
      </c>
      <c r="FO3">
        <v>25</v>
      </c>
      <c r="FP3">
        <v>14</v>
      </c>
      <c r="FQ3">
        <v>10</v>
      </c>
      <c r="FR3">
        <v>14</v>
      </c>
      <c r="FS3">
        <v>14</v>
      </c>
      <c r="FT3">
        <v>8</v>
      </c>
      <c r="FU3">
        <v>15</v>
      </c>
      <c r="FV3">
        <v>27</v>
      </c>
      <c r="FW3">
        <v>15</v>
      </c>
      <c r="FX3">
        <v>17</v>
      </c>
      <c r="FY3">
        <v>17</v>
      </c>
      <c r="FZ3">
        <v>16</v>
      </c>
      <c r="GA3">
        <v>11</v>
      </c>
      <c r="GB3">
        <v>12</v>
      </c>
      <c r="GC3">
        <v>20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25</v>
      </c>
      <c r="GL3">
        <v>12</v>
      </c>
      <c r="GM3">
        <v>9</v>
      </c>
      <c r="GN3">
        <v>13</v>
      </c>
      <c r="GO3">
        <v>20</v>
      </c>
      <c r="GP3">
        <v>8</v>
      </c>
      <c r="GQ3">
        <v>19</v>
      </c>
      <c r="GR3">
        <v>16</v>
      </c>
      <c r="GS3">
        <v>15</v>
      </c>
      <c r="GT3">
        <v>8</v>
      </c>
      <c r="GU3">
        <v>7</v>
      </c>
      <c r="GV3">
        <v>5</v>
      </c>
      <c r="GW3">
        <v>4</v>
      </c>
      <c r="GX3">
        <v>14</v>
      </c>
      <c r="GY3">
        <v>9</v>
      </c>
      <c r="GZ3">
        <v>9</v>
      </c>
      <c r="HA3">
        <v>2</v>
      </c>
      <c r="HB3">
        <v>12</v>
      </c>
      <c r="HC3">
        <v>7</v>
      </c>
      <c r="HD3">
        <v>7</v>
      </c>
      <c r="HE3">
        <v>19</v>
      </c>
      <c r="HF3">
        <v>12</v>
      </c>
      <c r="HG3">
        <v>15</v>
      </c>
      <c r="HH3">
        <v>12</v>
      </c>
      <c r="HI3">
        <v>5</v>
      </c>
      <c r="HJ3">
        <v>4</v>
      </c>
      <c r="HK3">
        <v>6</v>
      </c>
      <c r="HL3">
        <v>15</v>
      </c>
      <c r="HM3">
        <v>6</v>
      </c>
      <c r="HN3">
        <v>10</v>
      </c>
      <c r="HO3">
        <v>6</v>
      </c>
      <c r="HP3">
        <v>5</v>
      </c>
      <c r="HQ3">
        <v>3</v>
      </c>
      <c r="HR3">
        <v>8</v>
      </c>
      <c r="HS3">
        <v>11</v>
      </c>
      <c r="HT3">
        <v>12</v>
      </c>
      <c r="HU3">
        <v>3</v>
      </c>
      <c r="HV3">
        <v>3</v>
      </c>
      <c r="HW3">
        <v>6</v>
      </c>
      <c r="HX3">
        <v>10</v>
      </c>
      <c r="HY3">
        <v>1</v>
      </c>
      <c r="HZ3">
        <v>7</v>
      </c>
      <c r="IA3">
        <v>22</v>
      </c>
      <c r="IB3">
        <v>5</v>
      </c>
      <c r="IC3">
        <v>8</v>
      </c>
      <c r="ID3">
        <v>4</v>
      </c>
      <c r="IE3">
        <v>3</v>
      </c>
      <c r="IF3">
        <v>3</v>
      </c>
      <c r="IG3">
        <v>14</v>
      </c>
      <c r="IH3">
        <v>5</v>
      </c>
      <c r="II3">
        <v>9</v>
      </c>
      <c r="IJ3">
        <v>0</v>
      </c>
      <c r="IK3">
        <v>7</v>
      </c>
      <c r="IL3">
        <v>13</v>
      </c>
      <c r="IM3">
        <v>29</v>
      </c>
      <c r="IN3">
        <v>46</v>
      </c>
      <c r="IO3">
        <v>22</v>
      </c>
      <c r="IP3">
        <v>20</v>
      </c>
      <c r="IQ3">
        <v>16</v>
      </c>
      <c r="IR3">
        <v>15</v>
      </c>
      <c r="IS3">
        <v>17</v>
      </c>
      <c r="IT3">
        <v>14</v>
      </c>
      <c r="IU3">
        <v>20</v>
      </c>
      <c r="IV3">
        <v>13</v>
      </c>
      <c r="IW3">
        <v>3</v>
      </c>
      <c r="IX3">
        <v>19</v>
      </c>
      <c r="IY3">
        <v>11</v>
      </c>
      <c r="IZ3">
        <v>2</v>
      </c>
      <c r="JA3">
        <v>20</v>
      </c>
      <c r="JB3">
        <v>11</v>
      </c>
      <c r="JC3">
        <v>15</v>
      </c>
      <c r="JD3">
        <v>11</v>
      </c>
      <c r="JE3">
        <v>20</v>
      </c>
      <c r="JF3">
        <v>7</v>
      </c>
      <c r="JG3">
        <v>6</v>
      </c>
      <c r="JH3">
        <v>7</v>
      </c>
      <c r="JI3">
        <v>14</v>
      </c>
      <c r="JJ3">
        <v>14</v>
      </c>
      <c r="JK3">
        <v>3</v>
      </c>
      <c r="JL3">
        <v>2</v>
      </c>
      <c r="JM3">
        <v>10</v>
      </c>
      <c r="JN3">
        <v>2</v>
      </c>
      <c r="JO3">
        <v>0</v>
      </c>
      <c r="JP3">
        <v>14</v>
      </c>
      <c r="JQ3">
        <v>11</v>
      </c>
      <c r="JR3">
        <v>1</v>
      </c>
      <c r="JS3">
        <v>13</v>
      </c>
      <c r="JT3">
        <v>20</v>
      </c>
      <c r="JU3">
        <v>3</v>
      </c>
      <c r="JV3">
        <v>6</v>
      </c>
      <c r="JW3">
        <v>6</v>
      </c>
      <c r="JX3">
        <v>7</v>
      </c>
      <c r="JY3">
        <v>13</v>
      </c>
      <c r="JZ3">
        <v>7</v>
      </c>
      <c r="KA3">
        <v>4</v>
      </c>
      <c r="KB3">
        <v>12</v>
      </c>
      <c r="KC3">
        <v>12</v>
      </c>
      <c r="KD3">
        <v>4</v>
      </c>
      <c r="KE3">
        <v>4</v>
      </c>
      <c r="KF3">
        <v>6</v>
      </c>
      <c r="KG3">
        <v>5</v>
      </c>
      <c r="KH3">
        <v>1</v>
      </c>
      <c r="KI3">
        <v>2</v>
      </c>
      <c r="KJ3">
        <v>1</v>
      </c>
      <c r="KK3">
        <v>0</v>
      </c>
      <c r="KL3">
        <v>1</v>
      </c>
      <c r="KM3">
        <v>1</v>
      </c>
      <c r="KN3">
        <v>0</v>
      </c>
      <c r="KO3">
        <v>1</v>
      </c>
      <c r="KP3">
        <v>1</v>
      </c>
      <c r="KQ3">
        <v>18</v>
      </c>
      <c r="KR3">
        <v>28</v>
      </c>
      <c r="KS3">
        <v>20</v>
      </c>
      <c r="KT3">
        <v>20</v>
      </c>
      <c r="KU3">
        <v>10</v>
      </c>
      <c r="KV3">
        <v>10</v>
      </c>
      <c r="KW3">
        <v>6</v>
      </c>
      <c r="KX3">
        <v>10</v>
      </c>
      <c r="KY3">
        <v>4</v>
      </c>
      <c r="KZ3">
        <v>5</v>
      </c>
      <c r="LA3">
        <v>11</v>
      </c>
      <c r="LB3">
        <v>4</v>
      </c>
      <c r="LC3">
        <v>7</v>
      </c>
      <c r="LD3">
        <v>3</v>
      </c>
      <c r="LE3">
        <v>11</v>
      </c>
      <c r="LF3">
        <v>10</v>
      </c>
      <c r="LG3">
        <v>3</v>
      </c>
      <c r="LH3">
        <v>4</v>
      </c>
      <c r="LI3">
        <v>2</v>
      </c>
      <c r="LJ3">
        <v>8</v>
      </c>
      <c r="LK3">
        <v>3</v>
      </c>
      <c r="LL3">
        <v>4</v>
      </c>
      <c r="LM3">
        <v>6</v>
      </c>
      <c r="LN3">
        <v>7</v>
      </c>
      <c r="LO3">
        <v>3</v>
      </c>
      <c r="LP3">
        <v>25</v>
      </c>
      <c r="LQ3">
        <v>20</v>
      </c>
      <c r="LR3">
        <v>18</v>
      </c>
      <c r="LS3">
        <v>9</v>
      </c>
      <c r="LT3">
        <v>5</v>
      </c>
      <c r="LU3">
        <v>0</v>
      </c>
      <c r="LV3">
        <v>3</v>
      </c>
      <c r="LW3">
        <v>6</v>
      </c>
      <c r="LX3">
        <v>2</v>
      </c>
      <c r="LY3">
        <v>1</v>
      </c>
      <c r="LZ3">
        <v>2</v>
      </c>
      <c r="MA3">
        <v>21</v>
      </c>
      <c r="MB3">
        <v>18</v>
      </c>
      <c r="MC3">
        <v>10</v>
      </c>
      <c r="MD3">
        <v>12</v>
      </c>
      <c r="ME3">
        <v>7</v>
      </c>
      <c r="MF3">
        <v>3</v>
      </c>
      <c r="MG3">
        <v>11</v>
      </c>
      <c r="MH3">
        <v>13</v>
      </c>
      <c r="MI3">
        <v>14</v>
      </c>
      <c r="MJ3">
        <v>13</v>
      </c>
      <c r="MK3">
        <v>6</v>
      </c>
      <c r="ML3">
        <v>14</v>
      </c>
      <c r="MM3">
        <v>8</v>
      </c>
      <c r="MN3">
        <v>24</v>
      </c>
      <c r="MO3">
        <v>38</v>
      </c>
      <c r="MP3">
        <v>28</v>
      </c>
      <c r="MQ3">
        <v>20</v>
      </c>
      <c r="MR3">
        <v>19</v>
      </c>
      <c r="MS3">
        <v>23</v>
      </c>
      <c r="MT3">
        <v>31</v>
      </c>
      <c r="MU3">
        <v>15</v>
      </c>
      <c r="MV3">
        <v>34</v>
      </c>
      <c r="MW3">
        <v>14</v>
      </c>
      <c r="MX3">
        <v>13</v>
      </c>
      <c r="MY3">
        <v>12</v>
      </c>
      <c r="MZ3">
        <v>12</v>
      </c>
      <c r="NA3">
        <v>17</v>
      </c>
      <c r="NB3">
        <v>18</v>
      </c>
      <c r="NC3">
        <v>38</v>
      </c>
      <c r="ND3">
        <f t="shared" ref="ND3:ND4" si="0">SUM(C3:NC3)</f>
        <v>4350</v>
      </c>
    </row>
    <row r="4" spans="1:368" x14ac:dyDescent="0.2">
      <c r="A4" t="s">
        <v>371</v>
      </c>
      <c r="B4" t="s">
        <v>369</v>
      </c>
      <c r="C4">
        <v>17</v>
      </c>
      <c r="D4">
        <v>3</v>
      </c>
      <c r="E4">
        <v>8</v>
      </c>
      <c r="F4">
        <v>2</v>
      </c>
      <c r="G4">
        <v>5</v>
      </c>
      <c r="H4">
        <v>0</v>
      </c>
      <c r="I4">
        <v>1</v>
      </c>
      <c r="J4">
        <v>5</v>
      </c>
      <c r="K4">
        <v>12</v>
      </c>
      <c r="L4">
        <v>4</v>
      </c>
      <c r="M4">
        <v>7</v>
      </c>
      <c r="N4">
        <v>9</v>
      </c>
      <c r="O4">
        <v>2</v>
      </c>
      <c r="P4">
        <v>5</v>
      </c>
      <c r="Q4">
        <v>11</v>
      </c>
      <c r="R4">
        <v>6</v>
      </c>
      <c r="S4">
        <v>3</v>
      </c>
      <c r="T4">
        <v>3</v>
      </c>
      <c r="U4">
        <v>3</v>
      </c>
      <c r="V4">
        <v>2</v>
      </c>
      <c r="W4">
        <v>14</v>
      </c>
      <c r="X4">
        <v>19</v>
      </c>
      <c r="Y4">
        <v>12</v>
      </c>
      <c r="Z4">
        <v>8</v>
      </c>
      <c r="AA4">
        <v>2</v>
      </c>
      <c r="AB4">
        <v>3</v>
      </c>
      <c r="AC4">
        <v>3</v>
      </c>
      <c r="AD4">
        <v>4</v>
      </c>
      <c r="AE4">
        <v>5</v>
      </c>
      <c r="AF4">
        <v>2</v>
      </c>
      <c r="AG4">
        <v>5</v>
      </c>
      <c r="AH4">
        <v>6</v>
      </c>
      <c r="AI4">
        <v>5</v>
      </c>
      <c r="AJ4">
        <v>0</v>
      </c>
      <c r="AK4">
        <v>1</v>
      </c>
      <c r="AL4">
        <v>13</v>
      </c>
      <c r="AM4">
        <v>2</v>
      </c>
      <c r="AN4">
        <v>0</v>
      </c>
      <c r="AO4">
        <v>0</v>
      </c>
      <c r="AP4">
        <v>2</v>
      </c>
      <c r="AQ4">
        <v>0</v>
      </c>
      <c r="AR4">
        <v>0</v>
      </c>
      <c r="AS4">
        <v>4</v>
      </c>
      <c r="AT4">
        <v>3</v>
      </c>
      <c r="AU4">
        <v>3</v>
      </c>
      <c r="AV4">
        <v>13</v>
      </c>
      <c r="AW4">
        <v>19</v>
      </c>
      <c r="AX4">
        <v>15</v>
      </c>
      <c r="AY4">
        <v>15</v>
      </c>
      <c r="AZ4">
        <v>25</v>
      </c>
      <c r="BA4">
        <v>18</v>
      </c>
      <c r="BB4">
        <v>12</v>
      </c>
      <c r="BC4">
        <v>7</v>
      </c>
      <c r="BD4">
        <v>1</v>
      </c>
      <c r="BE4">
        <v>3</v>
      </c>
      <c r="BF4">
        <v>12</v>
      </c>
      <c r="BG4">
        <v>8</v>
      </c>
      <c r="BH4">
        <v>1</v>
      </c>
      <c r="BI4">
        <v>2</v>
      </c>
      <c r="BJ4">
        <v>2</v>
      </c>
      <c r="BK4">
        <v>1</v>
      </c>
      <c r="BL4">
        <v>2</v>
      </c>
      <c r="BM4">
        <v>6</v>
      </c>
      <c r="BN4">
        <v>6</v>
      </c>
      <c r="BO4">
        <v>1</v>
      </c>
      <c r="BP4">
        <v>2</v>
      </c>
      <c r="BQ4">
        <v>1</v>
      </c>
      <c r="BR4">
        <v>2</v>
      </c>
      <c r="BS4">
        <v>0</v>
      </c>
      <c r="BT4">
        <v>2</v>
      </c>
      <c r="BU4">
        <v>2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6</v>
      </c>
      <c r="CD4">
        <v>2</v>
      </c>
      <c r="CE4">
        <v>4</v>
      </c>
      <c r="CF4">
        <v>4</v>
      </c>
      <c r="CG4">
        <v>4</v>
      </c>
      <c r="CH4">
        <v>4</v>
      </c>
      <c r="CI4">
        <v>3</v>
      </c>
      <c r="CJ4">
        <v>2</v>
      </c>
      <c r="CK4">
        <v>1</v>
      </c>
      <c r="CL4">
        <v>2</v>
      </c>
      <c r="CM4">
        <v>3</v>
      </c>
      <c r="CN4">
        <v>3</v>
      </c>
      <c r="CO4">
        <v>8</v>
      </c>
      <c r="CP4">
        <v>6</v>
      </c>
      <c r="CQ4">
        <v>6</v>
      </c>
      <c r="CR4">
        <v>9</v>
      </c>
      <c r="CS4">
        <v>8</v>
      </c>
      <c r="CT4">
        <v>1</v>
      </c>
      <c r="CU4">
        <v>2</v>
      </c>
      <c r="CV4">
        <v>7</v>
      </c>
      <c r="CW4">
        <v>1</v>
      </c>
      <c r="CX4">
        <v>3</v>
      </c>
      <c r="CY4">
        <v>3</v>
      </c>
      <c r="CZ4">
        <v>1</v>
      </c>
      <c r="DA4">
        <v>0</v>
      </c>
      <c r="DB4">
        <v>0</v>
      </c>
      <c r="DC4">
        <v>9</v>
      </c>
      <c r="DD4">
        <v>10</v>
      </c>
      <c r="DE4">
        <v>5</v>
      </c>
      <c r="DF4">
        <v>8</v>
      </c>
      <c r="DG4">
        <v>0</v>
      </c>
      <c r="DH4">
        <v>4</v>
      </c>
      <c r="DI4">
        <v>7</v>
      </c>
      <c r="DJ4">
        <v>6</v>
      </c>
      <c r="DK4">
        <v>11</v>
      </c>
      <c r="DL4">
        <v>8</v>
      </c>
      <c r="DM4">
        <v>5</v>
      </c>
      <c r="DN4">
        <v>7</v>
      </c>
      <c r="DO4">
        <v>3</v>
      </c>
      <c r="DP4">
        <v>5</v>
      </c>
      <c r="DQ4">
        <v>1</v>
      </c>
      <c r="DR4">
        <v>7</v>
      </c>
      <c r="DS4">
        <v>10</v>
      </c>
      <c r="DT4">
        <v>7</v>
      </c>
      <c r="DU4">
        <v>5</v>
      </c>
      <c r="DV4">
        <v>2</v>
      </c>
      <c r="DW4">
        <v>3</v>
      </c>
      <c r="DX4">
        <v>1</v>
      </c>
      <c r="DY4">
        <v>2</v>
      </c>
      <c r="DZ4">
        <v>15</v>
      </c>
      <c r="EA4">
        <v>3</v>
      </c>
      <c r="EB4">
        <v>2</v>
      </c>
      <c r="EC4">
        <v>0</v>
      </c>
      <c r="ED4">
        <v>0</v>
      </c>
      <c r="EE4">
        <v>0</v>
      </c>
      <c r="EF4">
        <v>7</v>
      </c>
      <c r="EG4">
        <v>3</v>
      </c>
      <c r="EH4">
        <v>7</v>
      </c>
      <c r="EI4">
        <v>7</v>
      </c>
      <c r="EJ4">
        <v>6</v>
      </c>
      <c r="EK4">
        <v>4</v>
      </c>
      <c r="EL4">
        <v>3</v>
      </c>
      <c r="EM4">
        <v>12</v>
      </c>
      <c r="EN4">
        <v>8</v>
      </c>
      <c r="EO4">
        <v>5</v>
      </c>
      <c r="EP4">
        <v>5</v>
      </c>
      <c r="EQ4">
        <v>7</v>
      </c>
      <c r="ER4">
        <v>9</v>
      </c>
      <c r="ES4">
        <v>2</v>
      </c>
      <c r="ET4">
        <v>9</v>
      </c>
      <c r="EU4">
        <v>12</v>
      </c>
      <c r="EV4">
        <v>17</v>
      </c>
      <c r="EW4">
        <v>5</v>
      </c>
      <c r="EX4">
        <v>11</v>
      </c>
      <c r="EY4">
        <v>7</v>
      </c>
      <c r="EZ4">
        <v>4</v>
      </c>
      <c r="FA4">
        <v>4</v>
      </c>
      <c r="FB4">
        <v>9</v>
      </c>
      <c r="FC4">
        <v>1</v>
      </c>
      <c r="FD4">
        <v>5</v>
      </c>
      <c r="FE4">
        <v>3</v>
      </c>
      <c r="FF4">
        <v>4</v>
      </c>
      <c r="FG4">
        <v>5</v>
      </c>
      <c r="FH4">
        <v>3</v>
      </c>
      <c r="FI4">
        <v>2</v>
      </c>
      <c r="FJ4">
        <v>3</v>
      </c>
      <c r="FK4">
        <v>0</v>
      </c>
      <c r="FL4">
        <v>9</v>
      </c>
      <c r="FM4">
        <v>9</v>
      </c>
      <c r="FN4">
        <v>11</v>
      </c>
      <c r="FO4">
        <v>8</v>
      </c>
      <c r="FP4">
        <v>17</v>
      </c>
      <c r="FQ4">
        <v>8</v>
      </c>
      <c r="FR4">
        <v>4</v>
      </c>
      <c r="FS4">
        <v>14</v>
      </c>
      <c r="FT4">
        <v>10</v>
      </c>
      <c r="FU4">
        <v>9</v>
      </c>
      <c r="FV4">
        <v>22</v>
      </c>
      <c r="FW4">
        <v>14</v>
      </c>
      <c r="FX4">
        <v>7</v>
      </c>
      <c r="FY4">
        <v>2</v>
      </c>
      <c r="FZ4">
        <v>3</v>
      </c>
      <c r="GA4">
        <v>3</v>
      </c>
      <c r="GB4">
        <v>3</v>
      </c>
      <c r="GC4">
        <v>13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9</v>
      </c>
      <c r="GL4">
        <v>8</v>
      </c>
      <c r="GM4">
        <v>3</v>
      </c>
      <c r="GN4">
        <v>2</v>
      </c>
      <c r="GO4">
        <v>2</v>
      </c>
      <c r="GP4">
        <v>19</v>
      </c>
      <c r="GQ4">
        <v>23</v>
      </c>
      <c r="GR4">
        <v>13</v>
      </c>
      <c r="GS4">
        <v>7</v>
      </c>
      <c r="GT4">
        <v>3</v>
      </c>
      <c r="GU4">
        <v>13</v>
      </c>
      <c r="GV4">
        <v>2</v>
      </c>
      <c r="GW4">
        <v>9</v>
      </c>
      <c r="GX4">
        <v>15</v>
      </c>
      <c r="GY4">
        <v>4</v>
      </c>
      <c r="GZ4">
        <v>3</v>
      </c>
      <c r="HA4">
        <v>8</v>
      </c>
      <c r="HB4">
        <v>6</v>
      </c>
      <c r="HC4">
        <v>3</v>
      </c>
      <c r="HD4">
        <v>8</v>
      </c>
      <c r="HE4">
        <v>7</v>
      </c>
      <c r="HF4">
        <v>5</v>
      </c>
      <c r="HG4">
        <v>16</v>
      </c>
      <c r="HH4">
        <v>6</v>
      </c>
      <c r="HI4">
        <v>5</v>
      </c>
      <c r="HJ4">
        <v>3</v>
      </c>
      <c r="HK4">
        <v>13</v>
      </c>
      <c r="HL4">
        <v>15</v>
      </c>
      <c r="HM4">
        <v>8</v>
      </c>
      <c r="HN4">
        <v>10</v>
      </c>
      <c r="HO4">
        <v>1</v>
      </c>
      <c r="HP4">
        <v>2</v>
      </c>
      <c r="HQ4">
        <v>2</v>
      </c>
      <c r="HR4">
        <v>4</v>
      </c>
      <c r="HS4">
        <v>9</v>
      </c>
      <c r="HT4">
        <v>8</v>
      </c>
      <c r="HU4">
        <v>8</v>
      </c>
      <c r="HV4">
        <v>2</v>
      </c>
      <c r="HW4">
        <v>4</v>
      </c>
      <c r="HX4">
        <v>1</v>
      </c>
      <c r="HY4">
        <v>1</v>
      </c>
      <c r="HZ4">
        <v>0</v>
      </c>
      <c r="IA4">
        <v>2</v>
      </c>
      <c r="IB4">
        <v>2</v>
      </c>
      <c r="IC4">
        <v>0</v>
      </c>
      <c r="ID4">
        <v>0</v>
      </c>
      <c r="IE4">
        <v>0</v>
      </c>
      <c r="IF4">
        <v>3</v>
      </c>
      <c r="IG4">
        <v>2</v>
      </c>
      <c r="IH4">
        <v>2</v>
      </c>
      <c r="II4">
        <v>2</v>
      </c>
      <c r="IJ4">
        <v>0</v>
      </c>
      <c r="IK4">
        <v>0</v>
      </c>
      <c r="IL4">
        <v>1</v>
      </c>
      <c r="IM4">
        <v>2</v>
      </c>
      <c r="IN4">
        <v>1</v>
      </c>
      <c r="IO4">
        <v>4</v>
      </c>
      <c r="IP4">
        <v>9</v>
      </c>
      <c r="IQ4">
        <v>0</v>
      </c>
      <c r="IR4">
        <v>2</v>
      </c>
      <c r="IS4">
        <v>2</v>
      </c>
      <c r="IT4">
        <v>2</v>
      </c>
      <c r="IU4">
        <v>3</v>
      </c>
      <c r="IV4">
        <v>0</v>
      </c>
      <c r="IW4">
        <v>17</v>
      </c>
      <c r="IX4">
        <v>7</v>
      </c>
      <c r="IY4">
        <v>7</v>
      </c>
      <c r="IZ4">
        <v>3</v>
      </c>
      <c r="JA4">
        <v>6</v>
      </c>
      <c r="JB4">
        <v>3</v>
      </c>
      <c r="JC4">
        <v>8</v>
      </c>
      <c r="JD4">
        <v>9</v>
      </c>
      <c r="JE4">
        <v>24</v>
      </c>
      <c r="JF4">
        <v>26</v>
      </c>
      <c r="JG4">
        <v>11</v>
      </c>
      <c r="JH4">
        <v>20</v>
      </c>
      <c r="JI4">
        <v>18</v>
      </c>
      <c r="JJ4">
        <v>19</v>
      </c>
      <c r="JK4">
        <v>1</v>
      </c>
      <c r="JL4">
        <v>2</v>
      </c>
      <c r="JM4">
        <v>4</v>
      </c>
      <c r="JN4">
        <v>3</v>
      </c>
      <c r="JO4">
        <v>0</v>
      </c>
      <c r="JP4">
        <v>5</v>
      </c>
      <c r="JQ4">
        <v>12</v>
      </c>
      <c r="JR4">
        <v>2</v>
      </c>
      <c r="JS4">
        <v>1</v>
      </c>
      <c r="JT4">
        <v>2</v>
      </c>
      <c r="JU4">
        <v>6</v>
      </c>
      <c r="JV4">
        <v>8</v>
      </c>
      <c r="JW4">
        <v>10</v>
      </c>
      <c r="JX4">
        <v>15</v>
      </c>
      <c r="JY4">
        <v>9</v>
      </c>
      <c r="JZ4">
        <v>5</v>
      </c>
      <c r="KA4">
        <v>3</v>
      </c>
      <c r="KB4">
        <v>7</v>
      </c>
      <c r="KC4">
        <v>17</v>
      </c>
      <c r="KD4">
        <v>15</v>
      </c>
      <c r="KE4">
        <v>4</v>
      </c>
      <c r="KF4">
        <v>9</v>
      </c>
      <c r="KG4">
        <v>11</v>
      </c>
      <c r="KH4">
        <v>7</v>
      </c>
      <c r="KI4">
        <v>6</v>
      </c>
      <c r="KJ4">
        <v>9</v>
      </c>
      <c r="KK4">
        <v>13</v>
      </c>
      <c r="KL4">
        <v>17</v>
      </c>
      <c r="KM4">
        <v>9</v>
      </c>
      <c r="KN4">
        <v>5</v>
      </c>
      <c r="KO4">
        <v>5</v>
      </c>
      <c r="KP4">
        <v>6</v>
      </c>
      <c r="KQ4">
        <v>26</v>
      </c>
      <c r="KR4">
        <v>12</v>
      </c>
      <c r="KS4">
        <v>5</v>
      </c>
      <c r="KT4">
        <v>6</v>
      </c>
      <c r="KU4">
        <v>3</v>
      </c>
      <c r="KV4">
        <v>12</v>
      </c>
      <c r="KW4">
        <v>8</v>
      </c>
      <c r="KX4">
        <v>7</v>
      </c>
      <c r="KY4">
        <v>23</v>
      </c>
      <c r="KZ4">
        <v>10</v>
      </c>
      <c r="LA4">
        <v>7</v>
      </c>
      <c r="LB4">
        <v>2</v>
      </c>
      <c r="LC4">
        <v>6</v>
      </c>
      <c r="LD4">
        <v>3</v>
      </c>
      <c r="LE4">
        <v>7</v>
      </c>
      <c r="LF4">
        <v>15</v>
      </c>
      <c r="LG4">
        <v>5</v>
      </c>
      <c r="LH4">
        <v>33</v>
      </c>
      <c r="LI4">
        <v>10</v>
      </c>
      <c r="LJ4">
        <v>15</v>
      </c>
      <c r="LK4">
        <v>6</v>
      </c>
      <c r="LL4">
        <v>8</v>
      </c>
      <c r="LM4">
        <v>12</v>
      </c>
      <c r="LN4">
        <v>18</v>
      </c>
      <c r="LO4">
        <v>6</v>
      </c>
      <c r="LP4">
        <v>5</v>
      </c>
      <c r="LQ4">
        <v>2</v>
      </c>
      <c r="LR4">
        <v>8</v>
      </c>
      <c r="LS4">
        <v>8</v>
      </c>
      <c r="LT4">
        <v>16</v>
      </c>
      <c r="LU4">
        <v>0</v>
      </c>
      <c r="LV4">
        <v>12</v>
      </c>
      <c r="LW4">
        <v>21</v>
      </c>
      <c r="LX4">
        <v>23</v>
      </c>
      <c r="LY4">
        <v>3</v>
      </c>
      <c r="LZ4">
        <v>13</v>
      </c>
      <c r="MA4">
        <v>14</v>
      </c>
      <c r="MB4">
        <v>9</v>
      </c>
      <c r="MC4">
        <v>13</v>
      </c>
      <c r="MD4">
        <v>16</v>
      </c>
      <c r="ME4">
        <v>8</v>
      </c>
      <c r="MF4">
        <v>4</v>
      </c>
      <c r="MG4">
        <v>13</v>
      </c>
      <c r="MH4">
        <v>10</v>
      </c>
      <c r="MI4">
        <v>15</v>
      </c>
      <c r="MJ4">
        <v>4</v>
      </c>
      <c r="MK4">
        <v>9</v>
      </c>
      <c r="ML4">
        <v>9</v>
      </c>
      <c r="MM4">
        <v>7</v>
      </c>
      <c r="MN4">
        <v>10</v>
      </c>
      <c r="MO4">
        <v>8</v>
      </c>
      <c r="MP4">
        <v>6</v>
      </c>
      <c r="MQ4">
        <v>6</v>
      </c>
      <c r="MR4">
        <v>7</v>
      </c>
      <c r="MS4">
        <v>6</v>
      </c>
      <c r="MT4">
        <v>9</v>
      </c>
      <c r="MU4">
        <v>6</v>
      </c>
      <c r="MV4">
        <v>6</v>
      </c>
      <c r="MW4">
        <v>2</v>
      </c>
      <c r="MX4">
        <v>0</v>
      </c>
      <c r="MY4">
        <v>2</v>
      </c>
      <c r="MZ4">
        <v>4</v>
      </c>
      <c r="NA4">
        <v>2</v>
      </c>
      <c r="NB4">
        <v>12</v>
      </c>
      <c r="NC4">
        <v>9</v>
      </c>
      <c r="ND4">
        <f t="shared" si="0"/>
        <v>2334</v>
      </c>
    </row>
  </sheetData>
  <autoFilter ref="A1:NC4" xr:uid="{18E08E22-5CCD-3F4B-959B-3670D6F3D55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DDEC-920A-3B4E-A936-E9FFF6864FE7}">
  <dimension ref="A1:K1096"/>
  <sheetViews>
    <sheetView workbookViewId="0"/>
  </sheetViews>
  <sheetFormatPr baseColWidth="10" defaultRowHeight="16" x14ac:dyDescent="0.2"/>
  <cols>
    <col min="1" max="1" width="17.33203125" customWidth="1"/>
    <col min="2" max="2" width="10.33203125" bestFit="1" customWidth="1"/>
    <col min="3" max="3" width="8.83203125" bestFit="1" customWidth="1"/>
    <col min="4" max="4" width="11.1640625" bestFit="1" customWidth="1"/>
    <col min="5" max="5" width="15.6640625" style="1" customWidth="1"/>
    <col min="10" max="10" width="15.33203125" customWidth="1"/>
  </cols>
  <sheetData>
    <row r="1" spans="1:11" x14ac:dyDescent="0.2">
      <c r="A1" t="s">
        <v>0</v>
      </c>
      <c r="B1" t="s">
        <v>1</v>
      </c>
      <c r="C1" t="s">
        <v>372</v>
      </c>
      <c r="D1" t="s">
        <v>373</v>
      </c>
      <c r="E1" s="1" t="s">
        <v>374</v>
      </c>
      <c r="F1" t="s">
        <v>375</v>
      </c>
      <c r="G1" t="s">
        <v>377</v>
      </c>
      <c r="H1" t="s">
        <v>378</v>
      </c>
      <c r="I1" t="s">
        <v>423</v>
      </c>
      <c r="J1" t="s">
        <v>424</v>
      </c>
      <c r="K1" t="s">
        <v>382</v>
      </c>
    </row>
    <row r="2" spans="1:11" x14ac:dyDescent="0.2">
      <c r="A2" t="s">
        <v>368</v>
      </c>
      <c r="B2" t="s">
        <v>369</v>
      </c>
      <c r="C2" t="s">
        <v>2</v>
      </c>
      <c r="D2">
        <v>10</v>
      </c>
      <c r="E2" s="1">
        <f>_xlfn.XLOOKUP(Sheet1[[#This Row],[day_id]],calendar!A2,calendar!B2)</f>
        <v>40572</v>
      </c>
      <c r="F2" t="str">
        <f>_xlfn.XLOOKUP(Sheet1[[#This Row],[day_id]],calendar!A2,calendar!C2)</f>
        <v>Saturday</v>
      </c>
      <c r="G2">
        <f>_xlfn.XLOOKUP(Sheet1[[#This Row],[day_id]],calendar!A2,calendar!E2)</f>
        <v>1</v>
      </c>
      <c r="H2">
        <f>_xlfn.XLOOKUP(Sheet1[[#This Row],[day_id]],calendar!A2,calendar!F2)</f>
        <v>2011</v>
      </c>
      <c r="I2" t="str">
        <f>_xlfn.XLOOKUP(Sheet1[[#This Row],[day_id]],calendar!A2,calendar!J2)</f>
        <v>No Event</v>
      </c>
      <c r="J2" t="str">
        <f>_xlfn.XLOOKUP(Sheet1[[#This Row],[day_id]],calendar!A2,calendar!K2)</f>
        <v>No Event Type</v>
      </c>
      <c r="K2">
        <f>_xlfn.XLOOKUP(Sheet1[[#This Row],[day_id]],calendar!A2,calendar!I2)</f>
        <v>0</v>
      </c>
    </row>
    <row r="3" spans="1:11" x14ac:dyDescent="0.2">
      <c r="A3" t="s">
        <v>368</v>
      </c>
      <c r="B3" t="s">
        <v>369</v>
      </c>
      <c r="C3" t="s">
        <v>3</v>
      </c>
      <c r="D3">
        <v>3</v>
      </c>
      <c r="E3" s="1">
        <f>_xlfn.XLOOKUP(Sheet1[[#This Row],[day_id]],calendar!A3,calendar!B3)</f>
        <v>40573</v>
      </c>
      <c r="F3" t="str">
        <f>_xlfn.XLOOKUP(Sheet1[[#This Row],[day_id]],calendar!A3,calendar!C3)</f>
        <v>Sunday</v>
      </c>
      <c r="G3">
        <f>_xlfn.XLOOKUP(Sheet1[[#This Row],[day_id]],calendar!A3,calendar!E3)</f>
        <v>1</v>
      </c>
      <c r="H3">
        <f>_xlfn.XLOOKUP(Sheet1[[#This Row],[day_id]],calendar!A3,calendar!F3)</f>
        <v>2011</v>
      </c>
      <c r="I3" t="str">
        <f>_xlfn.XLOOKUP(Sheet1[[#This Row],[day_id]],calendar!A3,calendar!J3)</f>
        <v>No Event</v>
      </c>
      <c r="J3" t="str">
        <f>_xlfn.XLOOKUP(Sheet1[[#This Row],[day_id]],calendar!A3,calendar!K3)</f>
        <v>No Event Type</v>
      </c>
      <c r="K3">
        <f>_xlfn.XLOOKUP(Sheet1[[#This Row],[day_id]],calendar!A3,calendar!I3)</f>
        <v>0</v>
      </c>
    </row>
    <row r="4" spans="1:11" x14ac:dyDescent="0.2">
      <c r="A4" t="s">
        <v>368</v>
      </c>
      <c r="B4" t="s">
        <v>369</v>
      </c>
      <c r="C4" t="s">
        <v>4</v>
      </c>
      <c r="D4">
        <v>4</v>
      </c>
      <c r="E4" s="1">
        <f>_xlfn.XLOOKUP(Sheet1[[#This Row],[day_id]],calendar!A4,calendar!B4)</f>
        <v>40574</v>
      </c>
      <c r="F4" t="str">
        <f>_xlfn.XLOOKUP(Sheet1[[#This Row],[day_id]],calendar!A4,calendar!C4)</f>
        <v>Monday</v>
      </c>
      <c r="G4">
        <f>_xlfn.XLOOKUP(Sheet1[[#This Row],[day_id]],calendar!A4,calendar!E4)</f>
        <v>1</v>
      </c>
      <c r="H4">
        <f>_xlfn.XLOOKUP(Sheet1[[#This Row],[day_id]],calendar!A4,calendar!F4)</f>
        <v>2011</v>
      </c>
      <c r="I4" t="str">
        <f>_xlfn.XLOOKUP(Sheet1[[#This Row],[day_id]],calendar!A4,calendar!J4)</f>
        <v>No Event</v>
      </c>
      <c r="J4" t="str">
        <f>_xlfn.XLOOKUP(Sheet1[[#This Row],[day_id]],calendar!A4,calendar!K4)</f>
        <v>No Event Type</v>
      </c>
      <c r="K4">
        <f>_xlfn.XLOOKUP(Sheet1[[#This Row],[day_id]],calendar!A4,calendar!I4)</f>
        <v>0</v>
      </c>
    </row>
    <row r="5" spans="1:11" x14ac:dyDescent="0.2">
      <c r="A5" t="s">
        <v>368</v>
      </c>
      <c r="B5" t="s">
        <v>369</v>
      </c>
      <c r="C5" t="s">
        <v>5</v>
      </c>
      <c r="D5">
        <v>0</v>
      </c>
      <c r="E5" s="1">
        <f>_xlfn.XLOOKUP(Sheet1[[#This Row],[day_id]],calendar!A5,calendar!B5)</f>
        <v>40575</v>
      </c>
      <c r="F5" t="str">
        <f>_xlfn.XLOOKUP(Sheet1[[#This Row],[day_id]],calendar!A5,calendar!C5)</f>
        <v>Tuesday</v>
      </c>
      <c r="G5">
        <f>_xlfn.XLOOKUP(Sheet1[[#This Row],[day_id]],calendar!A5,calendar!E5)</f>
        <v>2</v>
      </c>
      <c r="H5">
        <f>_xlfn.XLOOKUP(Sheet1[[#This Row],[day_id]],calendar!A5,calendar!F5)</f>
        <v>2011</v>
      </c>
      <c r="I5" t="str">
        <f>_xlfn.XLOOKUP(Sheet1[[#This Row],[day_id]],calendar!A5,calendar!J5)</f>
        <v>No Event</v>
      </c>
      <c r="J5" t="str">
        <f>_xlfn.XLOOKUP(Sheet1[[#This Row],[day_id]],calendar!A5,calendar!K5)</f>
        <v>No Event Type</v>
      </c>
      <c r="K5">
        <f>_xlfn.XLOOKUP(Sheet1[[#This Row],[day_id]],calendar!A5,calendar!I5)</f>
        <v>1</v>
      </c>
    </row>
    <row r="6" spans="1:11" x14ac:dyDescent="0.2">
      <c r="A6" t="s">
        <v>368</v>
      </c>
      <c r="B6" t="s">
        <v>369</v>
      </c>
      <c r="C6" t="s">
        <v>6</v>
      </c>
      <c r="D6">
        <v>0</v>
      </c>
      <c r="E6" s="1">
        <f>_xlfn.XLOOKUP(Sheet1[[#This Row],[day_id]],calendar!A6,calendar!B6)</f>
        <v>40576</v>
      </c>
      <c r="F6" t="str">
        <f>_xlfn.XLOOKUP(Sheet1[[#This Row],[day_id]],calendar!A6,calendar!C6)</f>
        <v>Wednesday</v>
      </c>
      <c r="G6">
        <f>_xlfn.XLOOKUP(Sheet1[[#This Row],[day_id]],calendar!A6,calendar!E6)</f>
        <v>2</v>
      </c>
      <c r="H6">
        <f>_xlfn.XLOOKUP(Sheet1[[#This Row],[day_id]],calendar!A6,calendar!F6)</f>
        <v>2011</v>
      </c>
      <c r="I6" t="str">
        <f>_xlfn.XLOOKUP(Sheet1[[#This Row],[day_id]],calendar!A6,calendar!J6)</f>
        <v>No Event</v>
      </c>
      <c r="J6" t="str">
        <f>_xlfn.XLOOKUP(Sheet1[[#This Row],[day_id]],calendar!A6,calendar!K6)</f>
        <v>No Event Type</v>
      </c>
      <c r="K6">
        <f>_xlfn.XLOOKUP(Sheet1[[#This Row],[day_id]],calendar!A6,calendar!I6)</f>
        <v>1</v>
      </c>
    </row>
    <row r="7" spans="1:11" x14ac:dyDescent="0.2">
      <c r="A7" t="s">
        <v>368</v>
      </c>
      <c r="B7" t="s">
        <v>369</v>
      </c>
      <c r="C7" t="s">
        <v>7</v>
      </c>
      <c r="D7">
        <v>0</v>
      </c>
      <c r="E7" s="1">
        <f>_xlfn.XLOOKUP(Sheet1[[#This Row],[day_id]],calendar!A7,calendar!B7)</f>
        <v>40577</v>
      </c>
      <c r="F7" t="str">
        <f>_xlfn.XLOOKUP(Sheet1[[#This Row],[day_id]],calendar!A7,calendar!C7)</f>
        <v>Thursday</v>
      </c>
      <c r="G7">
        <f>_xlfn.XLOOKUP(Sheet1[[#This Row],[day_id]],calendar!A7,calendar!E7)</f>
        <v>2</v>
      </c>
      <c r="H7">
        <f>_xlfn.XLOOKUP(Sheet1[[#This Row],[day_id]],calendar!A7,calendar!F7)</f>
        <v>2011</v>
      </c>
      <c r="I7" t="str">
        <f>_xlfn.XLOOKUP(Sheet1[[#This Row],[day_id]],calendar!A7,calendar!J7)</f>
        <v>No Event</v>
      </c>
      <c r="J7" t="str">
        <f>_xlfn.XLOOKUP(Sheet1[[#This Row],[day_id]],calendar!A7,calendar!K7)</f>
        <v>No Event Type</v>
      </c>
      <c r="K7">
        <f>_xlfn.XLOOKUP(Sheet1[[#This Row],[day_id]],calendar!A7,calendar!I7)</f>
        <v>1</v>
      </c>
    </row>
    <row r="8" spans="1:11" x14ac:dyDescent="0.2">
      <c r="A8" t="s">
        <v>368</v>
      </c>
      <c r="B8" t="s">
        <v>369</v>
      </c>
      <c r="C8" t="s">
        <v>8</v>
      </c>
      <c r="D8">
        <v>1</v>
      </c>
      <c r="E8" s="1">
        <f>_xlfn.XLOOKUP(Sheet1[[#This Row],[day_id]],calendar!A8,calendar!B8)</f>
        <v>40578</v>
      </c>
      <c r="F8" t="str">
        <f>_xlfn.XLOOKUP(Sheet1[[#This Row],[day_id]],calendar!A8,calendar!C8)</f>
        <v>Friday</v>
      </c>
      <c r="G8">
        <f>_xlfn.XLOOKUP(Sheet1[[#This Row],[day_id]],calendar!A8,calendar!E8)</f>
        <v>2</v>
      </c>
      <c r="H8">
        <f>_xlfn.XLOOKUP(Sheet1[[#This Row],[day_id]],calendar!A8,calendar!F8)</f>
        <v>2011</v>
      </c>
      <c r="I8" t="str">
        <f>_xlfn.XLOOKUP(Sheet1[[#This Row],[day_id]],calendar!A8,calendar!J8)</f>
        <v>No Event</v>
      </c>
      <c r="J8" t="str">
        <f>_xlfn.XLOOKUP(Sheet1[[#This Row],[day_id]],calendar!A8,calendar!K8)</f>
        <v>No Event Type</v>
      </c>
      <c r="K8">
        <f>_xlfn.XLOOKUP(Sheet1[[#This Row],[day_id]],calendar!A8,calendar!I8)</f>
        <v>1</v>
      </c>
    </row>
    <row r="9" spans="1:11" x14ac:dyDescent="0.2">
      <c r="A9" t="s">
        <v>368</v>
      </c>
      <c r="B9" t="s">
        <v>369</v>
      </c>
      <c r="C9" t="s">
        <v>9</v>
      </c>
      <c r="D9">
        <v>4</v>
      </c>
      <c r="E9" s="1">
        <f>_xlfn.XLOOKUP(Sheet1[[#This Row],[day_id]],calendar!A9,calendar!B9)</f>
        <v>40579</v>
      </c>
      <c r="F9" t="str">
        <f>_xlfn.XLOOKUP(Sheet1[[#This Row],[day_id]],calendar!A9,calendar!C9)</f>
        <v>Saturday</v>
      </c>
      <c r="G9">
        <f>_xlfn.XLOOKUP(Sheet1[[#This Row],[day_id]],calendar!A9,calendar!E9)</f>
        <v>2</v>
      </c>
      <c r="H9">
        <f>_xlfn.XLOOKUP(Sheet1[[#This Row],[day_id]],calendar!A9,calendar!F9)</f>
        <v>2011</v>
      </c>
      <c r="I9" t="str">
        <f>_xlfn.XLOOKUP(Sheet1[[#This Row],[day_id]],calendar!A9,calendar!J9)</f>
        <v>No Event</v>
      </c>
      <c r="J9" t="str">
        <f>_xlfn.XLOOKUP(Sheet1[[#This Row],[day_id]],calendar!A9,calendar!K9)</f>
        <v>No Event Type</v>
      </c>
      <c r="K9">
        <f>_xlfn.XLOOKUP(Sheet1[[#This Row],[day_id]],calendar!A9,calendar!I9)</f>
        <v>1</v>
      </c>
    </row>
    <row r="10" spans="1:11" x14ac:dyDescent="0.2">
      <c r="A10" t="s">
        <v>368</v>
      </c>
      <c r="B10" t="s">
        <v>369</v>
      </c>
      <c r="C10" t="s">
        <v>10</v>
      </c>
      <c r="D10">
        <v>2</v>
      </c>
      <c r="E10" s="1">
        <f>_xlfn.XLOOKUP(Sheet1[[#This Row],[day_id]],calendar!A10,calendar!B10)</f>
        <v>40580</v>
      </c>
      <c r="F10" t="str">
        <f>_xlfn.XLOOKUP(Sheet1[[#This Row],[day_id]],calendar!A10,calendar!C10)</f>
        <v>Sunday</v>
      </c>
      <c r="G10">
        <f>_xlfn.XLOOKUP(Sheet1[[#This Row],[day_id]],calendar!A10,calendar!E10)</f>
        <v>2</v>
      </c>
      <c r="H10">
        <f>_xlfn.XLOOKUP(Sheet1[[#This Row],[day_id]],calendar!A10,calendar!F10)</f>
        <v>2011</v>
      </c>
      <c r="I10" t="str">
        <f>_xlfn.XLOOKUP(Sheet1[[#This Row],[day_id]],calendar!A10,calendar!J10)</f>
        <v>SuperBowl</v>
      </c>
      <c r="J10" t="str">
        <f>_xlfn.XLOOKUP(Sheet1[[#This Row],[day_id]],calendar!A10,calendar!K10)</f>
        <v>Sporting</v>
      </c>
      <c r="K10">
        <f>_xlfn.XLOOKUP(Sheet1[[#This Row],[day_id]],calendar!A10,calendar!I10)</f>
        <v>1</v>
      </c>
    </row>
    <row r="11" spans="1:11" x14ac:dyDescent="0.2">
      <c r="A11" t="s">
        <v>368</v>
      </c>
      <c r="B11" t="s">
        <v>369</v>
      </c>
      <c r="C11" t="s">
        <v>11</v>
      </c>
      <c r="D11">
        <v>0</v>
      </c>
      <c r="E11" s="1">
        <f>_xlfn.XLOOKUP(Sheet1[[#This Row],[day_id]],calendar!A11,calendar!B11)</f>
        <v>40581</v>
      </c>
      <c r="F11" t="str">
        <f>_xlfn.XLOOKUP(Sheet1[[#This Row],[day_id]],calendar!A11,calendar!C11)</f>
        <v>Monday</v>
      </c>
      <c r="G11">
        <f>_xlfn.XLOOKUP(Sheet1[[#This Row],[day_id]],calendar!A11,calendar!E11)</f>
        <v>2</v>
      </c>
      <c r="H11">
        <f>_xlfn.XLOOKUP(Sheet1[[#This Row],[day_id]],calendar!A11,calendar!F11)</f>
        <v>2011</v>
      </c>
      <c r="I11" t="str">
        <f>_xlfn.XLOOKUP(Sheet1[[#This Row],[day_id]],calendar!A11,calendar!J11)</f>
        <v>No Event</v>
      </c>
      <c r="J11" t="str">
        <f>_xlfn.XLOOKUP(Sheet1[[#This Row],[day_id]],calendar!A11,calendar!K11)</f>
        <v>No Event Type</v>
      </c>
      <c r="K11">
        <f>_xlfn.XLOOKUP(Sheet1[[#This Row],[day_id]],calendar!A11,calendar!I11)</f>
        <v>1</v>
      </c>
    </row>
    <row r="12" spans="1:11" x14ac:dyDescent="0.2">
      <c r="A12" t="s">
        <v>368</v>
      </c>
      <c r="B12" t="s">
        <v>369</v>
      </c>
      <c r="C12" t="s">
        <v>12</v>
      </c>
      <c r="D12">
        <v>0</v>
      </c>
      <c r="E12" s="1">
        <f>_xlfn.XLOOKUP(Sheet1[[#This Row],[day_id]],calendar!A12,calendar!B12)</f>
        <v>40582</v>
      </c>
      <c r="F12" t="str">
        <f>_xlfn.XLOOKUP(Sheet1[[#This Row],[day_id]],calendar!A12,calendar!C12)</f>
        <v>Tuesday</v>
      </c>
      <c r="G12">
        <f>_xlfn.XLOOKUP(Sheet1[[#This Row],[day_id]],calendar!A12,calendar!E12)</f>
        <v>2</v>
      </c>
      <c r="H12">
        <f>_xlfn.XLOOKUP(Sheet1[[#This Row],[day_id]],calendar!A12,calendar!F12)</f>
        <v>2011</v>
      </c>
      <c r="I12" t="str">
        <f>_xlfn.XLOOKUP(Sheet1[[#This Row],[day_id]],calendar!A12,calendar!J12)</f>
        <v>No Event</v>
      </c>
      <c r="J12" t="str">
        <f>_xlfn.XLOOKUP(Sheet1[[#This Row],[day_id]],calendar!A12,calendar!K12)</f>
        <v>No Event Type</v>
      </c>
      <c r="K12">
        <f>_xlfn.XLOOKUP(Sheet1[[#This Row],[day_id]],calendar!A12,calendar!I12)</f>
        <v>1</v>
      </c>
    </row>
    <row r="13" spans="1:11" x14ac:dyDescent="0.2">
      <c r="A13" t="s">
        <v>368</v>
      </c>
      <c r="B13" t="s">
        <v>369</v>
      </c>
      <c r="C13" t="s">
        <v>13</v>
      </c>
      <c r="D13">
        <v>4</v>
      </c>
      <c r="E13" s="1">
        <f>_xlfn.XLOOKUP(Sheet1[[#This Row],[day_id]],calendar!A13,calendar!B13)</f>
        <v>40583</v>
      </c>
      <c r="F13" t="str">
        <f>_xlfn.XLOOKUP(Sheet1[[#This Row],[day_id]],calendar!A13,calendar!C13)</f>
        <v>Wednesday</v>
      </c>
      <c r="G13">
        <f>_xlfn.XLOOKUP(Sheet1[[#This Row],[day_id]],calendar!A13,calendar!E13)</f>
        <v>2</v>
      </c>
      <c r="H13">
        <f>_xlfn.XLOOKUP(Sheet1[[#This Row],[day_id]],calendar!A13,calendar!F13)</f>
        <v>2011</v>
      </c>
      <c r="I13" t="str">
        <f>_xlfn.XLOOKUP(Sheet1[[#This Row],[day_id]],calendar!A13,calendar!J13)</f>
        <v>No Event</v>
      </c>
      <c r="J13" t="str">
        <f>_xlfn.XLOOKUP(Sheet1[[#This Row],[day_id]],calendar!A13,calendar!K13)</f>
        <v>No Event Type</v>
      </c>
      <c r="K13">
        <f>_xlfn.XLOOKUP(Sheet1[[#This Row],[day_id]],calendar!A13,calendar!I13)</f>
        <v>1</v>
      </c>
    </row>
    <row r="14" spans="1:11" x14ac:dyDescent="0.2">
      <c r="A14" t="s">
        <v>368</v>
      </c>
      <c r="B14" t="s">
        <v>369</v>
      </c>
      <c r="C14" t="s">
        <v>14</v>
      </c>
      <c r="D14">
        <v>0</v>
      </c>
      <c r="E14" s="1">
        <f>_xlfn.XLOOKUP(Sheet1[[#This Row],[day_id]],calendar!A14,calendar!B14)</f>
        <v>40584</v>
      </c>
      <c r="F14" t="str">
        <f>_xlfn.XLOOKUP(Sheet1[[#This Row],[day_id]],calendar!A14,calendar!C14)</f>
        <v>Thursday</v>
      </c>
      <c r="G14">
        <f>_xlfn.XLOOKUP(Sheet1[[#This Row],[day_id]],calendar!A14,calendar!E14)</f>
        <v>2</v>
      </c>
      <c r="H14">
        <f>_xlfn.XLOOKUP(Sheet1[[#This Row],[day_id]],calendar!A14,calendar!F14)</f>
        <v>2011</v>
      </c>
      <c r="I14" t="str">
        <f>_xlfn.XLOOKUP(Sheet1[[#This Row],[day_id]],calendar!A14,calendar!J14)</f>
        <v>No Event</v>
      </c>
      <c r="J14" t="str">
        <f>_xlfn.XLOOKUP(Sheet1[[#This Row],[day_id]],calendar!A14,calendar!K14)</f>
        <v>No Event Type</v>
      </c>
      <c r="K14">
        <f>_xlfn.XLOOKUP(Sheet1[[#This Row],[day_id]],calendar!A14,calendar!I14)</f>
        <v>1</v>
      </c>
    </row>
    <row r="15" spans="1:11" x14ac:dyDescent="0.2">
      <c r="A15" t="s">
        <v>368</v>
      </c>
      <c r="B15" t="s">
        <v>369</v>
      </c>
      <c r="C15" t="s">
        <v>15</v>
      </c>
      <c r="D15">
        <v>2</v>
      </c>
      <c r="E15" s="1">
        <f>_xlfn.XLOOKUP(Sheet1[[#This Row],[day_id]],calendar!A15,calendar!B15)</f>
        <v>40585</v>
      </c>
      <c r="F15" t="str">
        <f>_xlfn.XLOOKUP(Sheet1[[#This Row],[day_id]],calendar!A15,calendar!C15)</f>
        <v>Friday</v>
      </c>
      <c r="G15">
        <f>_xlfn.XLOOKUP(Sheet1[[#This Row],[day_id]],calendar!A15,calendar!E15)</f>
        <v>2</v>
      </c>
      <c r="H15">
        <f>_xlfn.XLOOKUP(Sheet1[[#This Row],[day_id]],calendar!A15,calendar!F15)</f>
        <v>2011</v>
      </c>
      <c r="I15" t="str">
        <f>_xlfn.XLOOKUP(Sheet1[[#This Row],[day_id]],calendar!A15,calendar!J15)</f>
        <v>No Event</v>
      </c>
      <c r="J15" t="str">
        <f>_xlfn.XLOOKUP(Sheet1[[#This Row],[day_id]],calendar!A15,calendar!K15)</f>
        <v>No Event Type</v>
      </c>
      <c r="K15">
        <f>_xlfn.XLOOKUP(Sheet1[[#This Row],[day_id]],calendar!A15,calendar!I15)</f>
        <v>0</v>
      </c>
    </row>
    <row r="16" spans="1:11" x14ac:dyDescent="0.2">
      <c r="A16" t="s">
        <v>368</v>
      </c>
      <c r="B16" t="s">
        <v>369</v>
      </c>
      <c r="C16" t="s">
        <v>16</v>
      </c>
      <c r="D16">
        <v>0</v>
      </c>
      <c r="E16" s="1">
        <f>_xlfn.XLOOKUP(Sheet1[[#This Row],[day_id]],calendar!A16,calendar!B16)</f>
        <v>40586</v>
      </c>
      <c r="F16" t="str">
        <f>_xlfn.XLOOKUP(Sheet1[[#This Row],[day_id]],calendar!A16,calendar!C16)</f>
        <v>Saturday</v>
      </c>
      <c r="G16">
        <f>_xlfn.XLOOKUP(Sheet1[[#This Row],[day_id]],calendar!A16,calendar!E16)</f>
        <v>2</v>
      </c>
      <c r="H16">
        <f>_xlfn.XLOOKUP(Sheet1[[#This Row],[day_id]],calendar!A16,calendar!F16)</f>
        <v>2011</v>
      </c>
      <c r="I16" t="str">
        <f>_xlfn.XLOOKUP(Sheet1[[#This Row],[day_id]],calendar!A16,calendar!J16)</f>
        <v>No Event</v>
      </c>
      <c r="J16" t="str">
        <f>_xlfn.XLOOKUP(Sheet1[[#This Row],[day_id]],calendar!A16,calendar!K16)</f>
        <v>No Event Type</v>
      </c>
      <c r="K16">
        <f>_xlfn.XLOOKUP(Sheet1[[#This Row],[day_id]],calendar!A16,calendar!I16)</f>
        <v>0</v>
      </c>
    </row>
    <row r="17" spans="1:11" x14ac:dyDescent="0.2">
      <c r="A17" t="s">
        <v>368</v>
      </c>
      <c r="B17" t="s">
        <v>369</v>
      </c>
      <c r="C17" t="s">
        <v>17</v>
      </c>
      <c r="D17">
        <v>0</v>
      </c>
      <c r="E17" s="1">
        <f>_xlfn.XLOOKUP(Sheet1[[#This Row],[day_id]],calendar!A17,calendar!B17)</f>
        <v>40587</v>
      </c>
      <c r="F17" t="str">
        <f>_xlfn.XLOOKUP(Sheet1[[#This Row],[day_id]],calendar!A17,calendar!C17)</f>
        <v>Sunday</v>
      </c>
      <c r="G17">
        <f>_xlfn.XLOOKUP(Sheet1[[#This Row],[day_id]],calendar!A17,calendar!E17)</f>
        <v>2</v>
      </c>
      <c r="H17">
        <f>_xlfn.XLOOKUP(Sheet1[[#This Row],[day_id]],calendar!A17,calendar!F17)</f>
        <v>2011</v>
      </c>
      <c r="I17" t="str">
        <f>_xlfn.XLOOKUP(Sheet1[[#This Row],[day_id]],calendar!A17,calendar!J17)</f>
        <v>No Event</v>
      </c>
      <c r="J17" t="str">
        <f>_xlfn.XLOOKUP(Sheet1[[#This Row],[day_id]],calendar!A17,calendar!K17)</f>
        <v>No Event Type</v>
      </c>
      <c r="K17">
        <f>_xlfn.XLOOKUP(Sheet1[[#This Row],[day_id]],calendar!A17,calendar!I17)</f>
        <v>0</v>
      </c>
    </row>
    <row r="18" spans="1:11" x14ac:dyDescent="0.2">
      <c r="A18" t="s">
        <v>368</v>
      </c>
      <c r="B18" t="s">
        <v>369</v>
      </c>
      <c r="C18" t="s">
        <v>18</v>
      </c>
      <c r="D18">
        <v>1</v>
      </c>
      <c r="E18" s="1">
        <f>_xlfn.XLOOKUP(Sheet1[[#This Row],[day_id]],calendar!A18,calendar!B18)</f>
        <v>40588</v>
      </c>
      <c r="F18" t="str">
        <f>_xlfn.XLOOKUP(Sheet1[[#This Row],[day_id]],calendar!A18,calendar!C18)</f>
        <v>Monday</v>
      </c>
      <c r="G18">
        <f>_xlfn.XLOOKUP(Sheet1[[#This Row],[day_id]],calendar!A18,calendar!E18)</f>
        <v>2</v>
      </c>
      <c r="H18">
        <f>_xlfn.XLOOKUP(Sheet1[[#This Row],[day_id]],calendar!A18,calendar!F18)</f>
        <v>2011</v>
      </c>
      <c r="I18" t="str">
        <f>_xlfn.XLOOKUP(Sheet1[[#This Row],[day_id]],calendar!A18,calendar!J18)</f>
        <v>ValentinesDay</v>
      </c>
      <c r="J18" t="str">
        <f>_xlfn.XLOOKUP(Sheet1[[#This Row],[day_id]],calendar!A18,calendar!K18)</f>
        <v>Cultural</v>
      </c>
      <c r="K18">
        <f>_xlfn.XLOOKUP(Sheet1[[#This Row],[day_id]],calendar!A18,calendar!I18)</f>
        <v>0</v>
      </c>
    </row>
    <row r="19" spans="1:11" x14ac:dyDescent="0.2">
      <c r="A19" t="s">
        <v>368</v>
      </c>
      <c r="B19" t="s">
        <v>369</v>
      </c>
      <c r="C19" t="s">
        <v>19</v>
      </c>
      <c r="D19">
        <v>3</v>
      </c>
      <c r="E19" s="1">
        <f>_xlfn.XLOOKUP(Sheet1[[#This Row],[day_id]],calendar!A19,calendar!B19)</f>
        <v>40589</v>
      </c>
      <c r="F19" t="str">
        <f>_xlfn.XLOOKUP(Sheet1[[#This Row],[day_id]],calendar!A19,calendar!C19)</f>
        <v>Tuesday</v>
      </c>
      <c r="G19">
        <f>_xlfn.XLOOKUP(Sheet1[[#This Row],[day_id]],calendar!A19,calendar!E19)</f>
        <v>2</v>
      </c>
      <c r="H19">
        <f>_xlfn.XLOOKUP(Sheet1[[#This Row],[day_id]],calendar!A19,calendar!F19)</f>
        <v>2011</v>
      </c>
      <c r="I19" t="str">
        <f>_xlfn.XLOOKUP(Sheet1[[#This Row],[day_id]],calendar!A19,calendar!J19)</f>
        <v>No Event</v>
      </c>
      <c r="J19" t="str">
        <f>_xlfn.XLOOKUP(Sheet1[[#This Row],[day_id]],calendar!A19,calendar!K19)</f>
        <v>No Event Type</v>
      </c>
      <c r="K19">
        <f>_xlfn.XLOOKUP(Sheet1[[#This Row],[day_id]],calendar!A19,calendar!I19)</f>
        <v>0</v>
      </c>
    </row>
    <row r="20" spans="1:11" x14ac:dyDescent="0.2">
      <c r="A20" t="s">
        <v>368</v>
      </c>
      <c r="B20" t="s">
        <v>369</v>
      </c>
      <c r="C20" t="s">
        <v>20</v>
      </c>
      <c r="D20">
        <v>2</v>
      </c>
      <c r="E20" s="1">
        <f>_xlfn.XLOOKUP(Sheet1[[#This Row],[day_id]],calendar!A20,calendar!B20)</f>
        <v>40590</v>
      </c>
      <c r="F20" t="str">
        <f>_xlfn.XLOOKUP(Sheet1[[#This Row],[day_id]],calendar!A20,calendar!C20)</f>
        <v>Wednesday</v>
      </c>
      <c r="G20">
        <f>_xlfn.XLOOKUP(Sheet1[[#This Row],[day_id]],calendar!A20,calendar!E20)</f>
        <v>2</v>
      </c>
      <c r="H20">
        <f>_xlfn.XLOOKUP(Sheet1[[#This Row],[day_id]],calendar!A20,calendar!F20)</f>
        <v>2011</v>
      </c>
      <c r="I20" t="str">
        <f>_xlfn.XLOOKUP(Sheet1[[#This Row],[day_id]],calendar!A20,calendar!J20)</f>
        <v>No Event</v>
      </c>
      <c r="J20" t="str">
        <f>_xlfn.XLOOKUP(Sheet1[[#This Row],[day_id]],calendar!A20,calendar!K20)</f>
        <v>No Event Type</v>
      </c>
      <c r="K20">
        <f>_xlfn.XLOOKUP(Sheet1[[#This Row],[day_id]],calendar!A20,calendar!I20)</f>
        <v>0</v>
      </c>
    </row>
    <row r="21" spans="1:11" x14ac:dyDescent="0.2">
      <c r="A21" t="s">
        <v>368</v>
      </c>
      <c r="B21" t="s">
        <v>369</v>
      </c>
      <c r="C21" t="s">
        <v>21</v>
      </c>
      <c r="D21">
        <v>0</v>
      </c>
      <c r="E21" s="1">
        <f>_xlfn.XLOOKUP(Sheet1[[#This Row],[day_id]],calendar!A21,calendar!B21)</f>
        <v>40591</v>
      </c>
      <c r="F21" t="str">
        <f>_xlfn.XLOOKUP(Sheet1[[#This Row],[day_id]],calendar!A21,calendar!C21)</f>
        <v>Thursday</v>
      </c>
      <c r="G21">
        <f>_xlfn.XLOOKUP(Sheet1[[#This Row],[day_id]],calendar!A21,calendar!E21)</f>
        <v>2</v>
      </c>
      <c r="H21">
        <f>_xlfn.XLOOKUP(Sheet1[[#This Row],[day_id]],calendar!A21,calendar!F21)</f>
        <v>2011</v>
      </c>
      <c r="I21" t="str">
        <f>_xlfn.XLOOKUP(Sheet1[[#This Row],[day_id]],calendar!A21,calendar!J21)</f>
        <v>No Event</v>
      </c>
      <c r="J21" t="str">
        <f>_xlfn.XLOOKUP(Sheet1[[#This Row],[day_id]],calendar!A21,calendar!K21)</f>
        <v>No Event Type</v>
      </c>
      <c r="K21">
        <f>_xlfn.XLOOKUP(Sheet1[[#This Row],[day_id]],calendar!A21,calendar!I21)</f>
        <v>0</v>
      </c>
    </row>
    <row r="22" spans="1:11" x14ac:dyDescent="0.2">
      <c r="A22" t="s">
        <v>368</v>
      </c>
      <c r="B22" t="s">
        <v>369</v>
      </c>
      <c r="C22" t="s">
        <v>22</v>
      </c>
      <c r="D22">
        <v>0</v>
      </c>
      <c r="E22" s="1">
        <f>_xlfn.XLOOKUP(Sheet1[[#This Row],[day_id]],calendar!A22,calendar!B22)</f>
        <v>40592</v>
      </c>
      <c r="F22" t="str">
        <f>_xlfn.XLOOKUP(Sheet1[[#This Row],[day_id]],calendar!A22,calendar!C22)</f>
        <v>Friday</v>
      </c>
      <c r="G22">
        <f>_xlfn.XLOOKUP(Sheet1[[#This Row],[day_id]],calendar!A22,calendar!E22)</f>
        <v>2</v>
      </c>
      <c r="H22">
        <f>_xlfn.XLOOKUP(Sheet1[[#This Row],[day_id]],calendar!A22,calendar!F22)</f>
        <v>2011</v>
      </c>
      <c r="I22" t="str">
        <f>_xlfn.XLOOKUP(Sheet1[[#This Row],[day_id]],calendar!A22,calendar!J22)</f>
        <v>No Event</v>
      </c>
      <c r="J22" t="str">
        <f>_xlfn.XLOOKUP(Sheet1[[#This Row],[day_id]],calendar!A22,calendar!K22)</f>
        <v>No Event Type</v>
      </c>
      <c r="K22">
        <f>_xlfn.XLOOKUP(Sheet1[[#This Row],[day_id]],calendar!A22,calendar!I22)</f>
        <v>0</v>
      </c>
    </row>
    <row r="23" spans="1:11" x14ac:dyDescent="0.2">
      <c r="A23" t="s">
        <v>368</v>
      </c>
      <c r="B23" t="s">
        <v>369</v>
      </c>
      <c r="C23" t="s">
        <v>23</v>
      </c>
      <c r="D23">
        <v>0</v>
      </c>
      <c r="E23" s="1">
        <f>_xlfn.XLOOKUP(Sheet1[[#This Row],[day_id]],calendar!A23,calendar!B23)</f>
        <v>40593</v>
      </c>
      <c r="F23" t="str">
        <f>_xlfn.XLOOKUP(Sheet1[[#This Row],[day_id]],calendar!A23,calendar!C23)</f>
        <v>Saturday</v>
      </c>
      <c r="G23">
        <f>_xlfn.XLOOKUP(Sheet1[[#This Row],[day_id]],calendar!A23,calendar!E23)</f>
        <v>2</v>
      </c>
      <c r="H23">
        <f>_xlfn.XLOOKUP(Sheet1[[#This Row],[day_id]],calendar!A23,calendar!F23)</f>
        <v>2011</v>
      </c>
      <c r="I23" t="str">
        <f>_xlfn.XLOOKUP(Sheet1[[#This Row],[day_id]],calendar!A23,calendar!J23)</f>
        <v>No Event</v>
      </c>
      <c r="J23" t="str">
        <f>_xlfn.XLOOKUP(Sheet1[[#This Row],[day_id]],calendar!A23,calendar!K23)</f>
        <v>No Event Type</v>
      </c>
      <c r="K23">
        <f>_xlfn.XLOOKUP(Sheet1[[#This Row],[day_id]],calendar!A23,calendar!I23)</f>
        <v>0</v>
      </c>
    </row>
    <row r="24" spans="1:11" x14ac:dyDescent="0.2">
      <c r="A24" t="s">
        <v>368</v>
      </c>
      <c r="B24" t="s">
        <v>369</v>
      </c>
      <c r="C24" t="s">
        <v>24</v>
      </c>
      <c r="D24">
        <v>0</v>
      </c>
      <c r="E24" s="1">
        <f>_xlfn.XLOOKUP(Sheet1[[#This Row],[day_id]],calendar!A24,calendar!B24)</f>
        <v>40594</v>
      </c>
      <c r="F24" t="str">
        <f>_xlfn.XLOOKUP(Sheet1[[#This Row],[day_id]],calendar!A24,calendar!C24)</f>
        <v>Sunday</v>
      </c>
      <c r="G24">
        <f>_xlfn.XLOOKUP(Sheet1[[#This Row],[day_id]],calendar!A24,calendar!E24)</f>
        <v>2</v>
      </c>
      <c r="H24">
        <f>_xlfn.XLOOKUP(Sheet1[[#This Row],[day_id]],calendar!A24,calendar!F24)</f>
        <v>2011</v>
      </c>
      <c r="I24" t="str">
        <f>_xlfn.XLOOKUP(Sheet1[[#This Row],[day_id]],calendar!A24,calendar!J24)</f>
        <v>No Event</v>
      </c>
      <c r="J24" t="str">
        <f>_xlfn.XLOOKUP(Sheet1[[#This Row],[day_id]],calendar!A24,calendar!K24)</f>
        <v>No Event Type</v>
      </c>
      <c r="K24">
        <f>_xlfn.XLOOKUP(Sheet1[[#This Row],[day_id]],calendar!A24,calendar!I24)</f>
        <v>0</v>
      </c>
    </row>
    <row r="25" spans="1:11" x14ac:dyDescent="0.2">
      <c r="A25" t="s">
        <v>368</v>
      </c>
      <c r="B25" t="s">
        <v>369</v>
      </c>
      <c r="C25" t="s">
        <v>25</v>
      </c>
      <c r="D25">
        <v>0</v>
      </c>
      <c r="E25" s="1">
        <f>_xlfn.XLOOKUP(Sheet1[[#This Row],[day_id]],calendar!A25,calendar!B25)</f>
        <v>40595</v>
      </c>
      <c r="F25" t="str">
        <f>_xlfn.XLOOKUP(Sheet1[[#This Row],[day_id]],calendar!A25,calendar!C25)</f>
        <v>Monday</v>
      </c>
      <c r="G25">
        <f>_xlfn.XLOOKUP(Sheet1[[#This Row],[day_id]],calendar!A25,calendar!E25)</f>
        <v>2</v>
      </c>
      <c r="H25">
        <f>_xlfn.XLOOKUP(Sheet1[[#This Row],[day_id]],calendar!A25,calendar!F25)</f>
        <v>2011</v>
      </c>
      <c r="I25" t="str">
        <f>_xlfn.XLOOKUP(Sheet1[[#This Row],[day_id]],calendar!A25,calendar!J25)</f>
        <v>PresidentsDay</v>
      </c>
      <c r="J25" t="str">
        <f>_xlfn.XLOOKUP(Sheet1[[#This Row],[day_id]],calendar!A25,calendar!K25)</f>
        <v>National</v>
      </c>
      <c r="K25">
        <f>_xlfn.XLOOKUP(Sheet1[[#This Row],[day_id]],calendar!A25,calendar!I25)</f>
        <v>0</v>
      </c>
    </row>
    <row r="26" spans="1:11" x14ac:dyDescent="0.2">
      <c r="A26" t="s">
        <v>368</v>
      </c>
      <c r="B26" t="s">
        <v>369</v>
      </c>
      <c r="C26" t="s">
        <v>26</v>
      </c>
      <c r="D26">
        <v>0</v>
      </c>
      <c r="E26" s="1">
        <f>_xlfn.XLOOKUP(Sheet1[[#This Row],[day_id]],calendar!A26,calendar!B26)</f>
        <v>40596</v>
      </c>
      <c r="F26" t="str">
        <f>_xlfn.XLOOKUP(Sheet1[[#This Row],[day_id]],calendar!A26,calendar!C26)</f>
        <v>Tuesday</v>
      </c>
      <c r="G26">
        <f>_xlfn.XLOOKUP(Sheet1[[#This Row],[day_id]],calendar!A26,calendar!E26)</f>
        <v>2</v>
      </c>
      <c r="H26">
        <f>_xlfn.XLOOKUP(Sheet1[[#This Row],[day_id]],calendar!A26,calendar!F26)</f>
        <v>2011</v>
      </c>
      <c r="I26" t="str">
        <f>_xlfn.XLOOKUP(Sheet1[[#This Row],[day_id]],calendar!A26,calendar!J26)</f>
        <v>No Event</v>
      </c>
      <c r="J26" t="str">
        <f>_xlfn.XLOOKUP(Sheet1[[#This Row],[day_id]],calendar!A26,calendar!K26)</f>
        <v>No Event Type</v>
      </c>
      <c r="K26">
        <f>_xlfn.XLOOKUP(Sheet1[[#This Row],[day_id]],calendar!A26,calendar!I26)</f>
        <v>0</v>
      </c>
    </row>
    <row r="27" spans="1:11" x14ac:dyDescent="0.2">
      <c r="A27" t="s">
        <v>368</v>
      </c>
      <c r="B27" t="s">
        <v>369</v>
      </c>
      <c r="C27" t="s">
        <v>27</v>
      </c>
      <c r="D27">
        <v>0</v>
      </c>
      <c r="E27" s="1">
        <f>_xlfn.XLOOKUP(Sheet1[[#This Row],[day_id]],calendar!A27,calendar!B27)</f>
        <v>40597</v>
      </c>
      <c r="F27" t="str">
        <f>_xlfn.XLOOKUP(Sheet1[[#This Row],[day_id]],calendar!A27,calendar!C27)</f>
        <v>Wednesday</v>
      </c>
      <c r="G27">
        <f>_xlfn.XLOOKUP(Sheet1[[#This Row],[day_id]],calendar!A27,calendar!E27)</f>
        <v>2</v>
      </c>
      <c r="H27">
        <f>_xlfn.XLOOKUP(Sheet1[[#This Row],[day_id]],calendar!A27,calendar!F27)</f>
        <v>2011</v>
      </c>
      <c r="I27" t="str">
        <f>_xlfn.XLOOKUP(Sheet1[[#This Row],[day_id]],calendar!A27,calendar!J27)</f>
        <v>No Event</v>
      </c>
      <c r="J27" t="str">
        <f>_xlfn.XLOOKUP(Sheet1[[#This Row],[day_id]],calendar!A27,calendar!K27)</f>
        <v>No Event Type</v>
      </c>
      <c r="K27">
        <f>_xlfn.XLOOKUP(Sheet1[[#This Row],[day_id]],calendar!A27,calendar!I27)</f>
        <v>0</v>
      </c>
    </row>
    <row r="28" spans="1:11" x14ac:dyDescent="0.2">
      <c r="A28" t="s">
        <v>368</v>
      </c>
      <c r="B28" t="s">
        <v>369</v>
      </c>
      <c r="C28" t="s">
        <v>28</v>
      </c>
      <c r="D28">
        <v>0</v>
      </c>
      <c r="E28" s="1">
        <f>_xlfn.XLOOKUP(Sheet1[[#This Row],[day_id]],calendar!A28,calendar!B28)</f>
        <v>40598</v>
      </c>
      <c r="F28" t="str">
        <f>_xlfn.XLOOKUP(Sheet1[[#This Row],[day_id]],calendar!A28,calendar!C28)</f>
        <v>Thursday</v>
      </c>
      <c r="G28">
        <f>_xlfn.XLOOKUP(Sheet1[[#This Row],[day_id]],calendar!A28,calendar!E28)</f>
        <v>2</v>
      </c>
      <c r="H28">
        <f>_xlfn.XLOOKUP(Sheet1[[#This Row],[day_id]],calendar!A28,calendar!F28)</f>
        <v>2011</v>
      </c>
      <c r="I28" t="str">
        <f>_xlfn.XLOOKUP(Sheet1[[#This Row],[day_id]],calendar!A28,calendar!J28)</f>
        <v>No Event</v>
      </c>
      <c r="J28" t="str">
        <f>_xlfn.XLOOKUP(Sheet1[[#This Row],[day_id]],calendar!A28,calendar!K28)</f>
        <v>No Event Type</v>
      </c>
      <c r="K28">
        <f>_xlfn.XLOOKUP(Sheet1[[#This Row],[day_id]],calendar!A28,calendar!I28)</f>
        <v>0</v>
      </c>
    </row>
    <row r="29" spans="1:11" x14ac:dyDescent="0.2">
      <c r="A29" t="s">
        <v>368</v>
      </c>
      <c r="B29" t="s">
        <v>369</v>
      </c>
      <c r="C29" t="s">
        <v>29</v>
      </c>
      <c r="D29">
        <v>0</v>
      </c>
      <c r="E29" s="1">
        <f>_xlfn.XLOOKUP(Sheet1[[#This Row],[day_id]],calendar!A29,calendar!B29)</f>
        <v>40599</v>
      </c>
      <c r="F29" t="str">
        <f>_xlfn.XLOOKUP(Sheet1[[#This Row],[day_id]],calendar!A29,calendar!C29)</f>
        <v>Friday</v>
      </c>
      <c r="G29">
        <f>_xlfn.XLOOKUP(Sheet1[[#This Row],[day_id]],calendar!A29,calendar!E29)</f>
        <v>2</v>
      </c>
      <c r="H29">
        <f>_xlfn.XLOOKUP(Sheet1[[#This Row],[day_id]],calendar!A29,calendar!F29)</f>
        <v>2011</v>
      </c>
      <c r="I29" t="str">
        <f>_xlfn.XLOOKUP(Sheet1[[#This Row],[day_id]],calendar!A29,calendar!J29)</f>
        <v>No Event</v>
      </c>
      <c r="J29" t="str">
        <f>_xlfn.XLOOKUP(Sheet1[[#This Row],[day_id]],calendar!A29,calendar!K29)</f>
        <v>No Event Type</v>
      </c>
      <c r="K29">
        <f>_xlfn.XLOOKUP(Sheet1[[#This Row],[day_id]],calendar!A29,calendar!I29)</f>
        <v>0</v>
      </c>
    </row>
    <row r="30" spans="1:11" x14ac:dyDescent="0.2">
      <c r="A30" t="s">
        <v>368</v>
      </c>
      <c r="B30" t="s">
        <v>369</v>
      </c>
      <c r="C30" t="s">
        <v>30</v>
      </c>
      <c r="D30">
        <v>0</v>
      </c>
      <c r="E30" s="1">
        <f>_xlfn.XLOOKUP(Sheet1[[#This Row],[day_id]],calendar!A30,calendar!B30)</f>
        <v>40600</v>
      </c>
      <c r="F30" t="str">
        <f>_xlfn.XLOOKUP(Sheet1[[#This Row],[day_id]],calendar!A30,calendar!C30)</f>
        <v>Saturday</v>
      </c>
      <c r="G30">
        <f>_xlfn.XLOOKUP(Sheet1[[#This Row],[day_id]],calendar!A30,calendar!E30)</f>
        <v>2</v>
      </c>
      <c r="H30">
        <f>_xlfn.XLOOKUP(Sheet1[[#This Row],[day_id]],calendar!A30,calendar!F30)</f>
        <v>2011</v>
      </c>
      <c r="I30" t="str">
        <f>_xlfn.XLOOKUP(Sheet1[[#This Row],[day_id]],calendar!A30,calendar!J30)</f>
        <v>No Event</v>
      </c>
      <c r="J30" t="str">
        <f>_xlfn.XLOOKUP(Sheet1[[#This Row],[day_id]],calendar!A30,calendar!K30)</f>
        <v>No Event Type</v>
      </c>
      <c r="K30">
        <f>_xlfn.XLOOKUP(Sheet1[[#This Row],[day_id]],calendar!A30,calendar!I30)</f>
        <v>0</v>
      </c>
    </row>
    <row r="31" spans="1:11" x14ac:dyDescent="0.2">
      <c r="A31" t="s">
        <v>368</v>
      </c>
      <c r="B31" t="s">
        <v>369</v>
      </c>
      <c r="C31" t="s">
        <v>31</v>
      </c>
      <c r="D31">
        <v>0</v>
      </c>
      <c r="E31" s="1">
        <f>_xlfn.XLOOKUP(Sheet1[[#This Row],[day_id]],calendar!A31,calendar!B31)</f>
        <v>40601</v>
      </c>
      <c r="F31" t="str">
        <f>_xlfn.XLOOKUP(Sheet1[[#This Row],[day_id]],calendar!A31,calendar!C31)</f>
        <v>Sunday</v>
      </c>
      <c r="G31">
        <f>_xlfn.XLOOKUP(Sheet1[[#This Row],[day_id]],calendar!A31,calendar!E31)</f>
        <v>2</v>
      </c>
      <c r="H31">
        <f>_xlfn.XLOOKUP(Sheet1[[#This Row],[day_id]],calendar!A31,calendar!F31)</f>
        <v>2011</v>
      </c>
      <c r="I31" t="str">
        <f>_xlfn.XLOOKUP(Sheet1[[#This Row],[day_id]],calendar!A31,calendar!J31)</f>
        <v>No Event</v>
      </c>
      <c r="J31" t="str">
        <f>_xlfn.XLOOKUP(Sheet1[[#This Row],[day_id]],calendar!A31,calendar!K31)</f>
        <v>No Event Type</v>
      </c>
      <c r="K31">
        <f>_xlfn.XLOOKUP(Sheet1[[#This Row],[day_id]],calendar!A31,calendar!I31)</f>
        <v>0</v>
      </c>
    </row>
    <row r="32" spans="1:11" x14ac:dyDescent="0.2">
      <c r="A32" t="s">
        <v>368</v>
      </c>
      <c r="B32" t="s">
        <v>369</v>
      </c>
      <c r="C32" t="s">
        <v>32</v>
      </c>
      <c r="D32">
        <v>0</v>
      </c>
      <c r="E32" s="1">
        <f>_xlfn.XLOOKUP(Sheet1[[#This Row],[day_id]],calendar!A32,calendar!B32)</f>
        <v>40602</v>
      </c>
      <c r="F32" t="str">
        <f>_xlfn.XLOOKUP(Sheet1[[#This Row],[day_id]],calendar!A32,calendar!C32)</f>
        <v>Monday</v>
      </c>
      <c r="G32">
        <f>_xlfn.XLOOKUP(Sheet1[[#This Row],[day_id]],calendar!A32,calendar!E32)</f>
        <v>2</v>
      </c>
      <c r="H32">
        <f>_xlfn.XLOOKUP(Sheet1[[#This Row],[day_id]],calendar!A32,calendar!F32)</f>
        <v>2011</v>
      </c>
      <c r="I32" t="str">
        <f>_xlfn.XLOOKUP(Sheet1[[#This Row],[day_id]],calendar!A32,calendar!J32)</f>
        <v>No Event</v>
      </c>
      <c r="J32" t="str">
        <f>_xlfn.XLOOKUP(Sheet1[[#This Row],[day_id]],calendar!A32,calendar!K32)</f>
        <v>No Event Type</v>
      </c>
      <c r="K32">
        <f>_xlfn.XLOOKUP(Sheet1[[#This Row],[day_id]],calendar!A32,calendar!I32)</f>
        <v>0</v>
      </c>
    </row>
    <row r="33" spans="1:11" x14ac:dyDescent="0.2">
      <c r="A33" t="s">
        <v>368</v>
      </c>
      <c r="B33" t="s">
        <v>369</v>
      </c>
      <c r="C33" t="s">
        <v>33</v>
      </c>
      <c r="D33">
        <v>26</v>
      </c>
      <c r="E33" s="1">
        <f>_xlfn.XLOOKUP(Sheet1[[#This Row],[day_id]],calendar!A33,calendar!B33)</f>
        <v>40603</v>
      </c>
      <c r="F33" t="str">
        <f>_xlfn.XLOOKUP(Sheet1[[#This Row],[day_id]],calendar!A33,calendar!C33)</f>
        <v>Tuesday</v>
      </c>
      <c r="G33">
        <f>_xlfn.XLOOKUP(Sheet1[[#This Row],[day_id]],calendar!A33,calendar!E33)</f>
        <v>3</v>
      </c>
      <c r="H33">
        <f>_xlfn.XLOOKUP(Sheet1[[#This Row],[day_id]],calendar!A33,calendar!F33)</f>
        <v>2011</v>
      </c>
      <c r="I33" t="str">
        <f>_xlfn.XLOOKUP(Sheet1[[#This Row],[day_id]],calendar!A33,calendar!J33)</f>
        <v>No Event</v>
      </c>
      <c r="J33" t="str">
        <f>_xlfn.XLOOKUP(Sheet1[[#This Row],[day_id]],calendar!A33,calendar!K33)</f>
        <v>No Event Type</v>
      </c>
      <c r="K33">
        <f>_xlfn.XLOOKUP(Sheet1[[#This Row],[day_id]],calendar!A33,calendar!I33)</f>
        <v>1</v>
      </c>
    </row>
    <row r="34" spans="1:11" x14ac:dyDescent="0.2">
      <c r="A34" t="s">
        <v>368</v>
      </c>
      <c r="B34" t="s">
        <v>369</v>
      </c>
      <c r="C34" t="s">
        <v>34</v>
      </c>
      <c r="D34">
        <v>14</v>
      </c>
      <c r="E34" s="1">
        <f>_xlfn.XLOOKUP(Sheet1[[#This Row],[day_id]],calendar!A34,calendar!B34)</f>
        <v>40604</v>
      </c>
      <c r="F34" t="str">
        <f>_xlfn.XLOOKUP(Sheet1[[#This Row],[day_id]],calendar!A34,calendar!C34)</f>
        <v>Wednesday</v>
      </c>
      <c r="G34">
        <f>_xlfn.XLOOKUP(Sheet1[[#This Row],[day_id]],calendar!A34,calendar!E34)</f>
        <v>3</v>
      </c>
      <c r="H34">
        <f>_xlfn.XLOOKUP(Sheet1[[#This Row],[day_id]],calendar!A34,calendar!F34)</f>
        <v>2011</v>
      </c>
      <c r="I34" t="str">
        <f>_xlfn.XLOOKUP(Sheet1[[#This Row],[day_id]],calendar!A34,calendar!J34)</f>
        <v>No Event</v>
      </c>
      <c r="J34" t="str">
        <f>_xlfn.XLOOKUP(Sheet1[[#This Row],[day_id]],calendar!A34,calendar!K34)</f>
        <v>No Event Type</v>
      </c>
      <c r="K34">
        <f>_xlfn.XLOOKUP(Sheet1[[#This Row],[day_id]],calendar!A34,calendar!I34)</f>
        <v>1</v>
      </c>
    </row>
    <row r="35" spans="1:11" x14ac:dyDescent="0.2">
      <c r="A35" t="s">
        <v>368</v>
      </c>
      <c r="B35" t="s">
        <v>369</v>
      </c>
      <c r="C35" t="s">
        <v>35</v>
      </c>
      <c r="D35">
        <v>24</v>
      </c>
      <c r="E35" s="1">
        <f>_xlfn.XLOOKUP(Sheet1[[#This Row],[day_id]],calendar!A35,calendar!B35)</f>
        <v>40605</v>
      </c>
      <c r="F35" t="str">
        <f>_xlfn.XLOOKUP(Sheet1[[#This Row],[day_id]],calendar!A35,calendar!C35)</f>
        <v>Thursday</v>
      </c>
      <c r="G35">
        <f>_xlfn.XLOOKUP(Sheet1[[#This Row],[day_id]],calendar!A35,calendar!E35)</f>
        <v>3</v>
      </c>
      <c r="H35">
        <f>_xlfn.XLOOKUP(Sheet1[[#This Row],[day_id]],calendar!A35,calendar!F35)</f>
        <v>2011</v>
      </c>
      <c r="I35" t="str">
        <f>_xlfn.XLOOKUP(Sheet1[[#This Row],[day_id]],calendar!A35,calendar!J35)</f>
        <v>No Event</v>
      </c>
      <c r="J35" t="str">
        <f>_xlfn.XLOOKUP(Sheet1[[#This Row],[day_id]],calendar!A35,calendar!K35)</f>
        <v>No Event Type</v>
      </c>
      <c r="K35">
        <f>_xlfn.XLOOKUP(Sheet1[[#This Row],[day_id]],calendar!A35,calendar!I35)</f>
        <v>1</v>
      </c>
    </row>
    <row r="36" spans="1:11" x14ac:dyDescent="0.2">
      <c r="A36" t="s">
        <v>368</v>
      </c>
      <c r="B36" t="s">
        <v>369</v>
      </c>
      <c r="C36" t="s">
        <v>36</v>
      </c>
      <c r="D36">
        <v>16</v>
      </c>
      <c r="E36" s="1">
        <f>_xlfn.XLOOKUP(Sheet1[[#This Row],[day_id]],calendar!A36,calendar!B36)</f>
        <v>40606</v>
      </c>
      <c r="F36" t="str">
        <f>_xlfn.XLOOKUP(Sheet1[[#This Row],[day_id]],calendar!A36,calendar!C36)</f>
        <v>Friday</v>
      </c>
      <c r="G36">
        <f>_xlfn.XLOOKUP(Sheet1[[#This Row],[day_id]],calendar!A36,calendar!E36)</f>
        <v>3</v>
      </c>
      <c r="H36">
        <f>_xlfn.XLOOKUP(Sheet1[[#This Row],[day_id]],calendar!A36,calendar!F36)</f>
        <v>2011</v>
      </c>
      <c r="I36" t="str">
        <f>_xlfn.XLOOKUP(Sheet1[[#This Row],[day_id]],calendar!A36,calendar!J36)</f>
        <v>No Event</v>
      </c>
      <c r="J36" t="str">
        <f>_xlfn.XLOOKUP(Sheet1[[#This Row],[day_id]],calendar!A36,calendar!K36)</f>
        <v>No Event Type</v>
      </c>
      <c r="K36">
        <f>_xlfn.XLOOKUP(Sheet1[[#This Row],[day_id]],calendar!A36,calendar!I36)</f>
        <v>1</v>
      </c>
    </row>
    <row r="37" spans="1:11" x14ac:dyDescent="0.2">
      <c r="A37" t="s">
        <v>368</v>
      </c>
      <c r="B37" t="s">
        <v>369</v>
      </c>
      <c r="C37" t="s">
        <v>37</v>
      </c>
      <c r="D37">
        <v>18</v>
      </c>
      <c r="E37" s="1">
        <f>_xlfn.XLOOKUP(Sheet1[[#This Row],[day_id]],calendar!A37,calendar!B37)</f>
        <v>40607</v>
      </c>
      <c r="F37" t="str">
        <f>_xlfn.XLOOKUP(Sheet1[[#This Row],[day_id]],calendar!A37,calendar!C37)</f>
        <v>Saturday</v>
      </c>
      <c r="G37">
        <f>_xlfn.XLOOKUP(Sheet1[[#This Row],[day_id]],calendar!A37,calendar!E37)</f>
        <v>3</v>
      </c>
      <c r="H37">
        <f>_xlfn.XLOOKUP(Sheet1[[#This Row],[day_id]],calendar!A37,calendar!F37)</f>
        <v>2011</v>
      </c>
      <c r="I37" t="str">
        <f>_xlfn.XLOOKUP(Sheet1[[#This Row],[day_id]],calendar!A37,calendar!J37)</f>
        <v>No Event</v>
      </c>
      <c r="J37" t="str">
        <f>_xlfn.XLOOKUP(Sheet1[[#This Row],[day_id]],calendar!A37,calendar!K37)</f>
        <v>No Event Type</v>
      </c>
      <c r="K37">
        <f>_xlfn.XLOOKUP(Sheet1[[#This Row],[day_id]],calendar!A37,calendar!I37)</f>
        <v>1</v>
      </c>
    </row>
    <row r="38" spans="1:11" x14ac:dyDescent="0.2">
      <c r="A38" t="s">
        <v>368</v>
      </c>
      <c r="B38" t="s">
        <v>369</v>
      </c>
      <c r="C38" t="s">
        <v>38</v>
      </c>
      <c r="D38">
        <v>15</v>
      </c>
      <c r="E38" s="1">
        <f>_xlfn.XLOOKUP(Sheet1[[#This Row],[day_id]],calendar!A38,calendar!B38)</f>
        <v>40608</v>
      </c>
      <c r="F38" t="str">
        <f>_xlfn.XLOOKUP(Sheet1[[#This Row],[day_id]],calendar!A38,calendar!C38)</f>
        <v>Sunday</v>
      </c>
      <c r="G38">
        <f>_xlfn.XLOOKUP(Sheet1[[#This Row],[day_id]],calendar!A38,calendar!E38)</f>
        <v>3</v>
      </c>
      <c r="H38">
        <f>_xlfn.XLOOKUP(Sheet1[[#This Row],[day_id]],calendar!A38,calendar!F38)</f>
        <v>2011</v>
      </c>
      <c r="I38" t="str">
        <f>_xlfn.XLOOKUP(Sheet1[[#This Row],[day_id]],calendar!A38,calendar!J38)</f>
        <v>No Event</v>
      </c>
      <c r="J38" t="str">
        <f>_xlfn.XLOOKUP(Sheet1[[#This Row],[day_id]],calendar!A38,calendar!K38)</f>
        <v>No Event Type</v>
      </c>
      <c r="K38">
        <f>_xlfn.XLOOKUP(Sheet1[[#This Row],[day_id]],calendar!A38,calendar!I38)</f>
        <v>1</v>
      </c>
    </row>
    <row r="39" spans="1:11" x14ac:dyDescent="0.2">
      <c r="A39" t="s">
        <v>368</v>
      </c>
      <c r="B39" t="s">
        <v>369</v>
      </c>
      <c r="C39" t="s">
        <v>39</v>
      </c>
      <c r="D39">
        <v>6</v>
      </c>
      <c r="E39" s="1">
        <f>_xlfn.XLOOKUP(Sheet1[[#This Row],[day_id]],calendar!A39,calendar!B39)</f>
        <v>40609</v>
      </c>
      <c r="F39" t="str">
        <f>_xlfn.XLOOKUP(Sheet1[[#This Row],[day_id]],calendar!A39,calendar!C39)</f>
        <v>Monday</v>
      </c>
      <c r="G39">
        <f>_xlfn.XLOOKUP(Sheet1[[#This Row],[day_id]],calendar!A39,calendar!E39)</f>
        <v>3</v>
      </c>
      <c r="H39">
        <f>_xlfn.XLOOKUP(Sheet1[[#This Row],[day_id]],calendar!A39,calendar!F39)</f>
        <v>2011</v>
      </c>
      <c r="I39" t="str">
        <f>_xlfn.XLOOKUP(Sheet1[[#This Row],[day_id]],calendar!A39,calendar!J39)</f>
        <v>No Event</v>
      </c>
      <c r="J39" t="str">
        <f>_xlfn.XLOOKUP(Sheet1[[#This Row],[day_id]],calendar!A39,calendar!K39)</f>
        <v>No Event Type</v>
      </c>
      <c r="K39">
        <f>_xlfn.XLOOKUP(Sheet1[[#This Row],[day_id]],calendar!A39,calendar!I39)</f>
        <v>1</v>
      </c>
    </row>
    <row r="40" spans="1:11" x14ac:dyDescent="0.2">
      <c r="A40" t="s">
        <v>368</v>
      </c>
      <c r="B40" t="s">
        <v>369</v>
      </c>
      <c r="C40" t="s">
        <v>40</v>
      </c>
      <c r="D40">
        <v>2</v>
      </c>
      <c r="E40" s="1">
        <f>_xlfn.XLOOKUP(Sheet1[[#This Row],[day_id]],calendar!A40,calendar!B40)</f>
        <v>40610</v>
      </c>
      <c r="F40" t="str">
        <f>_xlfn.XLOOKUP(Sheet1[[#This Row],[day_id]],calendar!A40,calendar!C40)</f>
        <v>Tuesday</v>
      </c>
      <c r="G40">
        <f>_xlfn.XLOOKUP(Sheet1[[#This Row],[day_id]],calendar!A40,calendar!E40)</f>
        <v>3</v>
      </c>
      <c r="H40">
        <f>_xlfn.XLOOKUP(Sheet1[[#This Row],[day_id]],calendar!A40,calendar!F40)</f>
        <v>2011</v>
      </c>
      <c r="I40" t="str">
        <f>_xlfn.XLOOKUP(Sheet1[[#This Row],[day_id]],calendar!A40,calendar!J40)</f>
        <v>No Event</v>
      </c>
      <c r="J40" t="str">
        <f>_xlfn.XLOOKUP(Sheet1[[#This Row],[day_id]],calendar!A40,calendar!K40)</f>
        <v>No Event Type</v>
      </c>
      <c r="K40">
        <f>_xlfn.XLOOKUP(Sheet1[[#This Row],[day_id]],calendar!A40,calendar!I40)</f>
        <v>1</v>
      </c>
    </row>
    <row r="41" spans="1:11" x14ac:dyDescent="0.2">
      <c r="A41" t="s">
        <v>368</v>
      </c>
      <c r="B41" t="s">
        <v>369</v>
      </c>
      <c r="C41" t="s">
        <v>41</v>
      </c>
      <c r="D41">
        <v>3</v>
      </c>
      <c r="E41" s="1">
        <f>_xlfn.XLOOKUP(Sheet1[[#This Row],[day_id]],calendar!A41,calendar!B41)</f>
        <v>40611</v>
      </c>
      <c r="F41" t="str">
        <f>_xlfn.XLOOKUP(Sheet1[[#This Row],[day_id]],calendar!A41,calendar!C41)</f>
        <v>Wednesday</v>
      </c>
      <c r="G41">
        <f>_xlfn.XLOOKUP(Sheet1[[#This Row],[day_id]],calendar!A41,calendar!E41)</f>
        <v>3</v>
      </c>
      <c r="H41">
        <f>_xlfn.XLOOKUP(Sheet1[[#This Row],[day_id]],calendar!A41,calendar!F41)</f>
        <v>2011</v>
      </c>
      <c r="I41" t="str">
        <f>_xlfn.XLOOKUP(Sheet1[[#This Row],[day_id]],calendar!A41,calendar!J41)</f>
        <v>LentStart</v>
      </c>
      <c r="J41" t="str">
        <f>_xlfn.XLOOKUP(Sheet1[[#This Row],[day_id]],calendar!A41,calendar!K41)</f>
        <v>Religious</v>
      </c>
      <c r="K41">
        <f>_xlfn.XLOOKUP(Sheet1[[#This Row],[day_id]],calendar!A41,calendar!I41)</f>
        <v>1</v>
      </c>
    </row>
    <row r="42" spans="1:11" x14ac:dyDescent="0.2">
      <c r="A42" t="s">
        <v>368</v>
      </c>
      <c r="B42" t="s">
        <v>369</v>
      </c>
      <c r="C42" t="s">
        <v>42</v>
      </c>
      <c r="D42">
        <v>2</v>
      </c>
      <c r="E42" s="1">
        <f>_xlfn.XLOOKUP(Sheet1[[#This Row],[day_id]],calendar!A42,calendar!B42)</f>
        <v>40612</v>
      </c>
      <c r="F42" t="str">
        <f>_xlfn.XLOOKUP(Sheet1[[#This Row],[day_id]],calendar!A42,calendar!C42)</f>
        <v>Thursday</v>
      </c>
      <c r="G42">
        <f>_xlfn.XLOOKUP(Sheet1[[#This Row],[day_id]],calendar!A42,calendar!E42)</f>
        <v>3</v>
      </c>
      <c r="H42">
        <f>_xlfn.XLOOKUP(Sheet1[[#This Row],[day_id]],calendar!A42,calendar!F42)</f>
        <v>2011</v>
      </c>
      <c r="I42" t="str">
        <f>_xlfn.XLOOKUP(Sheet1[[#This Row],[day_id]],calendar!A42,calendar!J42)</f>
        <v>No Event</v>
      </c>
      <c r="J42" t="str">
        <f>_xlfn.XLOOKUP(Sheet1[[#This Row],[day_id]],calendar!A42,calendar!K42)</f>
        <v>No Event Type</v>
      </c>
      <c r="K42">
        <f>_xlfn.XLOOKUP(Sheet1[[#This Row],[day_id]],calendar!A42,calendar!I42)</f>
        <v>1</v>
      </c>
    </row>
    <row r="43" spans="1:11" x14ac:dyDescent="0.2">
      <c r="A43" t="s">
        <v>368</v>
      </c>
      <c r="B43" t="s">
        <v>369</v>
      </c>
      <c r="C43" t="s">
        <v>43</v>
      </c>
      <c r="D43">
        <v>2</v>
      </c>
      <c r="E43" s="1">
        <f>_xlfn.XLOOKUP(Sheet1[[#This Row],[day_id]],calendar!A43,calendar!B43)</f>
        <v>40613</v>
      </c>
      <c r="F43" t="str">
        <f>_xlfn.XLOOKUP(Sheet1[[#This Row],[day_id]],calendar!A43,calendar!C43)</f>
        <v>Friday</v>
      </c>
      <c r="G43">
        <f>_xlfn.XLOOKUP(Sheet1[[#This Row],[day_id]],calendar!A43,calendar!E43)</f>
        <v>3</v>
      </c>
      <c r="H43">
        <f>_xlfn.XLOOKUP(Sheet1[[#This Row],[day_id]],calendar!A43,calendar!F43)</f>
        <v>2011</v>
      </c>
      <c r="I43" t="str">
        <f>_xlfn.XLOOKUP(Sheet1[[#This Row],[day_id]],calendar!A43,calendar!J43)</f>
        <v>No Event</v>
      </c>
      <c r="J43" t="str">
        <f>_xlfn.XLOOKUP(Sheet1[[#This Row],[day_id]],calendar!A43,calendar!K43)</f>
        <v>No Event Type</v>
      </c>
      <c r="K43">
        <f>_xlfn.XLOOKUP(Sheet1[[#This Row],[day_id]],calendar!A43,calendar!I43)</f>
        <v>0</v>
      </c>
    </row>
    <row r="44" spans="1:11" x14ac:dyDescent="0.2">
      <c r="A44" t="s">
        <v>368</v>
      </c>
      <c r="B44" t="s">
        <v>369</v>
      </c>
      <c r="C44" t="s">
        <v>44</v>
      </c>
      <c r="D44">
        <v>6</v>
      </c>
      <c r="E44" s="1">
        <f>_xlfn.XLOOKUP(Sheet1[[#This Row],[day_id]],calendar!A44,calendar!B44)</f>
        <v>40614</v>
      </c>
      <c r="F44" t="str">
        <f>_xlfn.XLOOKUP(Sheet1[[#This Row],[day_id]],calendar!A44,calendar!C44)</f>
        <v>Saturday</v>
      </c>
      <c r="G44">
        <f>_xlfn.XLOOKUP(Sheet1[[#This Row],[day_id]],calendar!A44,calendar!E44)</f>
        <v>3</v>
      </c>
      <c r="H44">
        <f>_xlfn.XLOOKUP(Sheet1[[#This Row],[day_id]],calendar!A44,calendar!F44)</f>
        <v>2011</v>
      </c>
      <c r="I44" t="str">
        <f>_xlfn.XLOOKUP(Sheet1[[#This Row],[day_id]],calendar!A44,calendar!J44)</f>
        <v>No Event</v>
      </c>
      <c r="J44" t="str">
        <f>_xlfn.XLOOKUP(Sheet1[[#This Row],[day_id]],calendar!A44,calendar!K44)</f>
        <v>No Event Type</v>
      </c>
      <c r="K44">
        <f>_xlfn.XLOOKUP(Sheet1[[#This Row],[day_id]],calendar!A44,calendar!I44)</f>
        <v>0</v>
      </c>
    </row>
    <row r="45" spans="1:11" x14ac:dyDescent="0.2">
      <c r="A45" t="s">
        <v>368</v>
      </c>
      <c r="B45" t="s">
        <v>369</v>
      </c>
      <c r="C45" t="s">
        <v>45</v>
      </c>
      <c r="D45">
        <v>4</v>
      </c>
      <c r="E45" s="1">
        <f>_xlfn.XLOOKUP(Sheet1[[#This Row],[day_id]],calendar!A45,calendar!B45)</f>
        <v>40615</v>
      </c>
      <c r="F45" t="str">
        <f>_xlfn.XLOOKUP(Sheet1[[#This Row],[day_id]],calendar!A45,calendar!C45)</f>
        <v>Sunday</v>
      </c>
      <c r="G45">
        <f>_xlfn.XLOOKUP(Sheet1[[#This Row],[day_id]],calendar!A45,calendar!E45)</f>
        <v>3</v>
      </c>
      <c r="H45">
        <f>_xlfn.XLOOKUP(Sheet1[[#This Row],[day_id]],calendar!A45,calendar!F45)</f>
        <v>2011</v>
      </c>
      <c r="I45" t="str">
        <f>_xlfn.XLOOKUP(Sheet1[[#This Row],[day_id]],calendar!A45,calendar!J45)</f>
        <v>No Event</v>
      </c>
      <c r="J45" t="str">
        <f>_xlfn.XLOOKUP(Sheet1[[#This Row],[day_id]],calendar!A45,calendar!K45)</f>
        <v>No Event Type</v>
      </c>
      <c r="K45">
        <f>_xlfn.XLOOKUP(Sheet1[[#This Row],[day_id]],calendar!A45,calendar!I45)</f>
        <v>0</v>
      </c>
    </row>
    <row r="46" spans="1:11" x14ac:dyDescent="0.2">
      <c r="A46" t="s">
        <v>368</v>
      </c>
      <c r="B46" t="s">
        <v>369</v>
      </c>
      <c r="C46" t="s">
        <v>46</v>
      </c>
      <c r="D46">
        <v>2</v>
      </c>
      <c r="E46" s="1">
        <f>_xlfn.XLOOKUP(Sheet1[[#This Row],[day_id]],calendar!A46,calendar!B46)</f>
        <v>40616</v>
      </c>
      <c r="F46" t="str">
        <f>_xlfn.XLOOKUP(Sheet1[[#This Row],[day_id]],calendar!A46,calendar!C46)</f>
        <v>Monday</v>
      </c>
      <c r="G46">
        <f>_xlfn.XLOOKUP(Sheet1[[#This Row],[day_id]],calendar!A46,calendar!E46)</f>
        <v>3</v>
      </c>
      <c r="H46">
        <f>_xlfn.XLOOKUP(Sheet1[[#This Row],[day_id]],calendar!A46,calendar!F46)</f>
        <v>2011</v>
      </c>
      <c r="I46" t="str">
        <f>_xlfn.XLOOKUP(Sheet1[[#This Row],[day_id]],calendar!A46,calendar!J46)</f>
        <v>No Event</v>
      </c>
      <c r="J46" t="str">
        <f>_xlfn.XLOOKUP(Sheet1[[#This Row],[day_id]],calendar!A46,calendar!K46)</f>
        <v>No Event Type</v>
      </c>
      <c r="K46">
        <f>_xlfn.XLOOKUP(Sheet1[[#This Row],[day_id]],calendar!A46,calendar!I46)</f>
        <v>0</v>
      </c>
    </row>
    <row r="47" spans="1:11" x14ac:dyDescent="0.2">
      <c r="A47" t="s">
        <v>368</v>
      </c>
      <c r="B47" t="s">
        <v>369</v>
      </c>
      <c r="C47" t="s">
        <v>47</v>
      </c>
      <c r="D47">
        <v>3</v>
      </c>
      <c r="E47" s="1">
        <f>_xlfn.XLOOKUP(Sheet1[[#This Row],[day_id]],calendar!A47,calendar!B47)</f>
        <v>40617</v>
      </c>
      <c r="F47" t="str">
        <f>_xlfn.XLOOKUP(Sheet1[[#This Row],[day_id]],calendar!A47,calendar!C47)</f>
        <v>Tuesday</v>
      </c>
      <c r="G47">
        <f>_xlfn.XLOOKUP(Sheet1[[#This Row],[day_id]],calendar!A47,calendar!E47)</f>
        <v>3</v>
      </c>
      <c r="H47">
        <f>_xlfn.XLOOKUP(Sheet1[[#This Row],[day_id]],calendar!A47,calendar!F47)</f>
        <v>2011</v>
      </c>
      <c r="I47" t="str">
        <f>_xlfn.XLOOKUP(Sheet1[[#This Row],[day_id]],calendar!A47,calendar!J47)</f>
        <v>No Event</v>
      </c>
      <c r="J47" t="str">
        <f>_xlfn.XLOOKUP(Sheet1[[#This Row],[day_id]],calendar!A47,calendar!K47)</f>
        <v>No Event Type</v>
      </c>
      <c r="K47">
        <f>_xlfn.XLOOKUP(Sheet1[[#This Row],[day_id]],calendar!A47,calendar!I47)</f>
        <v>0</v>
      </c>
    </row>
    <row r="48" spans="1:11" x14ac:dyDescent="0.2">
      <c r="A48" t="s">
        <v>368</v>
      </c>
      <c r="B48" t="s">
        <v>369</v>
      </c>
      <c r="C48" t="s">
        <v>48</v>
      </c>
      <c r="D48">
        <v>0</v>
      </c>
      <c r="E48" s="1">
        <f>_xlfn.XLOOKUP(Sheet1[[#This Row],[day_id]],calendar!A48,calendar!B48)</f>
        <v>40618</v>
      </c>
      <c r="F48" t="str">
        <f>_xlfn.XLOOKUP(Sheet1[[#This Row],[day_id]],calendar!A48,calendar!C48)</f>
        <v>Wednesday</v>
      </c>
      <c r="G48">
        <f>_xlfn.XLOOKUP(Sheet1[[#This Row],[day_id]],calendar!A48,calendar!E48)</f>
        <v>3</v>
      </c>
      <c r="H48">
        <f>_xlfn.XLOOKUP(Sheet1[[#This Row],[day_id]],calendar!A48,calendar!F48)</f>
        <v>2011</v>
      </c>
      <c r="I48" t="str">
        <f>_xlfn.XLOOKUP(Sheet1[[#This Row],[day_id]],calendar!A48,calendar!J48)</f>
        <v>LentWeek2</v>
      </c>
      <c r="J48" t="str">
        <f>_xlfn.XLOOKUP(Sheet1[[#This Row],[day_id]],calendar!A48,calendar!K48)</f>
        <v>Religious</v>
      </c>
      <c r="K48">
        <f>_xlfn.XLOOKUP(Sheet1[[#This Row],[day_id]],calendar!A48,calendar!I48)</f>
        <v>0</v>
      </c>
    </row>
    <row r="49" spans="1:11" x14ac:dyDescent="0.2">
      <c r="A49" t="s">
        <v>368</v>
      </c>
      <c r="B49" t="s">
        <v>369</v>
      </c>
      <c r="C49" t="s">
        <v>49</v>
      </c>
      <c r="D49">
        <v>0</v>
      </c>
      <c r="E49" s="1">
        <f>_xlfn.XLOOKUP(Sheet1[[#This Row],[day_id]],calendar!A49,calendar!B49)</f>
        <v>40619</v>
      </c>
      <c r="F49" t="str">
        <f>_xlfn.XLOOKUP(Sheet1[[#This Row],[day_id]],calendar!A49,calendar!C49)</f>
        <v>Thursday</v>
      </c>
      <c r="G49">
        <f>_xlfn.XLOOKUP(Sheet1[[#This Row],[day_id]],calendar!A49,calendar!E49)</f>
        <v>3</v>
      </c>
      <c r="H49">
        <f>_xlfn.XLOOKUP(Sheet1[[#This Row],[day_id]],calendar!A49,calendar!F49)</f>
        <v>2011</v>
      </c>
      <c r="I49" t="str">
        <f>_xlfn.XLOOKUP(Sheet1[[#This Row],[day_id]],calendar!A49,calendar!J49)</f>
        <v>StPatricksDay</v>
      </c>
      <c r="J49" t="str">
        <f>_xlfn.XLOOKUP(Sheet1[[#This Row],[day_id]],calendar!A49,calendar!K49)</f>
        <v>Cultural</v>
      </c>
      <c r="K49">
        <f>_xlfn.XLOOKUP(Sheet1[[#This Row],[day_id]],calendar!A49,calendar!I49)</f>
        <v>0</v>
      </c>
    </row>
    <row r="50" spans="1:11" x14ac:dyDescent="0.2">
      <c r="A50" t="s">
        <v>368</v>
      </c>
      <c r="B50" t="s">
        <v>369</v>
      </c>
      <c r="C50" t="s">
        <v>50</v>
      </c>
      <c r="D50">
        <v>12</v>
      </c>
      <c r="E50" s="1">
        <f>_xlfn.XLOOKUP(Sheet1[[#This Row],[day_id]],calendar!A50,calendar!B50)</f>
        <v>40620</v>
      </c>
      <c r="F50" t="str">
        <f>_xlfn.XLOOKUP(Sheet1[[#This Row],[day_id]],calendar!A50,calendar!C50)</f>
        <v>Friday</v>
      </c>
      <c r="G50">
        <f>_xlfn.XLOOKUP(Sheet1[[#This Row],[day_id]],calendar!A50,calendar!E50)</f>
        <v>3</v>
      </c>
      <c r="H50">
        <f>_xlfn.XLOOKUP(Sheet1[[#This Row],[day_id]],calendar!A50,calendar!F50)</f>
        <v>2011</v>
      </c>
      <c r="I50" t="str">
        <f>_xlfn.XLOOKUP(Sheet1[[#This Row],[day_id]],calendar!A50,calendar!J50)</f>
        <v>No Event</v>
      </c>
      <c r="J50" t="str">
        <f>_xlfn.XLOOKUP(Sheet1[[#This Row],[day_id]],calendar!A50,calendar!K50)</f>
        <v>No Event Type</v>
      </c>
      <c r="K50">
        <f>_xlfn.XLOOKUP(Sheet1[[#This Row],[day_id]],calendar!A50,calendar!I50)</f>
        <v>0</v>
      </c>
    </row>
    <row r="51" spans="1:11" x14ac:dyDescent="0.2">
      <c r="A51" t="s">
        <v>368</v>
      </c>
      <c r="B51" t="s">
        <v>369</v>
      </c>
      <c r="C51" t="s">
        <v>51</v>
      </c>
      <c r="D51">
        <v>2</v>
      </c>
      <c r="E51" s="1">
        <f>_xlfn.XLOOKUP(Sheet1[[#This Row],[day_id]],calendar!A51,calendar!B51)</f>
        <v>40621</v>
      </c>
      <c r="F51" t="str">
        <f>_xlfn.XLOOKUP(Sheet1[[#This Row],[day_id]],calendar!A51,calendar!C51)</f>
        <v>Saturday</v>
      </c>
      <c r="G51">
        <f>_xlfn.XLOOKUP(Sheet1[[#This Row],[day_id]],calendar!A51,calendar!E51)</f>
        <v>3</v>
      </c>
      <c r="H51">
        <f>_xlfn.XLOOKUP(Sheet1[[#This Row],[day_id]],calendar!A51,calendar!F51)</f>
        <v>2011</v>
      </c>
      <c r="I51" t="str">
        <f>_xlfn.XLOOKUP(Sheet1[[#This Row],[day_id]],calendar!A51,calendar!J51)</f>
        <v>No Event</v>
      </c>
      <c r="J51" t="str">
        <f>_xlfn.XLOOKUP(Sheet1[[#This Row],[day_id]],calendar!A51,calendar!K51)</f>
        <v>No Event Type</v>
      </c>
      <c r="K51">
        <f>_xlfn.XLOOKUP(Sheet1[[#This Row],[day_id]],calendar!A51,calendar!I51)</f>
        <v>0</v>
      </c>
    </row>
    <row r="52" spans="1:11" x14ac:dyDescent="0.2">
      <c r="A52" t="s">
        <v>368</v>
      </c>
      <c r="B52" t="s">
        <v>369</v>
      </c>
      <c r="C52" t="s">
        <v>52</v>
      </c>
      <c r="D52">
        <v>2</v>
      </c>
      <c r="E52" s="1">
        <f>_xlfn.XLOOKUP(Sheet1[[#This Row],[day_id]],calendar!A52,calendar!B52)</f>
        <v>40622</v>
      </c>
      <c r="F52" t="str">
        <f>_xlfn.XLOOKUP(Sheet1[[#This Row],[day_id]],calendar!A52,calendar!C52)</f>
        <v>Sunday</v>
      </c>
      <c r="G52">
        <f>_xlfn.XLOOKUP(Sheet1[[#This Row],[day_id]],calendar!A52,calendar!E52)</f>
        <v>3</v>
      </c>
      <c r="H52">
        <f>_xlfn.XLOOKUP(Sheet1[[#This Row],[day_id]],calendar!A52,calendar!F52)</f>
        <v>2011</v>
      </c>
      <c r="I52" t="str">
        <f>_xlfn.XLOOKUP(Sheet1[[#This Row],[day_id]],calendar!A52,calendar!J52)</f>
        <v>Purim End</v>
      </c>
      <c r="J52" t="str">
        <f>_xlfn.XLOOKUP(Sheet1[[#This Row],[day_id]],calendar!A52,calendar!K52)</f>
        <v>Religious</v>
      </c>
      <c r="K52">
        <f>_xlfn.XLOOKUP(Sheet1[[#This Row],[day_id]],calendar!A52,calendar!I52)</f>
        <v>0</v>
      </c>
    </row>
    <row r="53" spans="1:11" x14ac:dyDescent="0.2">
      <c r="A53" t="s">
        <v>368</v>
      </c>
      <c r="B53" t="s">
        <v>369</v>
      </c>
      <c r="C53" t="s">
        <v>53</v>
      </c>
      <c r="D53">
        <v>0</v>
      </c>
      <c r="E53" s="1">
        <f>_xlfn.XLOOKUP(Sheet1[[#This Row],[day_id]],calendar!A53,calendar!B53)</f>
        <v>40623</v>
      </c>
      <c r="F53" t="str">
        <f>_xlfn.XLOOKUP(Sheet1[[#This Row],[day_id]],calendar!A53,calendar!C53)</f>
        <v>Monday</v>
      </c>
      <c r="G53">
        <f>_xlfn.XLOOKUP(Sheet1[[#This Row],[day_id]],calendar!A53,calendar!E53)</f>
        <v>3</v>
      </c>
      <c r="H53">
        <f>_xlfn.XLOOKUP(Sheet1[[#This Row],[day_id]],calendar!A53,calendar!F53)</f>
        <v>2011</v>
      </c>
      <c r="I53" t="str">
        <f>_xlfn.XLOOKUP(Sheet1[[#This Row],[day_id]],calendar!A53,calendar!J53)</f>
        <v>No Event</v>
      </c>
      <c r="J53" t="str">
        <f>_xlfn.XLOOKUP(Sheet1[[#This Row],[day_id]],calendar!A53,calendar!K53)</f>
        <v>No Event Type</v>
      </c>
      <c r="K53">
        <f>_xlfn.XLOOKUP(Sheet1[[#This Row],[day_id]],calendar!A53,calendar!I53)</f>
        <v>0</v>
      </c>
    </row>
    <row r="54" spans="1:11" x14ac:dyDescent="0.2">
      <c r="A54" t="s">
        <v>368</v>
      </c>
      <c r="B54" t="s">
        <v>369</v>
      </c>
      <c r="C54" t="s">
        <v>54</v>
      </c>
      <c r="D54">
        <v>2</v>
      </c>
      <c r="E54" s="1">
        <f>_xlfn.XLOOKUP(Sheet1[[#This Row],[day_id]],calendar!A54,calendar!B54)</f>
        <v>40624</v>
      </c>
      <c r="F54" t="str">
        <f>_xlfn.XLOOKUP(Sheet1[[#This Row],[day_id]],calendar!A54,calendar!C54)</f>
        <v>Tuesday</v>
      </c>
      <c r="G54">
        <f>_xlfn.XLOOKUP(Sheet1[[#This Row],[day_id]],calendar!A54,calendar!E54)</f>
        <v>3</v>
      </c>
      <c r="H54">
        <f>_xlfn.XLOOKUP(Sheet1[[#This Row],[day_id]],calendar!A54,calendar!F54)</f>
        <v>2011</v>
      </c>
      <c r="I54" t="str">
        <f>_xlfn.XLOOKUP(Sheet1[[#This Row],[day_id]],calendar!A54,calendar!J54)</f>
        <v>No Event</v>
      </c>
      <c r="J54" t="str">
        <f>_xlfn.XLOOKUP(Sheet1[[#This Row],[day_id]],calendar!A54,calendar!K54)</f>
        <v>No Event Type</v>
      </c>
      <c r="K54">
        <f>_xlfn.XLOOKUP(Sheet1[[#This Row],[day_id]],calendar!A54,calendar!I54)</f>
        <v>0</v>
      </c>
    </row>
    <row r="55" spans="1:11" x14ac:dyDescent="0.2">
      <c r="A55" t="s">
        <v>368</v>
      </c>
      <c r="B55" t="s">
        <v>369</v>
      </c>
      <c r="C55" t="s">
        <v>55</v>
      </c>
      <c r="D55">
        <v>0</v>
      </c>
      <c r="E55" s="1">
        <f>_xlfn.XLOOKUP(Sheet1[[#This Row],[day_id]],calendar!A55,calendar!B55)</f>
        <v>40625</v>
      </c>
      <c r="F55" t="str">
        <f>_xlfn.XLOOKUP(Sheet1[[#This Row],[day_id]],calendar!A55,calendar!C55)</f>
        <v>Wednesday</v>
      </c>
      <c r="G55">
        <f>_xlfn.XLOOKUP(Sheet1[[#This Row],[day_id]],calendar!A55,calendar!E55)</f>
        <v>3</v>
      </c>
      <c r="H55">
        <f>_xlfn.XLOOKUP(Sheet1[[#This Row],[day_id]],calendar!A55,calendar!F55)</f>
        <v>2011</v>
      </c>
      <c r="I55" t="str">
        <f>_xlfn.XLOOKUP(Sheet1[[#This Row],[day_id]],calendar!A55,calendar!J55)</f>
        <v>No Event</v>
      </c>
      <c r="J55" t="str">
        <f>_xlfn.XLOOKUP(Sheet1[[#This Row],[day_id]],calendar!A55,calendar!K55)</f>
        <v>No Event Type</v>
      </c>
      <c r="K55">
        <f>_xlfn.XLOOKUP(Sheet1[[#This Row],[day_id]],calendar!A55,calendar!I55)</f>
        <v>0</v>
      </c>
    </row>
    <row r="56" spans="1:11" x14ac:dyDescent="0.2">
      <c r="A56" t="s">
        <v>368</v>
      </c>
      <c r="B56" t="s">
        <v>369</v>
      </c>
      <c r="C56" t="s">
        <v>56</v>
      </c>
      <c r="D56">
        <v>0</v>
      </c>
      <c r="E56" s="1">
        <f>_xlfn.XLOOKUP(Sheet1[[#This Row],[day_id]],calendar!A56,calendar!B56)</f>
        <v>40626</v>
      </c>
      <c r="F56" t="str">
        <f>_xlfn.XLOOKUP(Sheet1[[#This Row],[day_id]],calendar!A56,calendar!C56)</f>
        <v>Thursday</v>
      </c>
      <c r="G56">
        <f>_xlfn.XLOOKUP(Sheet1[[#This Row],[day_id]],calendar!A56,calendar!E56)</f>
        <v>3</v>
      </c>
      <c r="H56">
        <f>_xlfn.XLOOKUP(Sheet1[[#This Row],[day_id]],calendar!A56,calendar!F56)</f>
        <v>2011</v>
      </c>
      <c r="I56" t="str">
        <f>_xlfn.XLOOKUP(Sheet1[[#This Row],[day_id]],calendar!A56,calendar!J56)</f>
        <v>No Event</v>
      </c>
      <c r="J56" t="str">
        <f>_xlfn.XLOOKUP(Sheet1[[#This Row],[day_id]],calendar!A56,calendar!K56)</f>
        <v>No Event Type</v>
      </c>
      <c r="K56">
        <f>_xlfn.XLOOKUP(Sheet1[[#This Row],[day_id]],calendar!A56,calendar!I56)</f>
        <v>0</v>
      </c>
    </row>
    <row r="57" spans="1:11" x14ac:dyDescent="0.2">
      <c r="A57" t="s">
        <v>368</v>
      </c>
      <c r="B57" t="s">
        <v>369</v>
      </c>
      <c r="C57" t="s">
        <v>57</v>
      </c>
      <c r="D57">
        <v>0</v>
      </c>
      <c r="E57" s="1">
        <f>_xlfn.XLOOKUP(Sheet1[[#This Row],[day_id]],calendar!A57,calendar!B57)</f>
        <v>40627</v>
      </c>
      <c r="F57" t="str">
        <f>_xlfn.XLOOKUP(Sheet1[[#This Row],[day_id]],calendar!A57,calendar!C57)</f>
        <v>Friday</v>
      </c>
      <c r="G57">
        <f>_xlfn.XLOOKUP(Sheet1[[#This Row],[day_id]],calendar!A57,calendar!E57)</f>
        <v>3</v>
      </c>
      <c r="H57">
        <f>_xlfn.XLOOKUP(Sheet1[[#This Row],[day_id]],calendar!A57,calendar!F57)</f>
        <v>2011</v>
      </c>
      <c r="I57" t="str">
        <f>_xlfn.XLOOKUP(Sheet1[[#This Row],[day_id]],calendar!A57,calendar!J57)</f>
        <v>No Event</v>
      </c>
      <c r="J57" t="str">
        <f>_xlfn.XLOOKUP(Sheet1[[#This Row],[day_id]],calendar!A57,calendar!K57)</f>
        <v>No Event Type</v>
      </c>
      <c r="K57">
        <f>_xlfn.XLOOKUP(Sheet1[[#This Row],[day_id]],calendar!A57,calendar!I57)</f>
        <v>0</v>
      </c>
    </row>
    <row r="58" spans="1:11" x14ac:dyDescent="0.2">
      <c r="A58" t="s">
        <v>368</v>
      </c>
      <c r="B58" t="s">
        <v>369</v>
      </c>
      <c r="C58" t="s">
        <v>58</v>
      </c>
      <c r="D58">
        <v>1</v>
      </c>
      <c r="E58" s="1">
        <f>_xlfn.XLOOKUP(Sheet1[[#This Row],[day_id]],calendar!A58,calendar!B58)</f>
        <v>40628</v>
      </c>
      <c r="F58" t="str">
        <f>_xlfn.XLOOKUP(Sheet1[[#This Row],[day_id]],calendar!A58,calendar!C58)</f>
        <v>Saturday</v>
      </c>
      <c r="G58">
        <f>_xlfn.XLOOKUP(Sheet1[[#This Row],[day_id]],calendar!A58,calendar!E58)</f>
        <v>3</v>
      </c>
      <c r="H58">
        <f>_xlfn.XLOOKUP(Sheet1[[#This Row],[day_id]],calendar!A58,calendar!F58)</f>
        <v>2011</v>
      </c>
      <c r="I58" t="str">
        <f>_xlfn.XLOOKUP(Sheet1[[#This Row],[day_id]],calendar!A58,calendar!J58)</f>
        <v>No Event</v>
      </c>
      <c r="J58" t="str">
        <f>_xlfn.XLOOKUP(Sheet1[[#This Row],[day_id]],calendar!A58,calendar!K58)</f>
        <v>No Event Type</v>
      </c>
      <c r="K58">
        <f>_xlfn.XLOOKUP(Sheet1[[#This Row],[day_id]],calendar!A58,calendar!I58)</f>
        <v>0</v>
      </c>
    </row>
    <row r="59" spans="1:11" x14ac:dyDescent="0.2">
      <c r="A59" t="s">
        <v>368</v>
      </c>
      <c r="B59" t="s">
        <v>369</v>
      </c>
      <c r="C59" t="s">
        <v>59</v>
      </c>
      <c r="D59">
        <v>0</v>
      </c>
      <c r="E59" s="1">
        <f>_xlfn.XLOOKUP(Sheet1[[#This Row],[day_id]],calendar!A59,calendar!B59)</f>
        <v>40629</v>
      </c>
      <c r="F59" t="str">
        <f>_xlfn.XLOOKUP(Sheet1[[#This Row],[day_id]],calendar!A59,calendar!C59)</f>
        <v>Sunday</v>
      </c>
      <c r="G59">
        <f>_xlfn.XLOOKUP(Sheet1[[#This Row],[day_id]],calendar!A59,calendar!E59)</f>
        <v>3</v>
      </c>
      <c r="H59">
        <f>_xlfn.XLOOKUP(Sheet1[[#This Row],[day_id]],calendar!A59,calendar!F59)</f>
        <v>2011</v>
      </c>
      <c r="I59" t="str">
        <f>_xlfn.XLOOKUP(Sheet1[[#This Row],[day_id]],calendar!A59,calendar!J59)</f>
        <v>No Event</v>
      </c>
      <c r="J59" t="str">
        <f>_xlfn.XLOOKUP(Sheet1[[#This Row],[day_id]],calendar!A59,calendar!K59)</f>
        <v>No Event Type</v>
      </c>
      <c r="K59">
        <f>_xlfn.XLOOKUP(Sheet1[[#This Row],[day_id]],calendar!A59,calendar!I59)</f>
        <v>0</v>
      </c>
    </row>
    <row r="60" spans="1:11" x14ac:dyDescent="0.2">
      <c r="A60" t="s">
        <v>368</v>
      </c>
      <c r="B60" t="s">
        <v>369</v>
      </c>
      <c r="C60" t="s">
        <v>60</v>
      </c>
      <c r="D60">
        <v>0</v>
      </c>
      <c r="E60" s="1">
        <f>_xlfn.XLOOKUP(Sheet1[[#This Row],[day_id]],calendar!A60,calendar!B60)</f>
        <v>40630</v>
      </c>
      <c r="F60" t="str">
        <f>_xlfn.XLOOKUP(Sheet1[[#This Row],[day_id]],calendar!A60,calendar!C60)</f>
        <v>Monday</v>
      </c>
      <c r="G60">
        <f>_xlfn.XLOOKUP(Sheet1[[#This Row],[day_id]],calendar!A60,calendar!E60)</f>
        <v>3</v>
      </c>
      <c r="H60">
        <f>_xlfn.XLOOKUP(Sheet1[[#This Row],[day_id]],calendar!A60,calendar!F60)</f>
        <v>2011</v>
      </c>
      <c r="I60" t="str">
        <f>_xlfn.XLOOKUP(Sheet1[[#This Row],[day_id]],calendar!A60,calendar!J60)</f>
        <v>No Event</v>
      </c>
      <c r="J60" t="str">
        <f>_xlfn.XLOOKUP(Sheet1[[#This Row],[day_id]],calendar!A60,calendar!K60)</f>
        <v>No Event Type</v>
      </c>
      <c r="K60">
        <f>_xlfn.XLOOKUP(Sheet1[[#This Row],[day_id]],calendar!A60,calendar!I60)</f>
        <v>0</v>
      </c>
    </row>
    <row r="61" spans="1:11" x14ac:dyDescent="0.2">
      <c r="A61" t="s">
        <v>368</v>
      </c>
      <c r="B61" t="s">
        <v>369</v>
      </c>
      <c r="C61" t="s">
        <v>61</v>
      </c>
      <c r="D61">
        <v>0</v>
      </c>
      <c r="E61" s="1">
        <f>_xlfn.XLOOKUP(Sheet1[[#This Row],[day_id]],calendar!A61,calendar!B61)</f>
        <v>40631</v>
      </c>
      <c r="F61" t="str">
        <f>_xlfn.XLOOKUP(Sheet1[[#This Row],[day_id]],calendar!A61,calendar!C61)</f>
        <v>Tuesday</v>
      </c>
      <c r="G61">
        <f>_xlfn.XLOOKUP(Sheet1[[#This Row],[day_id]],calendar!A61,calendar!E61)</f>
        <v>3</v>
      </c>
      <c r="H61">
        <f>_xlfn.XLOOKUP(Sheet1[[#This Row],[day_id]],calendar!A61,calendar!F61)</f>
        <v>2011</v>
      </c>
      <c r="I61" t="str">
        <f>_xlfn.XLOOKUP(Sheet1[[#This Row],[day_id]],calendar!A61,calendar!J61)</f>
        <v>No Event</v>
      </c>
      <c r="J61" t="str">
        <f>_xlfn.XLOOKUP(Sheet1[[#This Row],[day_id]],calendar!A61,calendar!K61)</f>
        <v>No Event Type</v>
      </c>
      <c r="K61">
        <f>_xlfn.XLOOKUP(Sheet1[[#This Row],[day_id]],calendar!A61,calendar!I61)</f>
        <v>0</v>
      </c>
    </row>
    <row r="62" spans="1:11" x14ac:dyDescent="0.2">
      <c r="A62" t="s">
        <v>368</v>
      </c>
      <c r="B62" t="s">
        <v>369</v>
      </c>
      <c r="C62" t="s">
        <v>62</v>
      </c>
      <c r="D62">
        <v>0</v>
      </c>
      <c r="E62" s="1">
        <f>_xlfn.XLOOKUP(Sheet1[[#This Row],[day_id]],calendar!A62,calendar!B62)</f>
        <v>40632</v>
      </c>
      <c r="F62" t="str">
        <f>_xlfn.XLOOKUP(Sheet1[[#This Row],[day_id]],calendar!A62,calendar!C62)</f>
        <v>Wednesday</v>
      </c>
      <c r="G62">
        <f>_xlfn.XLOOKUP(Sheet1[[#This Row],[day_id]],calendar!A62,calendar!E62)</f>
        <v>3</v>
      </c>
      <c r="H62">
        <f>_xlfn.XLOOKUP(Sheet1[[#This Row],[day_id]],calendar!A62,calendar!F62)</f>
        <v>2011</v>
      </c>
      <c r="I62" t="str">
        <f>_xlfn.XLOOKUP(Sheet1[[#This Row],[day_id]],calendar!A62,calendar!J62)</f>
        <v>No Event</v>
      </c>
      <c r="J62" t="str">
        <f>_xlfn.XLOOKUP(Sheet1[[#This Row],[day_id]],calendar!A62,calendar!K62)</f>
        <v>No Event Type</v>
      </c>
      <c r="K62">
        <f>_xlfn.XLOOKUP(Sheet1[[#This Row],[day_id]],calendar!A62,calendar!I62)</f>
        <v>0</v>
      </c>
    </row>
    <row r="63" spans="1:11" x14ac:dyDescent="0.2">
      <c r="A63" t="s">
        <v>368</v>
      </c>
      <c r="B63" t="s">
        <v>369</v>
      </c>
      <c r="C63" t="s">
        <v>63</v>
      </c>
      <c r="D63">
        <v>0</v>
      </c>
      <c r="E63" s="1">
        <f>_xlfn.XLOOKUP(Sheet1[[#This Row],[day_id]],calendar!A63,calendar!B63)</f>
        <v>40633</v>
      </c>
      <c r="F63" t="str">
        <f>_xlfn.XLOOKUP(Sheet1[[#This Row],[day_id]],calendar!A63,calendar!C63)</f>
        <v>Thursday</v>
      </c>
      <c r="G63">
        <f>_xlfn.XLOOKUP(Sheet1[[#This Row],[day_id]],calendar!A63,calendar!E63)</f>
        <v>3</v>
      </c>
      <c r="H63">
        <f>_xlfn.XLOOKUP(Sheet1[[#This Row],[day_id]],calendar!A63,calendar!F63)</f>
        <v>2011</v>
      </c>
      <c r="I63" t="str">
        <f>_xlfn.XLOOKUP(Sheet1[[#This Row],[day_id]],calendar!A63,calendar!J63)</f>
        <v>No Event</v>
      </c>
      <c r="J63" t="str">
        <f>_xlfn.XLOOKUP(Sheet1[[#This Row],[day_id]],calendar!A63,calendar!K63)</f>
        <v>No Event Type</v>
      </c>
      <c r="K63">
        <f>_xlfn.XLOOKUP(Sheet1[[#This Row],[day_id]],calendar!A63,calendar!I63)</f>
        <v>0</v>
      </c>
    </row>
    <row r="64" spans="1:11" x14ac:dyDescent="0.2">
      <c r="A64" t="s">
        <v>368</v>
      </c>
      <c r="B64" t="s">
        <v>369</v>
      </c>
      <c r="C64" t="s">
        <v>64</v>
      </c>
      <c r="D64">
        <v>0</v>
      </c>
      <c r="E64" s="1">
        <f>_xlfn.XLOOKUP(Sheet1[[#This Row],[day_id]],calendar!A64,calendar!B64)</f>
        <v>40634</v>
      </c>
      <c r="F64" t="str">
        <f>_xlfn.XLOOKUP(Sheet1[[#This Row],[day_id]],calendar!A64,calendar!C64)</f>
        <v>Friday</v>
      </c>
      <c r="G64">
        <f>_xlfn.XLOOKUP(Sheet1[[#This Row],[day_id]],calendar!A64,calendar!E64)</f>
        <v>4</v>
      </c>
      <c r="H64">
        <f>_xlfn.XLOOKUP(Sheet1[[#This Row],[day_id]],calendar!A64,calendar!F64)</f>
        <v>2011</v>
      </c>
      <c r="I64" t="str">
        <f>_xlfn.XLOOKUP(Sheet1[[#This Row],[day_id]],calendar!A64,calendar!J64)</f>
        <v>No Event</v>
      </c>
      <c r="J64" t="str">
        <f>_xlfn.XLOOKUP(Sheet1[[#This Row],[day_id]],calendar!A64,calendar!K64)</f>
        <v>No Event Type</v>
      </c>
      <c r="K64">
        <f>_xlfn.XLOOKUP(Sheet1[[#This Row],[day_id]],calendar!A64,calendar!I64)</f>
        <v>1</v>
      </c>
    </row>
    <row r="65" spans="1:11" x14ac:dyDescent="0.2">
      <c r="A65" t="s">
        <v>368</v>
      </c>
      <c r="B65" t="s">
        <v>369</v>
      </c>
      <c r="C65" t="s">
        <v>65</v>
      </c>
      <c r="D65">
        <v>0</v>
      </c>
      <c r="E65" s="1">
        <f>_xlfn.XLOOKUP(Sheet1[[#This Row],[day_id]],calendar!A65,calendar!B65)</f>
        <v>40635</v>
      </c>
      <c r="F65" t="str">
        <f>_xlfn.XLOOKUP(Sheet1[[#This Row],[day_id]],calendar!A65,calendar!C65)</f>
        <v>Saturday</v>
      </c>
      <c r="G65">
        <f>_xlfn.XLOOKUP(Sheet1[[#This Row],[day_id]],calendar!A65,calendar!E65)</f>
        <v>4</v>
      </c>
      <c r="H65">
        <f>_xlfn.XLOOKUP(Sheet1[[#This Row],[day_id]],calendar!A65,calendar!F65)</f>
        <v>2011</v>
      </c>
      <c r="I65" t="str">
        <f>_xlfn.XLOOKUP(Sheet1[[#This Row],[day_id]],calendar!A65,calendar!J65)</f>
        <v>No Event</v>
      </c>
      <c r="J65" t="str">
        <f>_xlfn.XLOOKUP(Sheet1[[#This Row],[day_id]],calendar!A65,calendar!K65)</f>
        <v>No Event Type</v>
      </c>
      <c r="K65">
        <f>_xlfn.XLOOKUP(Sheet1[[#This Row],[day_id]],calendar!A65,calendar!I65)</f>
        <v>1</v>
      </c>
    </row>
    <row r="66" spans="1:11" x14ac:dyDescent="0.2">
      <c r="A66" t="s">
        <v>368</v>
      </c>
      <c r="B66" t="s">
        <v>369</v>
      </c>
      <c r="C66" t="s">
        <v>66</v>
      </c>
      <c r="D66">
        <v>0</v>
      </c>
      <c r="E66" s="1">
        <f>_xlfn.XLOOKUP(Sheet1[[#This Row],[day_id]],calendar!A66,calendar!B66)</f>
        <v>40636</v>
      </c>
      <c r="F66" t="str">
        <f>_xlfn.XLOOKUP(Sheet1[[#This Row],[day_id]],calendar!A66,calendar!C66)</f>
        <v>Sunday</v>
      </c>
      <c r="G66">
        <f>_xlfn.XLOOKUP(Sheet1[[#This Row],[day_id]],calendar!A66,calendar!E66)</f>
        <v>4</v>
      </c>
      <c r="H66">
        <f>_xlfn.XLOOKUP(Sheet1[[#This Row],[day_id]],calendar!A66,calendar!F66)</f>
        <v>2011</v>
      </c>
      <c r="I66" t="str">
        <f>_xlfn.XLOOKUP(Sheet1[[#This Row],[day_id]],calendar!A66,calendar!J66)</f>
        <v>No Event</v>
      </c>
      <c r="J66" t="str">
        <f>_xlfn.XLOOKUP(Sheet1[[#This Row],[day_id]],calendar!A66,calendar!K66)</f>
        <v>No Event Type</v>
      </c>
      <c r="K66">
        <f>_xlfn.XLOOKUP(Sheet1[[#This Row],[day_id]],calendar!A66,calendar!I66)</f>
        <v>1</v>
      </c>
    </row>
    <row r="67" spans="1:11" x14ac:dyDescent="0.2">
      <c r="A67" t="s">
        <v>368</v>
      </c>
      <c r="B67" t="s">
        <v>369</v>
      </c>
      <c r="C67" t="s">
        <v>67</v>
      </c>
      <c r="D67">
        <v>0</v>
      </c>
      <c r="E67" s="1">
        <f>_xlfn.XLOOKUP(Sheet1[[#This Row],[day_id]],calendar!A67,calendar!B67)</f>
        <v>40637</v>
      </c>
      <c r="F67" t="str">
        <f>_xlfn.XLOOKUP(Sheet1[[#This Row],[day_id]],calendar!A67,calendar!C67)</f>
        <v>Monday</v>
      </c>
      <c r="G67">
        <f>_xlfn.XLOOKUP(Sheet1[[#This Row],[day_id]],calendar!A67,calendar!E67)</f>
        <v>4</v>
      </c>
      <c r="H67">
        <f>_xlfn.XLOOKUP(Sheet1[[#This Row],[day_id]],calendar!A67,calendar!F67)</f>
        <v>2011</v>
      </c>
      <c r="I67" t="str">
        <f>_xlfn.XLOOKUP(Sheet1[[#This Row],[day_id]],calendar!A67,calendar!J67)</f>
        <v>No Event</v>
      </c>
      <c r="J67" t="str">
        <f>_xlfn.XLOOKUP(Sheet1[[#This Row],[day_id]],calendar!A67,calendar!K67)</f>
        <v>No Event Type</v>
      </c>
      <c r="K67">
        <f>_xlfn.XLOOKUP(Sheet1[[#This Row],[day_id]],calendar!A67,calendar!I67)</f>
        <v>1</v>
      </c>
    </row>
    <row r="68" spans="1:11" x14ac:dyDescent="0.2">
      <c r="A68" t="s">
        <v>368</v>
      </c>
      <c r="B68" t="s">
        <v>369</v>
      </c>
      <c r="C68" t="s">
        <v>68</v>
      </c>
      <c r="D68">
        <v>0</v>
      </c>
      <c r="E68" s="1">
        <f>_xlfn.XLOOKUP(Sheet1[[#This Row],[day_id]],calendar!A68,calendar!B68)</f>
        <v>40638</v>
      </c>
      <c r="F68" t="str">
        <f>_xlfn.XLOOKUP(Sheet1[[#This Row],[day_id]],calendar!A68,calendar!C68)</f>
        <v>Tuesday</v>
      </c>
      <c r="G68">
        <f>_xlfn.XLOOKUP(Sheet1[[#This Row],[day_id]],calendar!A68,calendar!E68)</f>
        <v>4</v>
      </c>
      <c r="H68">
        <f>_xlfn.XLOOKUP(Sheet1[[#This Row],[day_id]],calendar!A68,calendar!F68)</f>
        <v>2011</v>
      </c>
      <c r="I68" t="str">
        <f>_xlfn.XLOOKUP(Sheet1[[#This Row],[day_id]],calendar!A68,calendar!J68)</f>
        <v>No Event</v>
      </c>
      <c r="J68" t="str">
        <f>_xlfn.XLOOKUP(Sheet1[[#This Row],[day_id]],calendar!A68,calendar!K68)</f>
        <v>No Event Type</v>
      </c>
      <c r="K68">
        <f>_xlfn.XLOOKUP(Sheet1[[#This Row],[day_id]],calendar!A68,calendar!I68)</f>
        <v>1</v>
      </c>
    </row>
    <row r="69" spans="1:11" x14ac:dyDescent="0.2">
      <c r="A69" t="s">
        <v>368</v>
      </c>
      <c r="B69" t="s">
        <v>369</v>
      </c>
      <c r="C69" t="s">
        <v>69</v>
      </c>
      <c r="D69">
        <v>0</v>
      </c>
      <c r="E69" s="1">
        <f>_xlfn.XLOOKUP(Sheet1[[#This Row],[day_id]],calendar!A69,calendar!B69)</f>
        <v>40639</v>
      </c>
      <c r="F69" t="str">
        <f>_xlfn.XLOOKUP(Sheet1[[#This Row],[day_id]],calendar!A69,calendar!C69)</f>
        <v>Wednesday</v>
      </c>
      <c r="G69">
        <f>_xlfn.XLOOKUP(Sheet1[[#This Row],[day_id]],calendar!A69,calendar!E69)</f>
        <v>4</v>
      </c>
      <c r="H69">
        <f>_xlfn.XLOOKUP(Sheet1[[#This Row],[day_id]],calendar!A69,calendar!F69)</f>
        <v>2011</v>
      </c>
      <c r="I69" t="str">
        <f>_xlfn.XLOOKUP(Sheet1[[#This Row],[day_id]],calendar!A69,calendar!J69)</f>
        <v>No Event</v>
      </c>
      <c r="J69" t="str">
        <f>_xlfn.XLOOKUP(Sheet1[[#This Row],[day_id]],calendar!A69,calendar!K69)</f>
        <v>No Event Type</v>
      </c>
      <c r="K69">
        <f>_xlfn.XLOOKUP(Sheet1[[#This Row],[day_id]],calendar!A69,calendar!I69)</f>
        <v>1</v>
      </c>
    </row>
    <row r="70" spans="1:11" x14ac:dyDescent="0.2">
      <c r="A70" t="s">
        <v>368</v>
      </c>
      <c r="B70" t="s">
        <v>369</v>
      </c>
      <c r="C70" t="s">
        <v>70</v>
      </c>
      <c r="D70">
        <v>0</v>
      </c>
      <c r="E70" s="1">
        <f>_xlfn.XLOOKUP(Sheet1[[#This Row],[day_id]],calendar!A70,calendar!B70)</f>
        <v>40640</v>
      </c>
      <c r="F70" t="str">
        <f>_xlfn.XLOOKUP(Sheet1[[#This Row],[day_id]],calendar!A70,calendar!C70)</f>
        <v>Thursday</v>
      </c>
      <c r="G70">
        <f>_xlfn.XLOOKUP(Sheet1[[#This Row],[day_id]],calendar!A70,calendar!E70)</f>
        <v>4</v>
      </c>
      <c r="H70">
        <f>_xlfn.XLOOKUP(Sheet1[[#This Row],[day_id]],calendar!A70,calendar!F70)</f>
        <v>2011</v>
      </c>
      <c r="I70" t="str">
        <f>_xlfn.XLOOKUP(Sheet1[[#This Row],[day_id]],calendar!A70,calendar!J70)</f>
        <v>No Event</v>
      </c>
      <c r="J70" t="str">
        <f>_xlfn.XLOOKUP(Sheet1[[#This Row],[day_id]],calendar!A70,calendar!K70)</f>
        <v>No Event Type</v>
      </c>
      <c r="K70">
        <f>_xlfn.XLOOKUP(Sheet1[[#This Row],[day_id]],calendar!A70,calendar!I70)</f>
        <v>1</v>
      </c>
    </row>
    <row r="71" spans="1:11" x14ac:dyDescent="0.2">
      <c r="A71" t="s">
        <v>368</v>
      </c>
      <c r="B71" t="s">
        <v>369</v>
      </c>
      <c r="C71" t="s">
        <v>71</v>
      </c>
      <c r="D71">
        <v>0</v>
      </c>
      <c r="E71" s="1">
        <f>_xlfn.XLOOKUP(Sheet1[[#This Row],[day_id]],calendar!A71,calendar!B71)</f>
        <v>40641</v>
      </c>
      <c r="F71" t="str">
        <f>_xlfn.XLOOKUP(Sheet1[[#This Row],[day_id]],calendar!A71,calendar!C71)</f>
        <v>Friday</v>
      </c>
      <c r="G71">
        <f>_xlfn.XLOOKUP(Sheet1[[#This Row],[day_id]],calendar!A71,calendar!E71)</f>
        <v>4</v>
      </c>
      <c r="H71">
        <f>_xlfn.XLOOKUP(Sheet1[[#This Row],[day_id]],calendar!A71,calendar!F71)</f>
        <v>2011</v>
      </c>
      <c r="I71" t="str">
        <f>_xlfn.XLOOKUP(Sheet1[[#This Row],[day_id]],calendar!A71,calendar!J71)</f>
        <v>No Event</v>
      </c>
      <c r="J71" t="str">
        <f>_xlfn.XLOOKUP(Sheet1[[#This Row],[day_id]],calendar!A71,calendar!K71)</f>
        <v>No Event Type</v>
      </c>
      <c r="K71">
        <f>_xlfn.XLOOKUP(Sheet1[[#This Row],[day_id]],calendar!A71,calendar!I71)</f>
        <v>1</v>
      </c>
    </row>
    <row r="72" spans="1:11" x14ac:dyDescent="0.2">
      <c r="A72" t="s">
        <v>368</v>
      </c>
      <c r="B72" t="s">
        <v>369</v>
      </c>
      <c r="C72" t="s">
        <v>72</v>
      </c>
      <c r="D72">
        <v>0</v>
      </c>
      <c r="E72" s="1">
        <f>_xlfn.XLOOKUP(Sheet1[[#This Row],[day_id]],calendar!A72,calendar!B72)</f>
        <v>40642</v>
      </c>
      <c r="F72" t="str">
        <f>_xlfn.XLOOKUP(Sheet1[[#This Row],[day_id]],calendar!A72,calendar!C72)</f>
        <v>Saturday</v>
      </c>
      <c r="G72">
        <f>_xlfn.XLOOKUP(Sheet1[[#This Row],[day_id]],calendar!A72,calendar!E72)</f>
        <v>4</v>
      </c>
      <c r="H72">
        <f>_xlfn.XLOOKUP(Sheet1[[#This Row],[day_id]],calendar!A72,calendar!F72)</f>
        <v>2011</v>
      </c>
      <c r="I72" t="str">
        <f>_xlfn.XLOOKUP(Sheet1[[#This Row],[day_id]],calendar!A72,calendar!J72)</f>
        <v>No Event</v>
      </c>
      <c r="J72" t="str">
        <f>_xlfn.XLOOKUP(Sheet1[[#This Row],[day_id]],calendar!A72,calendar!K72)</f>
        <v>No Event Type</v>
      </c>
      <c r="K72">
        <f>_xlfn.XLOOKUP(Sheet1[[#This Row],[day_id]],calendar!A72,calendar!I72)</f>
        <v>1</v>
      </c>
    </row>
    <row r="73" spans="1:11" x14ac:dyDescent="0.2">
      <c r="A73" t="s">
        <v>368</v>
      </c>
      <c r="B73" t="s">
        <v>369</v>
      </c>
      <c r="C73" t="s">
        <v>73</v>
      </c>
      <c r="D73">
        <v>0</v>
      </c>
      <c r="E73" s="1">
        <f>_xlfn.XLOOKUP(Sheet1[[#This Row],[day_id]],calendar!A73,calendar!B73)</f>
        <v>40643</v>
      </c>
      <c r="F73" t="str">
        <f>_xlfn.XLOOKUP(Sheet1[[#This Row],[day_id]],calendar!A73,calendar!C73)</f>
        <v>Sunday</v>
      </c>
      <c r="G73">
        <f>_xlfn.XLOOKUP(Sheet1[[#This Row],[day_id]],calendar!A73,calendar!E73)</f>
        <v>4</v>
      </c>
      <c r="H73">
        <f>_xlfn.XLOOKUP(Sheet1[[#This Row],[day_id]],calendar!A73,calendar!F73)</f>
        <v>2011</v>
      </c>
      <c r="I73" t="str">
        <f>_xlfn.XLOOKUP(Sheet1[[#This Row],[day_id]],calendar!A73,calendar!J73)</f>
        <v>No Event</v>
      </c>
      <c r="J73" t="str">
        <f>_xlfn.XLOOKUP(Sheet1[[#This Row],[day_id]],calendar!A73,calendar!K73)</f>
        <v>No Event Type</v>
      </c>
      <c r="K73">
        <f>_xlfn.XLOOKUP(Sheet1[[#This Row],[day_id]],calendar!A73,calendar!I73)</f>
        <v>1</v>
      </c>
    </row>
    <row r="74" spans="1:11" x14ac:dyDescent="0.2">
      <c r="A74" t="s">
        <v>368</v>
      </c>
      <c r="B74" t="s">
        <v>369</v>
      </c>
      <c r="C74" t="s">
        <v>74</v>
      </c>
      <c r="D74">
        <v>0</v>
      </c>
      <c r="E74" s="1">
        <f>_xlfn.XLOOKUP(Sheet1[[#This Row],[day_id]],calendar!A74,calendar!B74)</f>
        <v>40644</v>
      </c>
      <c r="F74" t="str">
        <f>_xlfn.XLOOKUP(Sheet1[[#This Row],[day_id]],calendar!A74,calendar!C74)</f>
        <v>Monday</v>
      </c>
      <c r="G74">
        <f>_xlfn.XLOOKUP(Sheet1[[#This Row],[day_id]],calendar!A74,calendar!E74)</f>
        <v>4</v>
      </c>
      <c r="H74">
        <f>_xlfn.XLOOKUP(Sheet1[[#This Row],[day_id]],calendar!A74,calendar!F74)</f>
        <v>2011</v>
      </c>
      <c r="I74" t="str">
        <f>_xlfn.XLOOKUP(Sheet1[[#This Row],[day_id]],calendar!A74,calendar!J74)</f>
        <v>No Event</v>
      </c>
      <c r="J74" t="str">
        <f>_xlfn.XLOOKUP(Sheet1[[#This Row],[day_id]],calendar!A74,calendar!K74)</f>
        <v>No Event Type</v>
      </c>
      <c r="K74">
        <f>_xlfn.XLOOKUP(Sheet1[[#This Row],[day_id]],calendar!A74,calendar!I74)</f>
        <v>0</v>
      </c>
    </row>
    <row r="75" spans="1:11" x14ac:dyDescent="0.2">
      <c r="A75" t="s">
        <v>368</v>
      </c>
      <c r="B75" t="s">
        <v>369</v>
      </c>
      <c r="C75" t="s">
        <v>75</v>
      </c>
      <c r="D75">
        <v>0</v>
      </c>
      <c r="E75" s="1">
        <f>_xlfn.XLOOKUP(Sheet1[[#This Row],[day_id]],calendar!A75,calendar!B75)</f>
        <v>40645</v>
      </c>
      <c r="F75" t="str">
        <f>_xlfn.XLOOKUP(Sheet1[[#This Row],[day_id]],calendar!A75,calendar!C75)</f>
        <v>Tuesday</v>
      </c>
      <c r="G75">
        <f>_xlfn.XLOOKUP(Sheet1[[#This Row],[day_id]],calendar!A75,calendar!E75)</f>
        <v>4</v>
      </c>
      <c r="H75">
        <f>_xlfn.XLOOKUP(Sheet1[[#This Row],[day_id]],calendar!A75,calendar!F75)</f>
        <v>2011</v>
      </c>
      <c r="I75" t="str">
        <f>_xlfn.XLOOKUP(Sheet1[[#This Row],[day_id]],calendar!A75,calendar!J75)</f>
        <v>No Event</v>
      </c>
      <c r="J75" t="str">
        <f>_xlfn.XLOOKUP(Sheet1[[#This Row],[day_id]],calendar!A75,calendar!K75)</f>
        <v>No Event Type</v>
      </c>
      <c r="K75">
        <f>_xlfn.XLOOKUP(Sheet1[[#This Row],[day_id]],calendar!A75,calendar!I75)</f>
        <v>0</v>
      </c>
    </row>
    <row r="76" spans="1:11" x14ac:dyDescent="0.2">
      <c r="A76" t="s">
        <v>368</v>
      </c>
      <c r="B76" t="s">
        <v>369</v>
      </c>
      <c r="C76" t="s">
        <v>76</v>
      </c>
      <c r="D76">
        <v>0</v>
      </c>
      <c r="E76" s="1">
        <f>_xlfn.XLOOKUP(Sheet1[[#This Row],[day_id]],calendar!A76,calendar!B76)</f>
        <v>40646</v>
      </c>
      <c r="F76" t="str">
        <f>_xlfn.XLOOKUP(Sheet1[[#This Row],[day_id]],calendar!A76,calendar!C76)</f>
        <v>Wednesday</v>
      </c>
      <c r="G76">
        <f>_xlfn.XLOOKUP(Sheet1[[#This Row],[day_id]],calendar!A76,calendar!E76)</f>
        <v>4</v>
      </c>
      <c r="H76">
        <f>_xlfn.XLOOKUP(Sheet1[[#This Row],[day_id]],calendar!A76,calendar!F76)</f>
        <v>2011</v>
      </c>
      <c r="I76" t="str">
        <f>_xlfn.XLOOKUP(Sheet1[[#This Row],[day_id]],calendar!A76,calendar!J76)</f>
        <v>No Event</v>
      </c>
      <c r="J76" t="str">
        <f>_xlfn.XLOOKUP(Sheet1[[#This Row],[day_id]],calendar!A76,calendar!K76)</f>
        <v>No Event Type</v>
      </c>
      <c r="K76">
        <f>_xlfn.XLOOKUP(Sheet1[[#This Row],[day_id]],calendar!A76,calendar!I76)</f>
        <v>0</v>
      </c>
    </row>
    <row r="77" spans="1:11" x14ac:dyDescent="0.2">
      <c r="A77" t="s">
        <v>368</v>
      </c>
      <c r="B77" t="s">
        <v>369</v>
      </c>
      <c r="C77" t="s">
        <v>77</v>
      </c>
      <c r="D77">
        <v>0</v>
      </c>
      <c r="E77" s="1">
        <f>_xlfn.XLOOKUP(Sheet1[[#This Row],[day_id]],calendar!A77,calendar!B77)</f>
        <v>40647</v>
      </c>
      <c r="F77" t="str">
        <f>_xlfn.XLOOKUP(Sheet1[[#This Row],[day_id]],calendar!A77,calendar!C77)</f>
        <v>Thursday</v>
      </c>
      <c r="G77">
        <f>_xlfn.XLOOKUP(Sheet1[[#This Row],[day_id]],calendar!A77,calendar!E77)</f>
        <v>4</v>
      </c>
      <c r="H77">
        <f>_xlfn.XLOOKUP(Sheet1[[#This Row],[day_id]],calendar!A77,calendar!F77)</f>
        <v>2011</v>
      </c>
      <c r="I77" t="str">
        <f>_xlfn.XLOOKUP(Sheet1[[#This Row],[day_id]],calendar!A77,calendar!J77)</f>
        <v>No Event</v>
      </c>
      <c r="J77" t="str">
        <f>_xlfn.XLOOKUP(Sheet1[[#This Row],[day_id]],calendar!A77,calendar!K77)</f>
        <v>No Event Type</v>
      </c>
      <c r="K77">
        <f>_xlfn.XLOOKUP(Sheet1[[#This Row],[day_id]],calendar!A77,calendar!I77)</f>
        <v>0</v>
      </c>
    </row>
    <row r="78" spans="1:11" x14ac:dyDescent="0.2">
      <c r="A78" t="s">
        <v>368</v>
      </c>
      <c r="B78" t="s">
        <v>369</v>
      </c>
      <c r="C78" t="s">
        <v>78</v>
      </c>
      <c r="D78">
        <v>0</v>
      </c>
      <c r="E78" s="1">
        <f>_xlfn.XLOOKUP(Sheet1[[#This Row],[day_id]],calendar!A78,calendar!B78)</f>
        <v>40648</v>
      </c>
      <c r="F78" t="str">
        <f>_xlfn.XLOOKUP(Sheet1[[#This Row],[day_id]],calendar!A78,calendar!C78)</f>
        <v>Friday</v>
      </c>
      <c r="G78">
        <f>_xlfn.XLOOKUP(Sheet1[[#This Row],[day_id]],calendar!A78,calendar!E78)</f>
        <v>4</v>
      </c>
      <c r="H78">
        <f>_xlfn.XLOOKUP(Sheet1[[#This Row],[day_id]],calendar!A78,calendar!F78)</f>
        <v>2011</v>
      </c>
      <c r="I78" t="str">
        <f>_xlfn.XLOOKUP(Sheet1[[#This Row],[day_id]],calendar!A78,calendar!J78)</f>
        <v>No Event</v>
      </c>
      <c r="J78" t="str">
        <f>_xlfn.XLOOKUP(Sheet1[[#This Row],[day_id]],calendar!A78,calendar!K78)</f>
        <v>No Event Type</v>
      </c>
      <c r="K78">
        <f>_xlfn.XLOOKUP(Sheet1[[#This Row],[day_id]],calendar!A78,calendar!I78)</f>
        <v>0</v>
      </c>
    </row>
    <row r="79" spans="1:11" x14ac:dyDescent="0.2">
      <c r="A79" t="s">
        <v>368</v>
      </c>
      <c r="B79" t="s">
        <v>369</v>
      </c>
      <c r="C79" t="s">
        <v>79</v>
      </c>
      <c r="D79">
        <v>0</v>
      </c>
      <c r="E79" s="1">
        <f>_xlfn.XLOOKUP(Sheet1[[#This Row],[day_id]],calendar!A79,calendar!B79)</f>
        <v>40649</v>
      </c>
      <c r="F79" t="str">
        <f>_xlfn.XLOOKUP(Sheet1[[#This Row],[day_id]],calendar!A79,calendar!C79)</f>
        <v>Saturday</v>
      </c>
      <c r="G79">
        <f>_xlfn.XLOOKUP(Sheet1[[#This Row],[day_id]],calendar!A79,calendar!E79)</f>
        <v>4</v>
      </c>
      <c r="H79">
        <f>_xlfn.XLOOKUP(Sheet1[[#This Row],[day_id]],calendar!A79,calendar!F79)</f>
        <v>2011</v>
      </c>
      <c r="I79" t="str">
        <f>_xlfn.XLOOKUP(Sheet1[[#This Row],[day_id]],calendar!A79,calendar!J79)</f>
        <v>No Event</v>
      </c>
      <c r="J79" t="str">
        <f>_xlfn.XLOOKUP(Sheet1[[#This Row],[day_id]],calendar!A79,calendar!K79)</f>
        <v>No Event Type</v>
      </c>
      <c r="K79">
        <f>_xlfn.XLOOKUP(Sheet1[[#This Row],[day_id]],calendar!A79,calendar!I79)</f>
        <v>0</v>
      </c>
    </row>
    <row r="80" spans="1:11" x14ac:dyDescent="0.2">
      <c r="A80" t="s">
        <v>368</v>
      </c>
      <c r="B80" t="s">
        <v>369</v>
      </c>
      <c r="C80" t="s">
        <v>80</v>
      </c>
      <c r="D80">
        <v>0</v>
      </c>
      <c r="E80" s="1">
        <f>_xlfn.XLOOKUP(Sheet1[[#This Row],[day_id]],calendar!A80,calendar!B80)</f>
        <v>40650</v>
      </c>
      <c r="F80" t="str">
        <f>_xlfn.XLOOKUP(Sheet1[[#This Row],[day_id]],calendar!A80,calendar!C80)</f>
        <v>Sunday</v>
      </c>
      <c r="G80">
        <f>_xlfn.XLOOKUP(Sheet1[[#This Row],[day_id]],calendar!A80,calendar!E80)</f>
        <v>4</v>
      </c>
      <c r="H80">
        <f>_xlfn.XLOOKUP(Sheet1[[#This Row],[day_id]],calendar!A80,calendar!F80)</f>
        <v>2011</v>
      </c>
      <c r="I80" t="str">
        <f>_xlfn.XLOOKUP(Sheet1[[#This Row],[day_id]],calendar!A80,calendar!J80)</f>
        <v>No Event</v>
      </c>
      <c r="J80" t="str">
        <f>_xlfn.XLOOKUP(Sheet1[[#This Row],[day_id]],calendar!A80,calendar!K80)</f>
        <v>No Event Type</v>
      </c>
      <c r="K80">
        <f>_xlfn.XLOOKUP(Sheet1[[#This Row],[day_id]],calendar!A80,calendar!I80)</f>
        <v>0</v>
      </c>
    </row>
    <row r="81" spans="1:11" x14ac:dyDescent="0.2">
      <c r="A81" t="s">
        <v>368</v>
      </c>
      <c r="B81" t="s">
        <v>369</v>
      </c>
      <c r="C81" t="s">
        <v>81</v>
      </c>
      <c r="D81">
        <v>0</v>
      </c>
      <c r="E81" s="1">
        <f>_xlfn.XLOOKUP(Sheet1[[#This Row],[day_id]],calendar!A81,calendar!B81)</f>
        <v>40651</v>
      </c>
      <c r="F81" t="str">
        <f>_xlfn.XLOOKUP(Sheet1[[#This Row],[day_id]],calendar!A81,calendar!C81)</f>
        <v>Monday</v>
      </c>
      <c r="G81">
        <f>_xlfn.XLOOKUP(Sheet1[[#This Row],[day_id]],calendar!A81,calendar!E81)</f>
        <v>4</v>
      </c>
      <c r="H81">
        <f>_xlfn.XLOOKUP(Sheet1[[#This Row],[day_id]],calendar!A81,calendar!F81)</f>
        <v>2011</v>
      </c>
      <c r="I81" t="str">
        <f>_xlfn.XLOOKUP(Sheet1[[#This Row],[day_id]],calendar!A81,calendar!J81)</f>
        <v>No Event</v>
      </c>
      <c r="J81" t="str">
        <f>_xlfn.XLOOKUP(Sheet1[[#This Row],[day_id]],calendar!A81,calendar!K81)</f>
        <v>No Event Type</v>
      </c>
      <c r="K81">
        <f>_xlfn.XLOOKUP(Sheet1[[#This Row],[day_id]],calendar!A81,calendar!I81)</f>
        <v>0</v>
      </c>
    </row>
    <row r="82" spans="1:11" x14ac:dyDescent="0.2">
      <c r="A82" t="s">
        <v>368</v>
      </c>
      <c r="B82" t="s">
        <v>369</v>
      </c>
      <c r="C82" t="s">
        <v>82</v>
      </c>
      <c r="D82">
        <v>0</v>
      </c>
      <c r="E82" s="1">
        <f>_xlfn.XLOOKUP(Sheet1[[#This Row],[day_id]],calendar!A82,calendar!B82)</f>
        <v>40652</v>
      </c>
      <c r="F82" t="str">
        <f>_xlfn.XLOOKUP(Sheet1[[#This Row],[day_id]],calendar!A82,calendar!C82)</f>
        <v>Tuesday</v>
      </c>
      <c r="G82">
        <f>_xlfn.XLOOKUP(Sheet1[[#This Row],[day_id]],calendar!A82,calendar!E82)</f>
        <v>4</v>
      </c>
      <c r="H82">
        <f>_xlfn.XLOOKUP(Sheet1[[#This Row],[day_id]],calendar!A82,calendar!F82)</f>
        <v>2011</v>
      </c>
      <c r="I82" t="str">
        <f>_xlfn.XLOOKUP(Sheet1[[#This Row],[day_id]],calendar!A82,calendar!J82)</f>
        <v>No Event</v>
      </c>
      <c r="J82" t="str">
        <f>_xlfn.XLOOKUP(Sheet1[[#This Row],[day_id]],calendar!A82,calendar!K82)</f>
        <v>No Event Type</v>
      </c>
      <c r="K82">
        <f>_xlfn.XLOOKUP(Sheet1[[#This Row],[day_id]],calendar!A82,calendar!I82)</f>
        <v>0</v>
      </c>
    </row>
    <row r="83" spans="1:11" x14ac:dyDescent="0.2">
      <c r="A83" t="s">
        <v>368</v>
      </c>
      <c r="B83" t="s">
        <v>369</v>
      </c>
      <c r="C83" t="s">
        <v>83</v>
      </c>
      <c r="D83">
        <v>0</v>
      </c>
      <c r="E83" s="1">
        <f>_xlfn.XLOOKUP(Sheet1[[#This Row],[day_id]],calendar!A83,calendar!B83)</f>
        <v>40653</v>
      </c>
      <c r="F83" t="str">
        <f>_xlfn.XLOOKUP(Sheet1[[#This Row],[day_id]],calendar!A83,calendar!C83)</f>
        <v>Wednesday</v>
      </c>
      <c r="G83">
        <f>_xlfn.XLOOKUP(Sheet1[[#This Row],[day_id]],calendar!A83,calendar!E83)</f>
        <v>4</v>
      </c>
      <c r="H83">
        <f>_xlfn.XLOOKUP(Sheet1[[#This Row],[day_id]],calendar!A83,calendar!F83)</f>
        <v>2011</v>
      </c>
      <c r="I83" t="str">
        <f>_xlfn.XLOOKUP(Sheet1[[#This Row],[day_id]],calendar!A83,calendar!J83)</f>
        <v>No Event</v>
      </c>
      <c r="J83" t="str">
        <f>_xlfn.XLOOKUP(Sheet1[[#This Row],[day_id]],calendar!A83,calendar!K83)</f>
        <v>No Event Type</v>
      </c>
      <c r="K83">
        <f>_xlfn.XLOOKUP(Sheet1[[#This Row],[day_id]],calendar!A83,calendar!I83)</f>
        <v>0</v>
      </c>
    </row>
    <row r="84" spans="1:11" x14ac:dyDescent="0.2">
      <c r="A84" t="s">
        <v>368</v>
      </c>
      <c r="B84" t="s">
        <v>369</v>
      </c>
      <c r="C84" t="s">
        <v>84</v>
      </c>
      <c r="D84">
        <v>0</v>
      </c>
      <c r="E84" s="1">
        <f>_xlfn.XLOOKUP(Sheet1[[#This Row],[day_id]],calendar!A84,calendar!B84)</f>
        <v>40654</v>
      </c>
      <c r="F84" t="str">
        <f>_xlfn.XLOOKUP(Sheet1[[#This Row],[day_id]],calendar!A84,calendar!C84)</f>
        <v>Thursday</v>
      </c>
      <c r="G84">
        <f>_xlfn.XLOOKUP(Sheet1[[#This Row],[day_id]],calendar!A84,calendar!E84)</f>
        <v>4</v>
      </c>
      <c r="H84">
        <f>_xlfn.XLOOKUP(Sheet1[[#This Row],[day_id]],calendar!A84,calendar!F84)</f>
        <v>2011</v>
      </c>
      <c r="I84" t="str">
        <f>_xlfn.XLOOKUP(Sheet1[[#This Row],[day_id]],calendar!A84,calendar!J84)</f>
        <v>No Event</v>
      </c>
      <c r="J84" t="str">
        <f>_xlfn.XLOOKUP(Sheet1[[#This Row],[day_id]],calendar!A84,calendar!K84)</f>
        <v>No Event Type</v>
      </c>
      <c r="K84">
        <f>_xlfn.XLOOKUP(Sheet1[[#This Row],[day_id]],calendar!A84,calendar!I84)</f>
        <v>0</v>
      </c>
    </row>
    <row r="85" spans="1:11" x14ac:dyDescent="0.2">
      <c r="A85" t="s">
        <v>368</v>
      </c>
      <c r="B85" t="s">
        <v>369</v>
      </c>
      <c r="C85" t="s">
        <v>85</v>
      </c>
      <c r="D85">
        <v>0</v>
      </c>
      <c r="E85" s="1">
        <f>_xlfn.XLOOKUP(Sheet1[[#This Row],[day_id]],calendar!A85,calendar!B85)</f>
        <v>40655</v>
      </c>
      <c r="F85" t="str">
        <f>_xlfn.XLOOKUP(Sheet1[[#This Row],[day_id]],calendar!A85,calendar!C85)</f>
        <v>Friday</v>
      </c>
      <c r="G85">
        <f>_xlfn.XLOOKUP(Sheet1[[#This Row],[day_id]],calendar!A85,calendar!E85)</f>
        <v>4</v>
      </c>
      <c r="H85">
        <f>_xlfn.XLOOKUP(Sheet1[[#This Row],[day_id]],calendar!A85,calendar!F85)</f>
        <v>2011</v>
      </c>
      <c r="I85" t="str">
        <f>_xlfn.XLOOKUP(Sheet1[[#This Row],[day_id]],calendar!A85,calendar!J85)</f>
        <v>No Event</v>
      </c>
      <c r="J85" t="str">
        <f>_xlfn.XLOOKUP(Sheet1[[#This Row],[day_id]],calendar!A85,calendar!K85)</f>
        <v>No Event Type</v>
      </c>
      <c r="K85">
        <f>_xlfn.XLOOKUP(Sheet1[[#This Row],[day_id]],calendar!A85,calendar!I85)</f>
        <v>0</v>
      </c>
    </row>
    <row r="86" spans="1:11" x14ac:dyDescent="0.2">
      <c r="A86" t="s">
        <v>368</v>
      </c>
      <c r="B86" t="s">
        <v>369</v>
      </c>
      <c r="C86" t="s">
        <v>86</v>
      </c>
      <c r="D86">
        <v>0</v>
      </c>
      <c r="E86" s="1">
        <f>_xlfn.XLOOKUP(Sheet1[[#This Row],[day_id]],calendar!A86,calendar!B86)</f>
        <v>40656</v>
      </c>
      <c r="F86" t="str">
        <f>_xlfn.XLOOKUP(Sheet1[[#This Row],[day_id]],calendar!A86,calendar!C86)</f>
        <v>Saturday</v>
      </c>
      <c r="G86">
        <f>_xlfn.XLOOKUP(Sheet1[[#This Row],[day_id]],calendar!A86,calendar!E86)</f>
        <v>4</v>
      </c>
      <c r="H86">
        <f>_xlfn.XLOOKUP(Sheet1[[#This Row],[day_id]],calendar!A86,calendar!F86)</f>
        <v>2011</v>
      </c>
      <c r="I86" t="str">
        <f>_xlfn.XLOOKUP(Sheet1[[#This Row],[day_id]],calendar!A86,calendar!J86)</f>
        <v>No Event</v>
      </c>
      <c r="J86" t="str">
        <f>_xlfn.XLOOKUP(Sheet1[[#This Row],[day_id]],calendar!A86,calendar!K86)</f>
        <v>No Event Type</v>
      </c>
      <c r="K86">
        <f>_xlfn.XLOOKUP(Sheet1[[#This Row],[day_id]],calendar!A86,calendar!I86)</f>
        <v>0</v>
      </c>
    </row>
    <row r="87" spans="1:11" x14ac:dyDescent="0.2">
      <c r="A87" t="s">
        <v>368</v>
      </c>
      <c r="B87" t="s">
        <v>369</v>
      </c>
      <c r="C87" t="s">
        <v>87</v>
      </c>
      <c r="D87">
        <v>0</v>
      </c>
      <c r="E87" s="1">
        <f>_xlfn.XLOOKUP(Sheet1[[#This Row],[day_id]],calendar!A87,calendar!B87)</f>
        <v>40657</v>
      </c>
      <c r="F87" t="str">
        <f>_xlfn.XLOOKUP(Sheet1[[#This Row],[day_id]],calendar!A87,calendar!C87)</f>
        <v>Sunday</v>
      </c>
      <c r="G87">
        <f>_xlfn.XLOOKUP(Sheet1[[#This Row],[day_id]],calendar!A87,calendar!E87)</f>
        <v>4</v>
      </c>
      <c r="H87">
        <f>_xlfn.XLOOKUP(Sheet1[[#This Row],[day_id]],calendar!A87,calendar!F87)</f>
        <v>2011</v>
      </c>
      <c r="I87" t="str">
        <f>_xlfn.XLOOKUP(Sheet1[[#This Row],[day_id]],calendar!A87,calendar!J87)</f>
        <v>OrthodoxEaster</v>
      </c>
      <c r="J87" t="str">
        <f>_xlfn.XLOOKUP(Sheet1[[#This Row],[day_id]],calendar!A87,calendar!K87)</f>
        <v>Religious</v>
      </c>
      <c r="K87">
        <f>_xlfn.XLOOKUP(Sheet1[[#This Row],[day_id]],calendar!A87,calendar!I87)</f>
        <v>0</v>
      </c>
    </row>
    <row r="88" spans="1:11" x14ac:dyDescent="0.2">
      <c r="A88" t="s">
        <v>368</v>
      </c>
      <c r="B88" t="s">
        <v>369</v>
      </c>
      <c r="C88" t="s">
        <v>88</v>
      </c>
      <c r="D88">
        <v>0</v>
      </c>
      <c r="E88" s="1">
        <f>_xlfn.XLOOKUP(Sheet1[[#This Row],[day_id]],calendar!A88,calendar!B88)</f>
        <v>40658</v>
      </c>
      <c r="F88" t="str">
        <f>_xlfn.XLOOKUP(Sheet1[[#This Row],[day_id]],calendar!A88,calendar!C88)</f>
        <v>Monday</v>
      </c>
      <c r="G88">
        <f>_xlfn.XLOOKUP(Sheet1[[#This Row],[day_id]],calendar!A88,calendar!E88)</f>
        <v>4</v>
      </c>
      <c r="H88">
        <f>_xlfn.XLOOKUP(Sheet1[[#This Row],[day_id]],calendar!A88,calendar!F88)</f>
        <v>2011</v>
      </c>
      <c r="I88" t="str">
        <f>_xlfn.XLOOKUP(Sheet1[[#This Row],[day_id]],calendar!A88,calendar!J88)</f>
        <v>No Event</v>
      </c>
      <c r="J88" t="str">
        <f>_xlfn.XLOOKUP(Sheet1[[#This Row],[day_id]],calendar!A88,calendar!K88)</f>
        <v>No Event Type</v>
      </c>
      <c r="K88">
        <f>_xlfn.XLOOKUP(Sheet1[[#This Row],[day_id]],calendar!A88,calendar!I88)</f>
        <v>0</v>
      </c>
    </row>
    <row r="89" spans="1:11" x14ac:dyDescent="0.2">
      <c r="A89" t="s">
        <v>368</v>
      </c>
      <c r="B89" t="s">
        <v>369</v>
      </c>
      <c r="C89" t="s">
        <v>89</v>
      </c>
      <c r="D89">
        <v>0</v>
      </c>
      <c r="E89" s="1">
        <f>_xlfn.XLOOKUP(Sheet1[[#This Row],[day_id]],calendar!A89,calendar!B89)</f>
        <v>40659</v>
      </c>
      <c r="F89" t="str">
        <f>_xlfn.XLOOKUP(Sheet1[[#This Row],[day_id]],calendar!A89,calendar!C89)</f>
        <v>Tuesday</v>
      </c>
      <c r="G89">
        <f>_xlfn.XLOOKUP(Sheet1[[#This Row],[day_id]],calendar!A89,calendar!E89)</f>
        <v>4</v>
      </c>
      <c r="H89">
        <f>_xlfn.XLOOKUP(Sheet1[[#This Row],[day_id]],calendar!A89,calendar!F89)</f>
        <v>2011</v>
      </c>
      <c r="I89" t="str">
        <f>_xlfn.XLOOKUP(Sheet1[[#This Row],[day_id]],calendar!A89,calendar!J89)</f>
        <v>Pesach End</v>
      </c>
      <c r="J89" t="str">
        <f>_xlfn.XLOOKUP(Sheet1[[#This Row],[day_id]],calendar!A89,calendar!K89)</f>
        <v>Religious</v>
      </c>
      <c r="K89">
        <f>_xlfn.XLOOKUP(Sheet1[[#This Row],[day_id]],calendar!A89,calendar!I89)</f>
        <v>0</v>
      </c>
    </row>
    <row r="90" spans="1:11" x14ac:dyDescent="0.2">
      <c r="A90" t="s">
        <v>368</v>
      </c>
      <c r="B90" t="s">
        <v>369</v>
      </c>
      <c r="C90" t="s">
        <v>90</v>
      </c>
      <c r="D90">
        <v>0</v>
      </c>
      <c r="E90" s="1">
        <f>_xlfn.XLOOKUP(Sheet1[[#This Row],[day_id]],calendar!A90,calendar!B90)</f>
        <v>40660</v>
      </c>
      <c r="F90" t="str">
        <f>_xlfn.XLOOKUP(Sheet1[[#This Row],[day_id]],calendar!A90,calendar!C90)</f>
        <v>Wednesday</v>
      </c>
      <c r="G90">
        <f>_xlfn.XLOOKUP(Sheet1[[#This Row],[day_id]],calendar!A90,calendar!E90)</f>
        <v>4</v>
      </c>
      <c r="H90">
        <f>_xlfn.XLOOKUP(Sheet1[[#This Row],[day_id]],calendar!A90,calendar!F90)</f>
        <v>2011</v>
      </c>
      <c r="I90" t="str">
        <f>_xlfn.XLOOKUP(Sheet1[[#This Row],[day_id]],calendar!A90,calendar!J90)</f>
        <v>No Event</v>
      </c>
      <c r="J90" t="str">
        <f>_xlfn.XLOOKUP(Sheet1[[#This Row],[day_id]],calendar!A90,calendar!K90)</f>
        <v>No Event Type</v>
      </c>
      <c r="K90">
        <f>_xlfn.XLOOKUP(Sheet1[[#This Row],[day_id]],calendar!A90,calendar!I90)</f>
        <v>0</v>
      </c>
    </row>
    <row r="91" spans="1:11" x14ac:dyDescent="0.2">
      <c r="A91" t="s">
        <v>368</v>
      </c>
      <c r="B91" t="s">
        <v>369</v>
      </c>
      <c r="C91" t="s">
        <v>91</v>
      </c>
      <c r="D91">
        <v>0</v>
      </c>
      <c r="E91" s="1">
        <f>_xlfn.XLOOKUP(Sheet1[[#This Row],[day_id]],calendar!A91,calendar!B91)</f>
        <v>40661</v>
      </c>
      <c r="F91" t="str">
        <f>_xlfn.XLOOKUP(Sheet1[[#This Row],[day_id]],calendar!A91,calendar!C91)</f>
        <v>Thursday</v>
      </c>
      <c r="G91">
        <f>_xlfn.XLOOKUP(Sheet1[[#This Row],[day_id]],calendar!A91,calendar!E91)</f>
        <v>4</v>
      </c>
      <c r="H91">
        <f>_xlfn.XLOOKUP(Sheet1[[#This Row],[day_id]],calendar!A91,calendar!F91)</f>
        <v>2011</v>
      </c>
      <c r="I91" t="str">
        <f>_xlfn.XLOOKUP(Sheet1[[#This Row],[day_id]],calendar!A91,calendar!J91)</f>
        <v>No Event</v>
      </c>
      <c r="J91" t="str">
        <f>_xlfn.XLOOKUP(Sheet1[[#This Row],[day_id]],calendar!A91,calendar!K91)</f>
        <v>No Event Type</v>
      </c>
      <c r="K91">
        <f>_xlfn.XLOOKUP(Sheet1[[#This Row],[day_id]],calendar!A91,calendar!I91)</f>
        <v>0</v>
      </c>
    </row>
    <row r="92" spans="1:11" x14ac:dyDescent="0.2">
      <c r="A92" t="s">
        <v>368</v>
      </c>
      <c r="B92" t="s">
        <v>369</v>
      </c>
      <c r="C92" t="s">
        <v>92</v>
      </c>
      <c r="D92">
        <v>0</v>
      </c>
      <c r="E92" s="1">
        <f>_xlfn.XLOOKUP(Sheet1[[#This Row],[day_id]],calendar!A92,calendar!B92)</f>
        <v>40662</v>
      </c>
      <c r="F92" t="str">
        <f>_xlfn.XLOOKUP(Sheet1[[#This Row],[day_id]],calendar!A92,calendar!C92)</f>
        <v>Friday</v>
      </c>
      <c r="G92">
        <f>_xlfn.XLOOKUP(Sheet1[[#This Row],[day_id]],calendar!A92,calendar!E92)</f>
        <v>4</v>
      </c>
      <c r="H92">
        <f>_xlfn.XLOOKUP(Sheet1[[#This Row],[day_id]],calendar!A92,calendar!F92)</f>
        <v>2011</v>
      </c>
      <c r="I92" t="str">
        <f>_xlfn.XLOOKUP(Sheet1[[#This Row],[day_id]],calendar!A92,calendar!J92)</f>
        <v>No Event</v>
      </c>
      <c r="J92" t="str">
        <f>_xlfn.XLOOKUP(Sheet1[[#This Row],[day_id]],calendar!A92,calendar!K92)</f>
        <v>No Event Type</v>
      </c>
      <c r="K92">
        <f>_xlfn.XLOOKUP(Sheet1[[#This Row],[day_id]],calendar!A92,calendar!I92)</f>
        <v>0</v>
      </c>
    </row>
    <row r="93" spans="1:11" x14ac:dyDescent="0.2">
      <c r="A93" t="s">
        <v>368</v>
      </c>
      <c r="B93" t="s">
        <v>369</v>
      </c>
      <c r="C93" t="s">
        <v>93</v>
      </c>
      <c r="D93">
        <v>0</v>
      </c>
      <c r="E93" s="1">
        <f>_xlfn.XLOOKUP(Sheet1[[#This Row],[day_id]],calendar!A93,calendar!B93)</f>
        <v>40663</v>
      </c>
      <c r="F93" t="str">
        <f>_xlfn.XLOOKUP(Sheet1[[#This Row],[day_id]],calendar!A93,calendar!C93)</f>
        <v>Saturday</v>
      </c>
      <c r="G93">
        <f>_xlfn.XLOOKUP(Sheet1[[#This Row],[day_id]],calendar!A93,calendar!E93)</f>
        <v>4</v>
      </c>
      <c r="H93">
        <f>_xlfn.XLOOKUP(Sheet1[[#This Row],[day_id]],calendar!A93,calendar!F93)</f>
        <v>2011</v>
      </c>
      <c r="I93" t="str">
        <f>_xlfn.XLOOKUP(Sheet1[[#This Row],[day_id]],calendar!A93,calendar!J93)</f>
        <v>No Event</v>
      </c>
      <c r="J93" t="str">
        <f>_xlfn.XLOOKUP(Sheet1[[#This Row],[day_id]],calendar!A93,calendar!K93)</f>
        <v>No Event Type</v>
      </c>
      <c r="K93">
        <f>_xlfn.XLOOKUP(Sheet1[[#This Row],[day_id]],calendar!A93,calendar!I93)</f>
        <v>0</v>
      </c>
    </row>
    <row r="94" spans="1:11" x14ac:dyDescent="0.2">
      <c r="A94" t="s">
        <v>368</v>
      </c>
      <c r="B94" t="s">
        <v>369</v>
      </c>
      <c r="C94" t="s">
        <v>94</v>
      </c>
      <c r="D94">
        <v>0</v>
      </c>
      <c r="E94" s="1">
        <f>_xlfn.XLOOKUP(Sheet1[[#This Row],[day_id]],calendar!A94,calendar!B94)</f>
        <v>40664</v>
      </c>
      <c r="F94" t="str">
        <f>_xlfn.XLOOKUP(Sheet1[[#This Row],[day_id]],calendar!A94,calendar!C94)</f>
        <v>Sunday</v>
      </c>
      <c r="G94">
        <f>_xlfn.XLOOKUP(Sheet1[[#This Row],[day_id]],calendar!A94,calendar!E94)</f>
        <v>5</v>
      </c>
      <c r="H94">
        <f>_xlfn.XLOOKUP(Sheet1[[#This Row],[day_id]],calendar!A94,calendar!F94)</f>
        <v>2011</v>
      </c>
      <c r="I94" t="str">
        <f>_xlfn.XLOOKUP(Sheet1[[#This Row],[day_id]],calendar!A94,calendar!J94)</f>
        <v>No Event</v>
      </c>
      <c r="J94" t="str">
        <f>_xlfn.XLOOKUP(Sheet1[[#This Row],[day_id]],calendar!A94,calendar!K94)</f>
        <v>No Event Type</v>
      </c>
      <c r="K94">
        <f>_xlfn.XLOOKUP(Sheet1[[#This Row],[day_id]],calendar!A94,calendar!I94)</f>
        <v>1</v>
      </c>
    </row>
    <row r="95" spans="1:11" x14ac:dyDescent="0.2">
      <c r="A95" t="s">
        <v>368</v>
      </c>
      <c r="B95" t="s">
        <v>369</v>
      </c>
      <c r="C95" t="s">
        <v>95</v>
      </c>
      <c r="D95">
        <v>0</v>
      </c>
      <c r="E95" s="1">
        <f>_xlfn.XLOOKUP(Sheet1[[#This Row],[day_id]],calendar!A95,calendar!B95)</f>
        <v>40665</v>
      </c>
      <c r="F95" t="str">
        <f>_xlfn.XLOOKUP(Sheet1[[#This Row],[day_id]],calendar!A95,calendar!C95)</f>
        <v>Monday</v>
      </c>
      <c r="G95">
        <f>_xlfn.XLOOKUP(Sheet1[[#This Row],[day_id]],calendar!A95,calendar!E95)</f>
        <v>5</v>
      </c>
      <c r="H95">
        <f>_xlfn.XLOOKUP(Sheet1[[#This Row],[day_id]],calendar!A95,calendar!F95)</f>
        <v>2011</v>
      </c>
      <c r="I95" t="str">
        <f>_xlfn.XLOOKUP(Sheet1[[#This Row],[day_id]],calendar!A95,calendar!J95)</f>
        <v>No Event</v>
      </c>
      <c r="J95" t="str">
        <f>_xlfn.XLOOKUP(Sheet1[[#This Row],[day_id]],calendar!A95,calendar!K95)</f>
        <v>No Event Type</v>
      </c>
      <c r="K95">
        <f>_xlfn.XLOOKUP(Sheet1[[#This Row],[day_id]],calendar!A95,calendar!I95)</f>
        <v>1</v>
      </c>
    </row>
    <row r="96" spans="1:11" x14ac:dyDescent="0.2">
      <c r="A96" t="s">
        <v>368</v>
      </c>
      <c r="B96" t="s">
        <v>369</v>
      </c>
      <c r="C96" t="s">
        <v>96</v>
      </c>
      <c r="D96">
        <v>23</v>
      </c>
      <c r="E96" s="1">
        <f>_xlfn.XLOOKUP(Sheet1[[#This Row],[day_id]],calendar!A96,calendar!B96)</f>
        <v>40666</v>
      </c>
      <c r="F96" t="str">
        <f>_xlfn.XLOOKUP(Sheet1[[#This Row],[day_id]],calendar!A96,calendar!C96)</f>
        <v>Tuesday</v>
      </c>
      <c r="G96">
        <f>_xlfn.XLOOKUP(Sheet1[[#This Row],[day_id]],calendar!A96,calendar!E96)</f>
        <v>5</v>
      </c>
      <c r="H96">
        <f>_xlfn.XLOOKUP(Sheet1[[#This Row],[day_id]],calendar!A96,calendar!F96)</f>
        <v>2011</v>
      </c>
      <c r="I96" t="str">
        <f>_xlfn.XLOOKUP(Sheet1[[#This Row],[day_id]],calendar!A96,calendar!J96)</f>
        <v>No Event</v>
      </c>
      <c r="J96" t="str">
        <f>_xlfn.XLOOKUP(Sheet1[[#This Row],[day_id]],calendar!A96,calendar!K96)</f>
        <v>No Event Type</v>
      </c>
      <c r="K96">
        <f>_xlfn.XLOOKUP(Sheet1[[#This Row],[day_id]],calendar!A96,calendar!I96)</f>
        <v>1</v>
      </c>
    </row>
    <row r="97" spans="1:11" x14ac:dyDescent="0.2">
      <c r="A97" t="s">
        <v>368</v>
      </c>
      <c r="B97" t="s">
        <v>369</v>
      </c>
      <c r="C97" t="s">
        <v>97</v>
      </c>
      <c r="D97">
        <v>6</v>
      </c>
      <c r="E97" s="1">
        <f>_xlfn.XLOOKUP(Sheet1[[#This Row],[day_id]],calendar!A97,calendar!B97)</f>
        <v>40667</v>
      </c>
      <c r="F97" t="str">
        <f>_xlfn.XLOOKUP(Sheet1[[#This Row],[day_id]],calendar!A97,calendar!C97)</f>
        <v>Wednesday</v>
      </c>
      <c r="G97">
        <f>_xlfn.XLOOKUP(Sheet1[[#This Row],[day_id]],calendar!A97,calendar!E97)</f>
        <v>5</v>
      </c>
      <c r="H97">
        <f>_xlfn.XLOOKUP(Sheet1[[#This Row],[day_id]],calendar!A97,calendar!F97)</f>
        <v>2011</v>
      </c>
      <c r="I97" t="str">
        <f>_xlfn.XLOOKUP(Sheet1[[#This Row],[day_id]],calendar!A97,calendar!J97)</f>
        <v>No Event</v>
      </c>
      <c r="J97" t="str">
        <f>_xlfn.XLOOKUP(Sheet1[[#This Row],[day_id]],calendar!A97,calendar!K97)</f>
        <v>No Event Type</v>
      </c>
      <c r="K97">
        <f>_xlfn.XLOOKUP(Sheet1[[#This Row],[day_id]],calendar!A97,calendar!I97)</f>
        <v>1</v>
      </c>
    </row>
    <row r="98" spans="1:11" x14ac:dyDescent="0.2">
      <c r="A98" t="s">
        <v>368</v>
      </c>
      <c r="B98" t="s">
        <v>369</v>
      </c>
      <c r="C98" t="s">
        <v>98</v>
      </c>
      <c r="D98">
        <v>10</v>
      </c>
      <c r="E98" s="1">
        <f>_xlfn.XLOOKUP(Sheet1[[#This Row],[day_id]],calendar!A98,calendar!B98)</f>
        <v>40668</v>
      </c>
      <c r="F98" t="str">
        <f>_xlfn.XLOOKUP(Sheet1[[#This Row],[day_id]],calendar!A98,calendar!C98)</f>
        <v>Thursday</v>
      </c>
      <c r="G98">
        <f>_xlfn.XLOOKUP(Sheet1[[#This Row],[day_id]],calendar!A98,calendar!E98)</f>
        <v>5</v>
      </c>
      <c r="H98">
        <f>_xlfn.XLOOKUP(Sheet1[[#This Row],[day_id]],calendar!A98,calendar!F98)</f>
        <v>2011</v>
      </c>
      <c r="I98" t="str">
        <f>_xlfn.XLOOKUP(Sheet1[[#This Row],[day_id]],calendar!A98,calendar!J98)</f>
        <v>Cinco De Mayo</v>
      </c>
      <c r="J98" t="str">
        <f>_xlfn.XLOOKUP(Sheet1[[#This Row],[day_id]],calendar!A98,calendar!K98)</f>
        <v>Cultural</v>
      </c>
      <c r="K98">
        <f>_xlfn.XLOOKUP(Sheet1[[#This Row],[day_id]],calendar!A98,calendar!I98)</f>
        <v>1</v>
      </c>
    </row>
    <row r="99" spans="1:11" x14ac:dyDescent="0.2">
      <c r="A99" t="s">
        <v>368</v>
      </c>
      <c r="B99" t="s">
        <v>369</v>
      </c>
      <c r="C99" t="s">
        <v>99</v>
      </c>
      <c r="D99">
        <v>10</v>
      </c>
      <c r="E99" s="1">
        <f>_xlfn.XLOOKUP(Sheet1[[#This Row],[day_id]],calendar!A99,calendar!B99)</f>
        <v>40669</v>
      </c>
      <c r="F99" t="str">
        <f>_xlfn.XLOOKUP(Sheet1[[#This Row],[day_id]],calendar!A99,calendar!C99)</f>
        <v>Friday</v>
      </c>
      <c r="G99">
        <f>_xlfn.XLOOKUP(Sheet1[[#This Row],[day_id]],calendar!A99,calendar!E99)</f>
        <v>5</v>
      </c>
      <c r="H99">
        <f>_xlfn.XLOOKUP(Sheet1[[#This Row],[day_id]],calendar!A99,calendar!F99)</f>
        <v>2011</v>
      </c>
      <c r="I99" t="str">
        <f>_xlfn.XLOOKUP(Sheet1[[#This Row],[day_id]],calendar!A99,calendar!J99)</f>
        <v>No Event</v>
      </c>
      <c r="J99" t="str">
        <f>_xlfn.XLOOKUP(Sheet1[[#This Row],[day_id]],calendar!A99,calendar!K99)</f>
        <v>No Event Type</v>
      </c>
      <c r="K99">
        <f>_xlfn.XLOOKUP(Sheet1[[#This Row],[day_id]],calendar!A99,calendar!I99)</f>
        <v>1</v>
      </c>
    </row>
    <row r="100" spans="1:11" x14ac:dyDescent="0.2">
      <c r="A100" t="s">
        <v>368</v>
      </c>
      <c r="B100" t="s">
        <v>369</v>
      </c>
      <c r="C100" t="s">
        <v>100</v>
      </c>
      <c r="D100">
        <v>7</v>
      </c>
      <c r="E100" s="1">
        <f>_xlfn.XLOOKUP(Sheet1[[#This Row],[day_id]],calendar!A100,calendar!B100)</f>
        <v>40670</v>
      </c>
      <c r="F100" t="str">
        <f>_xlfn.XLOOKUP(Sheet1[[#This Row],[day_id]],calendar!A100,calendar!C100)</f>
        <v>Saturday</v>
      </c>
      <c r="G100">
        <f>_xlfn.XLOOKUP(Sheet1[[#This Row],[day_id]],calendar!A100,calendar!E100)</f>
        <v>5</v>
      </c>
      <c r="H100">
        <f>_xlfn.XLOOKUP(Sheet1[[#This Row],[day_id]],calendar!A100,calendar!F100)</f>
        <v>2011</v>
      </c>
      <c r="I100" t="str">
        <f>_xlfn.XLOOKUP(Sheet1[[#This Row],[day_id]],calendar!A100,calendar!J100)</f>
        <v>No Event</v>
      </c>
      <c r="J100" t="str">
        <f>_xlfn.XLOOKUP(Sheet1[[#This Row],[day_id]],calendar!A100,calendar!K100)</f>
        <v>No Event Type</v>
      </c>
      <c r="K100">
        <f>_xlfn.XLOOKUP(Sheet1[[#This Row],[day_id]],calendar!A100,calendar!I100)</f>
        <v>1</v>
      </c>
    </row>
    <row r="101" spans="1:11" x14ac:dyDescent="0.2">
      <c r="A101" t="s">
        <v>368</v>
      </c>
      <c r="B101" t="s">
        <v>369</v>
      </c>
      <c r="C101" t="s">
        <v>101</v>
      </c>
      <c r="D101">
        <v>8</v>
      </c>
      <c r="E101" s="1">
        <f>_xlfn.XLOOKUP(Sheet1[[#This Row],[day_id]],calendar!A101,calendar!B101)</f>
        <v>40671</v>
      </c>
      <c r="F101" t="str">
        <f>_xlfn.XLOOKUP(Sheet1[[#This Row],[day_id]],calendar!A101,calendar!C101)</f>
        <v>Sunday</v>
      </c>
      <c r="G101">
        <f>_xlfn.XLOOKUP(Sheet1[[#This Row],[day_id]],calendar!A101,calendar!E101)</f>
        <v>5</v>
      </c>
      <c r="H101">
        <f>_xlfn.XLOOKUP(Sheet1[[#This Row],[day_id]],calendar!A101,calendar!F101)</f>
        <v>2011</v>
      </c>
      <c r="I101" t="str">
        <f>_xlfn.XLOOKUP(Sheet1[[#This Row],[day_id]],calendar!A101,calendar!J101)</f>
        <v>Mother's day</v>
      </c>
      <c r="J101" t="str">
        <f>_xlfn.XLOOKUP(Sheet1[[#This Row],[day_id]],calendar!A101,calendar!K101)</f>
        <v>Cultural</v>
      </c>
      <c r="K101">
        <f>_xlfn.XLOOKUP(Sheet1[[#This Row],[day_id]],calendar!A101,calendar!I101)</f>
        <v>1</v>
      </c>
    </row>
    <row r="102" spans="1:11" x14ac:dyDescent="0.2">
      <c r="A102" t="s">
        <v>368</v>
      </c>
      <c r="B102" t="s">
        <v>369</v>
      </c>
      <c r="C102" t="s">
        <v>102</v>
      </c>
      <c r="D102">
        <v>19</v>
      </c>
      <c r="E102" s="1">
        <f>_xlfn.XLOOKUP(Sheet1[[#This Row],[day_id]],calendar!A102,calendar!B102)</f>
        <v>40672</v>
      </c>
      <c r="F102" t="str">
        <f>_xlfn.XLOOKUP(Sheet1[[#This Row],[day_id]],calendar!A102,calendar!C102)</f>
        <v>Monday</v>
      </c>
      <c r="G102">
        <f>_xlfn.XLOOKUP(Sheet1[[#This Row],[day_id]],calendar!A102,calendar!E102)</f>
        <v>5</v>
      </c>
      <c r="H102">
        <f>_xlfn.XLOOKUP(Sheet1[[#This Row],[day_id]],calendar!A102,calendar!F102)</f>
        <v>2011</v>
      </c>
      <c r="I102" t="str">
        <f>_xlfn.XLOOKUP(Sheet1[[#This Row],[day_id]],calendar!A102,calendar!J102)</f>
        <v>No Event</v>
      </c>
      <c r="J102" t="str">
        <f>_xlfn.XLOOKUP(Sheet1[[#This Row],[day_id]],calendar!A102,calendar!K102)</f>
        <v>No Event Type</v>
      </c>
      <c r="K102">
        <f>_xlfn.XLOOKUP(Sheet1[[#This Row],[day_id]],calendar!A102,calendar!I102)</f>
        <v>1</v>
      </c>
    </row>
    <row r="103" spans="1:11" x14ac:dyDescent="0.2">
      <c r="A103" t="s">
        <v>368</v>
      </c>
      <c r="B103" t="s">
        <v>369</v>
      </c>
      <c r="C103" t="s">
        <v>103</v>
      </c>
      <c r="D103">
        <v>4</v>
      </c>
      <c r="E103" s="1">
        <f>_xlfn.XLOOKUP(Sheet1[[#This Row],[day_id]],calendar!A103,calendar!B103)</f>
        <v>40673</v>
      </c>
      <c r="F103" t="str">
        <f>_xlfn.XLOOKUP(Sheet1[[#This Row],[day_id]],calendar!A103,calendar!C103)</f>
        <v>Tuesday</v>
      </c>
      <c r="G103">
        <f>_xlfn.XLOOKUP(Sheet1[[#This Row],[day_id]],calendar!A103,calendar!E103)</f>
        <v>5</v>
      </c>
      <c r="H103">
        <f>_xlfn.XLOOKUP(Sheet1[[#This Row],[day_id]],calendar!A103,calendar!F103)</f>
        <v>2011</v>
      </c>
      <c r="I103" t="str">
        <f>_xlfn.XLOOKUP(Sheet1[[#This Row],[day_id]],calendar!A103,calendar!J103)</f>
        <v>No Event</v>
      </c>
      <c r="J103" t="str">
        <f>_xlfn.XLOOKUP(Sheet1[[#This Row],[day_id]],calendar!A103,calendar!K103)</f>
        <v>No Event Type</v>
      </c>
      <c r="K103">
        <f>_xlfn.XLOOKUP(Sheet1[[#This Row],[day_id]],calendar!A103,calendar!I103)</f>
        <v>1</v>
      </c>
    </row>
    <row r="104" spans="1:11" x14ac:dyDescent="0.2">
      <c r="A104" t="s">
        <v>368</v>
      </c>
      <c r="B104" t="s">
        <v>369</v>
      </c>
      <c r="C104" t="s">
        <v>104</v>
      </c>
      <c r="D104">
        <v>1</v>
      </c>
      <c r="E104" s="1">
        <f>_xlfn.XLOOKUP(Sheet1[[#This Row],[day_id]],calendar!A104,calendar!B104)</f>
        <v>40674</v>
      </c>
      <c r="F104" t="str">
        <f>_xlfn.XLOOKUP(Sheet1[[#This Row],[day_id]],calendar!A104,calendar!C104)</f>
        <v>Wednesday</v>
      </c>
      <c r="G104">
        <f>_xlfn.XLOOKUP(Sheet1[[#This Row],[day_id]],calendar!A104,calendar!E104)</f>
        <v>5</v>
      </c>
      <c r="H104">
        <f>_xlfn.XLOOKUP(Sheet1[[#This Row],[day_id]],calendar!A104,calendar!F104)</f>
        <v>2011</v>
      </c>
      <c r="I104" t="str">
        <f>_xlfn.XLOOKUP(Sheet1[[#This Row],[day_id]],calendar!A104,calendar!J104)</f>
        <v>No Event</v>
      </c>
      <c r="J104" t="str">
        <f>_xlfn.XLOOKUP(Sheet1[[#This Row],[day_id]],calendar!A104,calendar!K104)</f>
        <v>No Event Type</v>
      </c>
      <c r="K104">
        <f>_xlfn.XLOOKUP(Sheet1[[#This Row],[day_id]],calendar!A104,calendar!I104)</f>
        <v>0</v>
      </c>
    </row>
    <row r="105" spans="1:11" x14ac:dyDescent="0.2">
      <c r="A105" t="s">
        <v>368</v>
      </c>
      <c r="B105" t="s">
        <v>369</v>
      </c>
      <c r="C105" t="s">
        <v>105</v>
      </c>
      <c r="D105">
        <v>7</v>
      </c>
      <c r="E105" s="1">
        <f>_xlfn.XLOOKUP(Sheet1[[#This Row],[day_id]],calendar!A105,calendar!B105)</f>
        <v>40675</v>
      </c>
      <c r="F105" t="str">
        <f>_xlfn.XLOOKUP(Sheet1[[#This Row],[day_id]],calendar!A105,calendar!C105)</f>
        <v>Thursday</v>
      </c>
      <c r="G105">
        <f>_xlfn.XLOOKUP(Sheet1[[#This Row],[day_id]],calendar!A105,calendar!E105)</f>
        <v>5</v>
      </c>
      <c r="H105">
        <f>_xlfn.XLOOKUP(Sheet1[[#This Row],[day_id]],calendar!A105,calendar!F105)</f>
        <v>2011</v>
      </c>
      <c r="I105" t="str">
        <f>_xlfn.XLOOKUP(Sheet1[[#This Row],[day_id]],calendar!A105,calendar!J105)</f>
        <v>No Event</v>
      </c>
      <c r="J105" t="str">
        <f>_xlfn.XLOOKUP(Sheet1[[#This Row],[day_id]],calendar!A105,calendar!K105)</f>
        <v>No Event Type</v>
      </c>
      <c r="K105">
        <f>_xlfn.XLOOKUP(Sheet1[[#This Row],[day_id]],calendar!A105,calendar!I105)</f>
        <v>0</v>
      </c>
    </row>
    <row r="106" spans="1:11" x14ac:dyDescent="0.2">
      <c r="A106" t="s">
        <v>368</v>
      </c>
      <c r="B106" t="s">
        <v>369</v>
      </c>
      <c r="C106" t="s">
        <v>106</v>
      </c>
      <c r="D106">
        <v>4</v>
      </c>
      <c r="E106" s="1">
        <f>_xlfn.XLOOKUP(Sheet1[[#This Row],[day_id]],calendar!A106,calendar!B106)</f>
        <v>40676</v>
      </c>
      <c r="F106" t="str">
        <f>_xlfn.XLOOKUP(Sheet1[[#This Row],[day_id]],calendar!A106,calendar!C106)</f>
        <v>Friday</v>
      </c>
      <c r="G106">
        <f>_xlfn.XLOOKUP(Sheet1[[#This Row],[day_id]],calendar!A106,calendar!E106)</f>
        <v>5</v>
      </c>
      <c r="H106">
        <f>_xlfn.XLOOKUP(Sheet1[[#This Row],[day_id]],calendar!A106,calendar!F106)</f>
        <v>2011</v>
      </c>
      <c r="I106" t="str">
        <f>_xlfn.XLOOKUP(Sheet1[[#This Row],[day_id]],calendar!A106,calendar!J106)</f>
        <v>No Event</v>
      </c>
      <c r="J106" t="str">
        <f>_xlfn.XLOOKUP(Sheet1[[#This Row],[day_id]],calendar!A106,calendar!K106)</f>
        <v>No Event Type</v>
      </c>
      <c r="K106">
        <f>_xlfn.XLOOKUP(Sheet1[[#This Row],[day_id]],calendar!A106,calendar!I106)</f>
        <v>0</v>
      </c>
    </row>
    <row r="107" spans="1:11" x14ac:dyDescent="0.2">
      <c r="A107" t="s">
        <v>368</v>
      </c>
      <c r="B107" t="s">
        <v>369</v>
      </c>
      <c r="C107" t="s">
        <v>107</v>
      </c>
      <c r="D107">
        <v>8</v>
      </c>
      <c r="E107" s="1">
        <f>_xlfn.XLOOKUP(Sheet1[[#This Row],[day_id]],calendar!A107,calendar!B107)</f>
        <v>40677</v>
      </c>
      <c r="F107" t="str">
        <f>_xlfn.XLOOKUP(Sheet1[[#This Row],[day_id]],calendar!A107,calendar!C107)</f>
        <v>Saturday</v>
      </c>
      <c r="G107">
        <f>_xlfn.XLOOKUP(Sheet1[[#This Row],[day_id]],calendar!A107,calendar!E107)</f>
        <v>5</v>
      </c>
      <c r="H107">
        <f>_xlfn.XLOOKUP(Sheet1[[#This Row],[day_id]],calendar!A107,calendar!F107)</f>
        <v>2011</v>
      </c>
      <c r="I107" t="str">
        <f>_xlfn.XLOOKUP(Sheet1[[#This Row],[day_id]],calendar!A107,calendar!J107)</f>
        <v>No Event</v>
      </c>
      <c r="J107" t="str">
        <f>_xlfn.XLOOKUP(Sheet1[[#This Row],[day_id]],calendar!A107,calendar!K107)</f>
        <v>No Event Type</v>
      </c>
      <c r="K107">
        <f>_xlfn.XLOOKUP(Sheet1[[#This Row],[day_id]],calendar!A107,calendar!I107)</f>
        <v>0</v>
      </c>
    </row>
    <row r="108" spans="1:11" x14ac:dyDescent="0.2">
      <c r="A108" t="s">
        <v>368</v>
      </c>
      <c r="B108" t="s">
        <v>369</v>
      </c>
      <c r="C108" t="s">
        <v>108</v>
      </c>
      <c r="D108">
        <v>2</v>
      </c>
      <c r="E108" s="1">
        <f>_xlfn.XLOOKUP(Sheet1[[#This Row],[day_id]],calendar!A108,calendar!B108)</f>
        <v>40678</v>
      </c>
      <c r="F108" t="str">
        <f>_xlfn.XLOOKUP(Sheet1[[#This Row],[day_id]],calendar!A108,calendar!C108)</f>
        <v>Sunday</v>
      </c>
      <c r="G108">
        <f>_xlfn.XLOOKUP(Sheet1[[#This Row],[day_id]],calendar!A108,calendar!E108)</f>
        <v>5</v>
      </c>
      <c r="H108">
        <f>_xlfn.XLOOKUP(Sheet1[[#This Row],[day_id]],calendar!A108,calendar!F108)</f>
        <v>2011</v>
      </c>
      <c r="I108" t="str">
        <f>_xlfn.XLOOKUP(Sheet1[[#This Row],[day_id]],calendar!A108,calendar!J108)</f>
        <v>No Event</v>
      </c>
      <c r="J108" t="str">
        <f>_xlfn.XLOOKUP(Sheet1[[#This Row],[day_id]],calendar!A108,calendar!K108)</f>
        <v>No Event Type</v>
      </c>
      <c r="K108">
        <f>_xlfn.XLOOKUP(Sheet1[[#This Row],[day_id]],calendar!A108,calendar!I108)</f>
        <v>0</v>
      </c>
    </row>
    <row r="109" spans="1:11" x14ac:dyDescent="0.2">
      <c r="A109" t="s">
        <v>368</v>
      </c>
      <c r="B109" t="s">
        <v>369</v>
      </c>
      <c r="C109" t="s">
        <v>109</v>
      </c>
      <c r="D109">
        <v>4</v>
      </c>
      <c r="E109" s="1">
        <f>_xlfn.XLOOKUP(Sheet1[[#This Row],[day_id]],calendar!A109,calendar!B109)</f>
        <v>40679</v>
      </c>
      <c r="F109" t="str">
        <f>_xlfn.XLOOKUP(Sheet1[[#This Row],[day_id]],calendar!A109,calendar!C109)</f>
        <v>Monday</v>
      </c>
      <c r="G109">
        <f>_xlfn.XLOOKUP(Sheet1[[#This Row],[day_id]],calendar!A109,calendar!E109)</f>
        <v>5</v>
      </c>
      <c r="H109">
        <f>_xlfn.XLOOKUP(Sheet1[[#This Row],[day_id]],calendar!A109,calendar!F109)</f>
        <v>2011</v>
      </c>
      <c r="I109" t="str">
        <f>_xlfn.XLOOKUP(Sheet1[[#This Row],[day_id]],calendar!A109,calendar!J109)</f>
        <v>No Event</v>
      </c>
      <c r="J109" t="str">
        <f>_xlfn.XLOOKUP(Sheet1[[#This Row],[day_id]],calendar!A109,calendar!K109)</f>
        <v>No Event Type</v>
      </c>
      <c r="K109">
        <f>_xlfn.XLOOKUP(Sheet1[[#This Row],[day_id]],calendar!A109,calendar!I109)</f>
        <v>0</v>
      </c>
    </row>
    <row r="110" spans="1:11" x14ac:dyDescent="0.2">
      <c r="A110" t="s">
        <v>368</v>
      </c>
      <c r="B110" t="s">
        <v>369</v>
      </c>
      <c r="C110" t="s">
        <v>110</v>
      </c>
      <c r="D110">
        <v>0</v>
      </c>
      <c r="E110" s="1">
        <f>_xlfn.XLOOKUP(Sheet1[[#This Row],[day_id]],calendar!A110,calendar!B110)</f>
        <v>40680</v>
      </c>
      <c r="F110" t="str">
        <f>_xlfn.XLOOKUP(Sheet1[[#This Row],[day_id]],calendar!A110,calendar!C110)</f>
        <v>Tuesday</v>
      </c>
      <c r="G110">
        <f>_xlfn.XLOOKUP(Sheet1[[#This Row],[day_id]],calendar!A110,calendar!E110)</f>
        <v>5</v>
      </c>
      <c r="H110">
        <f>_xlfn.XLOOKUP(Sheet1[[#This Row],[day_id]],calendar!A110,calendar!F110)</f>
        <v>2011</v>
      </c>
      <c r="I110" t="str">
        <f>_xlfn.XLOOKUP(Sheet1[[#This Row],[day_id]],calendar!A110,calendar!J110)</f>
        <v>No Event</v>
      </c>
      <c r="J110" t="str">
        <f>_xlfn.XLOOKUP(Sheet1[[#This Row],[day_id]],calendar!A110,calendar!K110)</f>
        <v>No Event Type</v>
      </c>
      <c r="K110">
        <f>_xlfn.XLOOKUP(Sheet1[[#This Row],[day_id]],calendar!A110,calendar!I110)</f>
        <v>0</v>
      </c>
    </row>
    <row r="111" spans="1:11" x14ac:dyDescent="0.2">
      <c r="A111" t="s">
        <v>368</v>
      </c>
      <c r="B111" t="s">
        <v>369</v>
      </c>
      <c r="C111" t="s">
        <v>111</v>
      </c>
      <c r="D111">
        <v>3</v>
      </c>
      <c r="E111" s="1">
        <f>_xlfn.XLOOKUP(Sheet1[[#This Row],[day_id]],calendar!A111,calendar!B111)</f>
        <v>40681</v>
      </c>
      <c r="F111" t="str">
        <f>_xlfn.XLOOKUP(Sheet1[[#This Row],[day_id]],calendar!A111,calendar!C111)</f>
        <v>Wednesday</v>
      </c>
      <c r="G111">
        <f>_xlfn.XLOOKUP(Sheet1[[#This Row],[day_id]],calendar!A111,calendar!E111)</f>
        <v>5</v>
      </c>
      <c r="H111">
        <f>_xlfn.XLOOKUP(Sheet1[[#This Row],[day_id]],calendar!A111,calendar!F111)</f>
        <v>2011</v>
      </c>
      <c r="I111" t="str">
        <f>_xlfn.XLOOKUP(Sheet1[[#This Row],[day_id]],calendar!A111,calendar!J111)</f>
        <v>No Event</v>
      </c>
      <c r="J111" t="str">
        <f>_xlfn.XLOOKUP(Sheet1[[#This Row],[day_id]],calendar!A111,calendar!K111)</f>
        <v>No Event Type</v>
      </c>
      <c r="K111">
        <f>_xlfn.XLOOKUP(Sheet1[[#This Row],[day_id]],calendar!A111,calendar!I111)</f>
        <v>0</v>
      </c>
    </row>
    <row r="112" spans="1:11" x14ac:dyDescent="0.2">
      <c r="A112" t="s">
        <v>368</v>
      </c>
      <c r="B112" t="s">
        <v>369</v>
      </c>
      <c r="C112" t="s">
        <v>112</v>
      </c>
      <c r="D112">
        <v>0</v>
      </c>
      <c r="E112" s="1">
        <f>_xlfn.XLOOKUP(Sheet1[[#This Row],[day_id]],calendar!A112,calendar!B112)</f>
        <v>40682</v>
      </c>
      <c r="F112" t="str">
        <f>_xlfn.XLOOKUP(Sheet1[[#This Row],[day_id]],calendar!A112,calendar!C112)</f>
        <v>Thursday</v>
      </c>
      <c r="G112">
        <f>_xlfn.XLOOKUP(Sheet1[[#This Row],[day_id]],calendar!A112,calendar!E112)</f>
        <v>5</v>
      </c>
      <c r="H112">
        <f>_xlfn.XLOOKUP(Sheet1[[#This Row],[day_id]],calendar!A112,calendar!F112)</f>
        <v>2011</v>
      </c>
      <c r="I112" t="str">
        <f>_xlfn.XLOOKUP(Sheet1[[#This Row],[day_id]],calendar!A112,calendar!J112)</f>
        <v>No Event</v>
      </c>
      <c r="J112" t="str">
        <f>_xlfn.XLOOKUP(Sheet1[[#This Row],[day_id]],calendar!A112,calendar!K112)</f>
        <v>No Event Type</v>
      </c>
      <c r="K112">
        <f>_xlfn.XLOOKUP(Sheet1[[#This Row],[day_id]],calendar!A112,calendar!I112)</f>
        <v>0</v>
      </c>
    </row>
    <row r="113" spans="1:11" x14ac:dyDescent="0.2">
      <c r="A113" t="s">
        <v>368</v>
      </c>
      <c r="B113" t="s">
        <v>369</v>
      </c>
      <c r="C113" t="s">
        <v>113</v>
      </c>
      <c r="D113">
        <v>5</v>
      </c>
      <c r="E113" s="1">
        <f>_xlfn.XLOOKUP(Sheet1[[#This Row],[day_id]],calendar!A113,calendar!B113)</f>
        <v>40683</v>
      </c>
      <c r="F113" t="str">
        <f>_xlfn.XLOOKUP(Sheet1[[#This Row],[day_id]],calendar!A113,calendar!C113)</f>
        <v>Friday</v>
      </c>
      <c r="G113">
        <f>_xlfn.XLOOKUP(Sheet1[[#This Row],[day_id]],calendar!A113,calendar!E113)</f>
        <v>5</v>
      </c>
      <c r="H113">
        <f>_xlfn.XLOOKUP(Sheet1[[#This Row],[day_id]],calendar!A113,calendar!F113)</f>
        <v>2011</v>
      </c>
      <c r="I113" t="str">
        <f>_xlfn.XLOOKUP(Sheet1[[#This Row],[day_id]],calendar!A113,calendar!J113)</f>
        <v>No Event</v>
      </c>
      <c r="J113" t="str">
        <f>_xlfn.XLOOKUP(Sheet1[[#This Row],[day_id]],calendar!A113,calendar!K113)</f>
        <v>No Event Type</v>
      </c>
      <c r="K113">
        <f>_xlfn.XLOOKUP(Sheet1[[#This Row],[day_id]],calendar!A113,calendar!I113)</f>
        <v>0</v>
      </c>
    </row>
    <row r="114" spans="1:11" x14ac:dyDescent="0.2">
      <c r="A114" t="s">
        <v>368</v>
      </c>
      <c r="B114" t="s">
        <v>369</v>
      </c>
      <c r="C114" t="s">
        <v>114</v>
      </c>
      <c r="D114">
        <v>3</v>
      </c>
      <c r="E114" s="1">
        <f>_xlfn.XLOOKUP(Sheet1[[#This Row],[day_id]],calendar!A114,calendar!B114)</f>
        <v>40684</v>
      </c>
      <c r="F114" t="str">
        <f>_xlfn.XLOOKUP(Sheet1[[#This Row],[day_id]],calendar!A114,calendar!C114)</f>
        <v>Saturday</v>
      </c>
      <c r="G114">
        <f>_xlfn.XLOOKUP(Sheet1[[#This Row],[day_id]],calendar!A114,calendar!E114)</f>
        <v>5</v>
      </c>
      <c r="H114">
        <f>_xlfn.XLOOKUP(Sheet1[[#This Row],[day_id]],calendar!A114,calendar!F114)</f>
        <v>2011</v>
      </c>
      <c r="I114" t="str">
        <f>_xlfn.XLOOKUP(Sheet1[[#This Row],[day_id]],calendar!A114,calendar!J114)</f>
        <v>No Event</v>
      </c>
      <c r="J114" t="str">
        <f>_xlfn.XLOOKUP(Sheet1[[#This Row],[day_id]],calendar!A114,calendar!K114)</f>
        <v>No Event Type</v>
      </c>
      <c r="K114">
        <f>_xlfn.XLOOKUP(Sheet1[[#This Row],[day_id]],calendar!A114,calendar!I114)</f>
        <v>0</v>
      </c>
    </row>
    <row r="115" spans="1:11" x14ac:dyDescent="0.2">
      <c r="A115" t="s">
        <v>368</v>
      </c>
      <c r="B115" t="s">
        <v>369</v>
      </c>
      <c r="C115" t="s">
        <v>115</v>
      </c>
      <c r="D115">
        <v>2</v>
      </c>
      <c r="E115" s="1">
        <f>_xlfn.XLOOKUP(Sheet1[[#This Row],[day_id]],calendar!A115,calendar!B115)</f>
        <v>40685</v>
      </c>
      <c r="F115" t="str">
        <f>_xlfn.XLOOKUP(Sheet1[[#This Row],[day_id]],calendar!A115,calendar!C115)</f>
        <v>Sunday</v>
      </c>
      <c r="G115">
        <f>_xlfn.XLOOKUP(Sheet1[[#This Row],[day_id]],calendar!A115,calendar!E115)</f>
        <v>5</v>
      </c>
      <c r="H115">
        <f>_xlfn.XLOOKUP(Sheet1[[#This Row],[day_id]],calendar!A115,calendar!F115)</f>
        <v>2011</v>
      </c>
      <c r="I115" t="str">
        <f>_xlfn.XLOOKUP(Sheet1[[#This Row],[day_id]],calendar!A115,calendar!J115)</f>
        <v>No Event</v>
      </c>
      <c r="J115" t="str">
        <f>_xlfn.XLOOKUP(Sheet1[[#This Row],[day_id]],calendar!A115,calendar!K115)</f>
        <v>No Event Type</v>
      </c>
      <c r="K115">
        <f>_xlfn.XLOOKUP(Sheet1[[#This Row],[day_id]],calendar!A115,calendar!I115)</f>
        <v>0</v>
      </c>
    </row>
    <row r="116" spans="1:11" x14ac:dyDescent="0.2">
      <c r="A116" t="s">
        <v>368</v>
      </c>
      <c r="B116" t="s">
        <v>369</v>
      </c>
      <c r="C116" t="s">
        <v>116</v>
      </c>
      <c r="D116">
        <v>0</v>
      </c>
      <c r="E116" s="1">
        <f>_xlfn.XLOOKUP(Sheet1[[#This Row],[day_id]],calendar!A116,calendar!B116)</f>
        <v>40686</v>
      </c>
      <c r="F116" t="str">
        <f>_xlfn.XLOOKUP(Sheet1[[#This Row],[day_id]],calendar!A116,calendar!C116)</f>
        <v>Monday</v>
      </c>
      <c r="G116">
        <f>_xlfn.XLOOKUP(Sheet1[[#This Row],[day_id]],calendar!A116,calendar!E116)</f>
        <v>5</v>
      </c>
      <c r="H116">
        <f>_xlfn.XLOOKUP(Sheet1[[#This Row],[day_id]],calendar!A116,calendar!F116)</f>
        <v>2011</v>
      </c>
      <c r="I116" t="str">
        <f>_xlfn.XLOOKUP(Sheet1[[#This Row],[day_id]],calendar!A116,calendar!J116)</f>
        <v>No Event</v>
      </c>
      <c r="J116" t="str">
        <f>_xlfn.XLOOKUP(Sheet1[[#This Row],[day_id]],calendar!A116,calendar!K116)</f>
        <v>No Event Type</v>
      </c>
      <c r="K116">
        <f>_xlfn.XLOOKUP(Sheet1[[#This Row],[day_id]],calendar!A116,calendar!I116)</f>
        <v>0</v>
      </c>
    </row>
    <row r="117" spans="1:11" x14ac:dyDescent="0.2">
      <c r="A117" t="s">
        <v>368</v>
      </c>
      <c r="B117" t="s">
        <v>369</v>
      </c>
      <c r="C117" t="s">
        <v>117</v>
      </c>
      <c r="D117">
        <v>1</v>
      </c>
      <c r="E117" s="1">
        <f>_xlfn.XLOOKUP(Sheet1[[#This Row],[day_id]],calendar!A117,calendar!B117)</f>
        <v>40687</v>
      </c>
      <c r="F117" t="str">
        <f>_xlfn.XLOOKUP(Sheet1[[#This Row],[day_id]],calendar!A117,calendar!C117)</f>
        <v>Tuesday</v>
      </c>
      <c r="G117">
        <f>_xlfn.XLOOKUP(Sheet1[[#This Row],[day_id]],calendar!A117,calendar!E117)</f>
        <v>5</v>
      </c>
      <c r="H117">
        <f>_xlfn.XLOOKUP(Sheet1[[#This Row],[day_id]],calendar!A117,calendar!F117)</f>
        <v>2011</v>
      </c>
      <c r="I117" t="str">
        <f>_xlfn.XLOOKUP(Sheet1[[#This Row],[day_id]],calendar!A117,calendar!J117)</f>
        <v>No Event</v>
      </c>
      <c r="J117" t="str">
        <f>_xlfn.XLOOKUP(Sheet1[[#This Row],[day_id]],calendar!A117,calendar!K117)</f>
        <v>No Event Type</v>
      </c>
      <c r="K117">
        <f>_xlfn.XLOOKUP(Sheet1[[#This Row],[day_id]],calendar!A117,calendar!I117)</f>
        <v>0</v>
      </c>
    </row>
    <row r="118" spans="1:11" x14ac:dyDescent="0.2">
      <c r="A118" t="s">
        <v>368</v>
      </c>
      <c r="B118" t="s">
        <v>369</v>
      </c>
      <c r="C118" t="s">
        <v>118</v>
      </c>
      <c r="D118">
        <v>0</v>
      </c>
      <c r="E118" s="1">
        <f>_xlfn.XLOOKUP(Sheet1[[#This Row],[day_id]],calendar!A118,calendar!B118)</f>
        <v>40688</v>
      </c>
      <c r="F118" t="str">
        <f>_xlfn.XLOOKUP(Sheet1[[#This Row],[day_id]],calendar!A118,calendar!C118)</f>
        <v>Wednesday</v>
      </c>
      <c r="G118">
        <f>_xlfn.XLOOKUP(Sheet1[[#This Row],[day_id]],calendar!A118,calendar!E118)</f>
        <v>5</v>
      </c>
      <c r="H118">
        <f>_xlfn.XLOOKUP(Sheet1[[#This Row],[day_id]],calendar!A118,calendar!F118)</f>
        <v>2011</v>
      </c>
      <c r="I118" t="str">
        <f>_xlfn.XLOOKUP(Sheet1[[#This Row],[day_id]],calendar!A118,calendar!J118)</f>
        <v>No Event</v>
      </c>
      <c r="J118" t="str">
        <f>_xlfn.XLOOKUP(Sheet1[[#This Row],[day_id]],calendar!A118,calendar!K118)</f>
        <v>No Event Type</v>
      </c>
      <c r="K118">
        <f>_xlfn.XLOOKUP(Sheet1[[#This Row],[day_id]],calendar!A118,calendar!I118)</f>
        <v>0</v>
      </c>
    </row>
    <row r="119" spans="1:11" x14ac:dyDescent="0.2">
      <c r="A119" t="s">
        <v>368</v>
      </c>
      <c r="B119" t="s">
        <v>369</v>
      </c>
      <c r="C119" t="s">
        <v>119</v>
      </c>
      <c r="D119">
        <v>0</v>
      </c>
      <c r="E119" s="1">
        <f>_xlfn.XLOOKUP(Sheet1[[#This Row],[day_id]],calendar!A119,calendar!B119)</f>
        <v>40689</v>
      </c>
      <c r="F119" t="str">
        <f>_xlfn.XLOOKUP(Sheet1[[#This Row],[day_id]],calendar!A119,calendar!C119)</f>
        <v>Thursday</v>
      </c>
      <c r="G119">
        <f>_xlfn.XLOOKUP(Sheet1[[#This Row],[day_id]],calendar!A119,calendar!E119)</f>
        <v>5</v>
      </c>
      <c r="H119">
        <f>_xlfn.XLOOKUP(Sheet1[[#This Row],[day_id]],calendar!A119,calendar!F119)</f>
        <v>2011</v>
      </c>
      <c r="I119" t="str">
        <f>_xlfn.XLOOKUP(Sheet1[[#This Row],[day_id]],calendar!A119,calendar!J119)</f>
        <v>No Event</v>
      </c>
      <c r="J119" t="str">
        <f>_xlfn.XLOOKUP(Sheet1[[#This Row],[day_id]],calendar!A119,calendar!K119)</f>
        <v>No Event Type</v>
      </c>
      <c r="K119">
        <f>_xlfn.XLOOKUP(Sheet1[[#This Row],[day_id]],calendar!A119,calendar!I119)</f>
        <v>0</v>
      </c>
    </row>
    <row r="120" spans="1:11" x14ac:dyDescent="0.2">
      <c r="A120" t="s">
        <v>368</v>
      </c>
      <c r="B120" t="s">
        <v>369</v>
      </c>
      <c r="C120" t="s">
        <v>120</v>
      </c>
      <c r="D120">
        <v>0</v>
      </c>
      <c r="E120" s="1">
        <f>_xlfn.XLOOKUP(Sheet1[[#This Row],[day_id]],calendar!A120,calendar!B120)</f>
        <v>40690</v>
      </c>
      <c r="F120" t="str">
        <f>_xlfn.XLOOKUP(Sheet1[[#This Row],[day_id]],calendar!A120,calendar!C120)</f>
        <v>Friday</v>
      </c>
      <c r="G120">
        <f>_xlfn.XLOOKUP(Sheet1[[#This Row],[day_id]],calendar!A120,calendar!E120)</f>
        <v>5</v>
      </c>
      <c r="H120">
        <f>_xlfn.XLOOKUP(Sheet1[[#This Row],[day_id]],calendar!A120,calendar!F120)</f>
        <v>2011</v>
      </c>
      <c r="I120" t="str">
        <f>_xlfn.XLOOKUP(Sheet1[[#This Row],[day_id]],calendar!A120,calendar!J120)</f>
        <v>No Event</v>
      </c>
      <c r="J120" t="str">
        <f>_xlfn.XLOOKUP(Sheet1[[#This Row],[day_id]],calendar!A120,calendar!K120)</f>
        <v>No Event Type</v>
      </c>
      <c r="K120">
        <f>_xlfn.XLOOKUP(Sheet1[[#This Row],[day_id]],calendar!A120,calendar!I120)</f>
        <v>0</v>
      </c>
    </row>
    <row r="121" spans="1:11" x14ac:dyDescent="0.2">
      <c r="A121" t="s">
        <v>368</v>
      </c>
      <c r="B121" t="s">
        <v>369</v>
      </c>
      <c r="C121" t="s">
        <v>121</v>
      </c>
      <c r="D121">
        <v>0</v>
      </c>
      <c r="E121" s="1">
        <f>_xlfn.XLOOKUP(Sheet1[[#This Row],[day_id]],calendar!A121,calendar!B121)</f>
        <v>40691</v>
      </c>
      <c r="F121" t="str">
        <f>_xlfn.XLOOKUP(Sheet1[[#This Row],[day_id]],calendar!A121,calendar!C121)</f>
        <v>Saturday</v>
      </c>
      <c r="G121">
        <f>_xlfn.XLOOKUP(Sheet1[[#This Row],[day_id]],calendar!A121,calendar!E121)</f>
        <v>5</v>
      </c>
      <c r="H121">
        <f>_xlfn.XLOOKUP(Sheet1[[#This Row],[day_id]],calendar!A121,calendar!F121)</f>
        <v>2011</v>
      </c>
      <c r="I121" t="str">
        <f>_xlfn.XLOOKUP(Sheet1[[#This Row],[day_id]],calendar!A121,calendar!J121)</f>
        <v>No Event</v>
      </c>
      <c r="J121" t="str">
        <f>_xlfn.XLOOKUP(Sheet1[[#This Row],[day_id]],calendar!A121,calendar!K121)</f>
        <v>No Event Type</v>
      </c>
      <c r="K121">
        <f>_xlfn.XLOOKUP(Sheet1[[#This Row],[day_id]],calendar!A121,calendar!I121)</f>
        <v>0</v>
      </c>
    </row>
    <row r="122" spans="1:11" x14ac:dyDescent="0.2">
      <c r="A122" t="s">
        <v>368</v>
      </c>
      <c r="B122" t="s">
        <v>369</v>
      </c>
      <c r="C122" t="s">
        <v>122</v>
      </c>
      <c r="D122">
        <v>0</v>
      </c>
      <c r="E122" s="1">
        <f>_xlfn.XLOOKUP(Sheet1[[#This Row],[day_id]],calendar!A122,calendar!B122)</f>
        <v>40692</v>
      </c>
      <c r="F122" t="str">
        <f>_xlfn.XLOOKUP(Sheet1[[#This Row],[day_id]],calendar!A122,calendar!C122)</f>
        <v>Sunday</v>
      </c>
      <c r="G122">
        <f>_xlfn.XLOOKUP(Sheet1[[#This Row],[day_id]],calendar!A122,calendar!E122)</f>
        <v>5</v>
      </c>
      <c r="H122">
        <f>_xlfn.XLOOKUP(Sheet1[[#This Row],[day_id]],calendar!A122,calendar!F122)</f>
        <v>2011</v>
      </c>
      <c r="I122" t="str">
        <f>_xlfn.XLOOKUP(Sheet1[[#This Row],[day_id]],calendar!A122,calendar!J122)</f>
        <v>No Event</v>
      </c>
      <c r="J122" t="str">
        <f>_xlfn.XLOOKUP(Sheet1[[#This Row],[day_id]],calendar!A122,calendar!K122)</f>
        <v>No Event Type</v>
      </c>
      <c r="K122">
        <f>_xlfn.XLOOKUP(Sheet1[[#This Row],[day_id]],calendar!A122,calendar!I122)</f>
        <v>0</v>
      </c>
    </row>
    <row r="123" spans="1:11" x14ac:dyDescent="0.2">
      <c r="A123" t="s">
        <v>368</v>
      </c>
      <c r="B123" t="s">
        <v>369</v>
      </c>
      <c r="C123" t="s">
        <v>123</v>
      </c>
      <c r="D123">
        <v>4</v>
      </c>
      <c r="E123" s="1">
        <f>_xlfn.XLOOKUP(Sheet1[[#This Row],[day_id]],calendar!A123,calendar!B123)</f>
        <v>40693</v>
      </c>
      <c r="F123" t="str">
        <f>_xlfn.XLOOKUP(Sheet1[[#This Row],[day_id]],calendar!A123,calendar!C123)</f>
        <v>Monday</v>
      </c>
      <c r="G123">
        <f>_xlfn.XLOOKUP(Sheet1[[#This Row],[day_id]],calendar!A123,calendar!E123)</f>
        <v>5</v>
      </c>
      <c r="H123">
        <f>_xlfn.XLOOKUP(Sheet1[[#This Row],[day_id]],calendar!A123,calendar!F123)</f>
        <v>2011</v>
      </c>
      <c r="I123" t="str">
        <f>_xlfn.XLOOKUP(Sheet1[[#This Row],[day_id]],calendar!A123,calendar!J123)</f>
        <v>MemorialDay</v>
      </c>
      <c r="J123" t="str">
        <f>_xlfn.XLOOKUP(Sheet1[[#This Row],[day_id]],calendar!A123,calendar!K123)</f>
        <v>National</v>
      </c>
      <c r="K123">
        <f>_xlfn.XLOOKUP(Sheet1[[#This Row],[day_id]],calendar!A123,calendar!I123)</f>
        <v>0</v>
      </c>
    </row>
    <row r="124" spans="1:11" x14ac:dyDescent="0.2">
      <c r="A124" t="s">
        <v>368</v>
      </c>
      <c r="B124" t="s">
        <v>369</v>
      </c>
      <c r="C124" t="s">
        <v>124</v>
      </c>
      <c r="D124">
        <v>6</v>
      </c>
      <c r="E124" s="1">
        <f>_xlfn.XLOOKUP(Sheet1[[#This Row],[day_id]],calendar!A124,calendar!B124)</f>
        <v>40694</v>
      </c>
      <c r="F124" t="str">
        <f>_xlfn.XLOOKUP(Sheet1[[#This Row],[day_id]],calendar!A124,calendar!C124)</f>
        <v>Tuesday</v>
      </c>
      <c r="G124">
        <f>_xlfn.XLOOKUP(Sheet1[[#This Row],[day_id]],calendar!A124,calendar!E124)</f>
        <v>5</v>
      </c>
      <c r="H124">
        <f>_xlfn.XLOOKUP(Sheet1[[#This Row],[day_id]],calendar!A124,calendar!F124)</f>
        <v>2011</v>
      </c>
      <c r="I124" t="str">
        <f>_xlfn.XLOOKUP(Sheet1[[#This Row],[day_id]],calendar!A124,calendar!J124)</f>
        <v>NBAFinalsStart</v>
      </c>
      <c r="J124" t="str">
        <f>_xlfn.XLOOKUP(Sheet1[[#This Row],[day_id]],calendar!A124,calendar!K124)</f>
        <v>Sporting</v>
      </c>
      <c r="K124">
        <f>_xlfn.XLOOKUP(Sheet1[[#This Row],[day_id]],calendar!A124,calendar!I124)</f>
        <v>0</v>
      </c>
    </row>
    <row r="125" spans="1:11" x14ac:dyDescent="0.2">
      <c r="A125" t="s">
        <v>368</v>
      </c>
      <c r="B125" t="s">
        <v>369</v>
      </c>
      <c r="C125" t="s">
        <v>125</v>
      </c>
      <c r="D125">
        <v>4</v>
      </c>
      <c r="E125" s="1">
        <f>_xlfn.XLOOKUP(Sheet1[[#This Row],[day_id]],calendar!A125,calendar!B125)</f>
        <v>40695</v>
      </c>
      <c r="F125" t="str">
        <f>_xlfn.XLOOKUP(Sheet1[[#This Row],[day_id]],calendar!A125,calendar!C125)</f>
        <v>Wednesday</v>
      </c>
      <c r="G125">
        <f>_xlfn.XLOOKUP(Sheet1[[#This Row],[day_id]],calendar!A125,calendar!E125)</f>
        <v>6</v>
      </c>
      <c r="H125">
        <f>_xlfn.XLOOKUP(Sheet1[[#This Row],[day_id]],calendar!A125,calendar!F125)</f>
        <v>2011</v>
      </c>
      <c r="I125" t="str">
        <f>_xlfn.XLOOKUP(Sheet1[[#This Row],[day_id]],calendar!A125,calendar!J125)</f>
        <v>No Event</v>
      </c>
      <c r="J125" t="str">
        <f>_xlfn.XLOOKUP(Sheet1[[#This Row],[day_id]],calendar!A125,calendar!K125)</f>
        <v>No Event Type</v>
      </c>
      <c r="K125">
        <f>_xlfn.XLOOKUP(Sheet1[[#This Row],[day_id]],calendar!A125,calendar!I125)</f>
        <v>1</v>
      </c>
    </row>
    <row r="126" spans="1:11" x14ac:dyDescent="0.2">
      <c r="A126" t="s">
        <v>368</v>
      </c>
      <c r="B126" t="s">
        <v>369</v>
      </c>
      <c r="C126" t="s">
        <v>126</v>
      </c>
      <c r="D126">
        <v>10</v>
      </c>
      <c r="E126" s="1">
        <f>_xlfn.XLOOKUP(Sheet1[[#This Row],[day_id]],calendar!A126,calendar!B126)</f>
        <v>40696</v>
      </c>
      <c r="F126" t="str">
        <f>_xlfn.XLOOKUP(Sheet1[[#This Row],[day_id]],calendar!A126,calendar!C126)</f>
        <v>Thursday</v>
      </c>
      <c r="G126">
        <f>_xlfn.XLOOKUP(Sheet1[[#This Row],[day_id]],calendar!A126,calendar!E126)</f>
        <v>6</v>
      </c>
      <c r="H126">
        <f>_xlfn.XLOOKUP(Sheet1[[#This Row],[day_id]],calendar!A126,calendar!F126)</f>
        <v>2011</v>
      </c>
      <c r="I126" t="str">
        <f>_xlfn.XLOOKUP(Sheet1[[#This Row],[day_id]],calendar!A126,calendar!J126)</f>
        <v>No Event</v>
      </c>
      <c r="J126" t="str">
        <f>_xlfn.XLOOKUP(Sheet1[[#This Row],[day_id]],calendar!A126,calendar!K126)</f>
        <v>No Event Type</v>
      </c>
      <c r="K126">
        <f>_xlfn.XLOOKUP(Sheet1[[#This Row],[day_id]],calendar!A126,calendar!I126)</f>
        <v>1</v>
      </c>
    </row>
    <row r="127" spans="1:11" x14ac:dyDescent="0.2">
      <c r="A127" t="s">
        <v>368</v>
      </c>
      <c r="B127" t="s">
        <v>369</v>
      </c>
      <c r="C127" t="s">
        <v>127</v>
      </c>
      <c r="D127">
        <v>20</v>
      </c>
      <c r="E127" s="1">
        <f>_xlfn.XLOOKUP(Sheet1[[#This Row],[day_id]],calendar!A127,calendar!B127)</f>
        <v>40697</v>
      </c>
      <c r="F127" t="str">
        <f>_xlfn.XLOOKUP(Sheet1[[#This Row],[day_id]],calendar!A127,calendar!C127)</f>
        <v>Friday</v>
      </c>
      <c r="G127">
        <f>_xlfn.XLOOKUP(Sheet1[[#This Row],[day_id]],calendar!A127,calendar!E127)</f>
        <v>6</v>
      </c>
      <c r="H127">
        <f>_xlfn.XLOOKUP(Sheet1[[#This Row],[day_id]],calendar!A127,calendar!F127)</f>
        <v>2011</v>
      </c>
      <c r="I127" t="str">
        <f>_xlfn.XLOOKUP(Sheet1[[#This Row],[day_id]],calendar!A127,calendar!J127)</f>
        <v>No Event</v>
      </c>
      <c r="J127" t="str">
        <f>_xlfn.XLOOKUP(Sheet1[[#This Row],[day_id]],calendar!A127,calendar!K127)</f>
        <v>No Event Type</v>
      </c>
      <c r="K127">
        <f>_xlfn.XLOOKUP(Sheet1[[#This Row],[day_id]],calendar!A127,calendar!I127)</f>
        <v>1</v>
      </c>
    </row>
    <row r="128" spans="1:11" x14ac:dyDescent="0.2">
      <c r="A128" t="s">
        <v>368</v>
      </c>
      <c r="B128" t="s">
        <v>369</v>
      </c>
      <c r="C128" t="s">
        <v>128</v>
      </c>
      <c r="D128">
        <v>19</v>
      </c>
      <c r="E128" s="1">
        <f>_xlfn.XLOOKUP(Sheet1[[#This Row],[day_id]],calendar!A128,calendar!B128)</f>
        <v>40698</v>
      </c>
      <c r="F128" t="str">
        <f>_xlfn.XLOOKUP(Sheet1[[#This Row],[day_id]],calendar!A128,calendar!C128)</f>
        <v>Saturday</v>
      </c>
      <c r="G128">
        <f>_xlfn.XLOOKUP(Sheet1[[#This Row],[day_id]],calendar!A128,calendar!E128)</f>
        <v>6</v>
      </c>
      <c r="H128">
        <f>_xlfn.XLOOKUP(Sheet1[[#This Row],[day_id]],calendar!A128,calendar!F128)</f>
        <v>2011</v>
      </c>
      <c r="I128" t="str">
        <f>_xlfn.XLOOKUP(Sheet1[[#This Row],[day_id]],calendar!A128,calendar!J128)</f>
        <v>No Event</v>
      </c>
      <c r="J128" t="str">
        <f>_xlfn.XLOOKUP(Sheet1[[#This Row],[day_id]],calendar!A128,calendar!K128)</f>
        <v>No Event Type</v>
      </c>
      <c r="K128">
        <f>_xlfn.XLOOKUP(Sheet1[[#This Row],[day_id]],calendar!A128,calendar!I128)</f>
        <v>1</v>
      </c>
    </row>
    <row r="129" spans="1:11" x14ac:dyDescent="0.2">
      <c r="A129" t="s">
        <v>368</v>
      </c>
      <c r="B129" t="s">
        <v>369</v>
      </c>
      <c r="C129" t="s">
        <v>129</v>
      </c>
      <c r="D129">
        <v>12</v>
      </c>
      <c r="E129" s="1">
        <f>_xlfn.XLOOKUP(Sheet1[[#This Row],[day_id]],calendar!A129,calendar!B129)</f>
        <v>40699</v>
      </c>
      <c r="F129" t="str">
        <f>_xlfn.XLOOKUP(Sheet1[[#This Row],[day_id]],calendar!A129,calendar!C129)</f>
        <v>Sunday</v>
      </c>
      <c r="G129">
        <f>_xlfn.XLOOKUP(Sheet1[[#This Row],[day_id]],calendar!A129,calendar!E129)</f>
        <v>6</v>
      </c>
      <c r="H129">
        <f>_xlfn.XLOOKUP(Sheet1[[#This Row],[day_id]],calendar!A129,calendar!F129)</f>
        <v>2011</v>
      </c>
      <c r="I129" t="str">
        <f>_xlfn.XLOOKUP(Sheet1[[#This Row],[day_id]],calendar!A129,calendar!J129)</f>
        <v>No Event</v>
      </c>
      <c r="J129" t="str">
        <f>_xlfn.XLOOKUP(Sheet1[[#This Row],[day_id]],calendar!A129,calendar!K129)</f>
        <v>No Event Type</v>
      </c>
      <c r="K129">
        <f>_xlfn.XLOOKUP(Sheet1[[#This Row],[day_id]],calendar!A129,calendar!I129)</f>
        <v>1</v>
      </c>
    </row>
    <row r="130" spans="1:11" x14ac:dyDescent="0.2">
      <c r="A130" t="s">
        <v>368</v>
      </c>
      <c r="B130" t="s">
        <v>369</v>
      </c>
      <c r="C130" t="s">
        <v>130</v>
      </c>
      <c r="D130">
        <v>7</v>
      </c>
      <c r="E130" s="1">
        <f>_xlfn.XLOOKUP(Sheet1[[#This Row],[day_id]],calendar!A130,calendar!B130)</f>
        <v>40700</v>
      </c>
      <c r="F130" t="str">
        <f>_xlfn.XLOOKUP(Sheet1[[#This Row],[day_id]],calendar!A130,calendar!C130)</f>
        <v>Monday</v>
      </c>
      <c r="G130">
        <f>_xlfn.XLOOKUP(Sheet1[[#This Row],[day_id]],calendar!A130,calendar!E130)</f>
        <v>6</v>
      </c>
      <c r="H130">
        <f>_xlfn.XLOOKUP(Sheet1[[#This Row],[day_id]],calendar!A130,calendar!F130)</f>
        <v>2011</v>
      </c>
      <c r="I130" t="str">
        <f>_xlfn.XLOOKUP(Sheet1[[#This Row],[day_id]],calendar!A130,calendar!J130)</f>
        <v>No Event</v>
      </c>
      <c r="J130" t="str">
        <f>_xlfn.XLOOKUP(Sheet1[[#This Row],[day_id]],calendar!A130,calendar!K130)</f>
        <v>No Event Type</v>
      </c>
      <c r="K130">
        <f>_xlfn.XLOOKUP(Sheet1[[#This Row],[day_id]],calendar!A130,calendar!I130)</f>
        <v>1</v>
      </c>
    </row>
    <row r="131" spans="1:11" x14ac:dyDescent="0.2">
      <c r="A131" t="s">
        <v>368</v>
      </c>
      <c r="B131" t="s">
        <v>369</v>
      </c>
      <c r="C131" t="s">
        <v>131</v>
      </c>
      <c r="D131">
        <v>2</v>
      </c>
      <c r="E131" s="1">
        <f>_xlfn.XLOOKUP(Sheet1[[#This Row],[day_id]],calendar!A131,calendar!B131)</f>
        <v>40701</v>
      </c>
      <c r="F131" t="str">
        <f>_xlfn.XLOOKUP(Sheet1[[#This Row],[day_id]],calendar!A131,calendar!C131)</f>
        <v>Tuesday</v>
      </c>
      <c r="G131">
        <f>_xlfn.XLOOKUP(Sheet1[[#This Row],[day_id]],calendar!A131,calendar!E131)</f>
        <v>6</v>
      </c>
      <c r="H131">
        <f>_xlfn.XLOOKUP(Sheet1[[#This Row],[day_id]],calendar!A131,calendar!F131)</f>
        <v>2011</v>
      </c>
      <c r="I131" t="str">
        <f>_xlfn.XLOOKUP(Sheet1[[#This Row],[day_id]],calendar!A131,calendar!J131)</f>
        <v>No Event</v>
      </c>
      <c r="J131" t="str">
        <f>_xlfn.XLOOKUP(Sheet1[[#This Row],[day_id]],calendar!A131,calendar!K131)</f>
        <v>No Event Type</v>
      </c>
      <c r="K131">
        <f>_xlfn.XLOOKUP(Sheet1[[#This Row],[day_id]],calendar!A131,calendar!I131)</f>
        <v>1</v>
      </c>
    </row>
    <row r="132" spans="1:11" x14ac:dyDescent="0.2">
      <c r="A132" t="s">
        <v>368</v>
      </c>
      <c r="B132" t="s">
        <v>369</v>
      </c>
      <c r="C132" t="s">
        <v>132</v>
      </c>
      <c r="D132">
        <v>1</v>
      </c>
      <c r="E132" s="1">
        <f>_xlfn.XLOOKUP(Sheet1[[#This Row],[day_id]],calendar!A132,calendar!B132)</f>
        <v>40702</v>
      </c>
      <c r="F132" t="str">
        <f>_xlfn.XLOOKUP(Sheet1[[#This Row],[day_id]],calendar!A132,calendar!C132)</f>
        <v>Wednesday</v>
      </c>
      <c r="G132">
        <f>_xlfn.XLOOKUP(Sheet1[[#This Row],[day_id]],calendar!A132,calendar!E132)</f>
        <v>6</v>
      </c>
      <c r="H132">
        <f>_xlfn.XLOOKUP(Sheet1[[#This Row],[day_id]],calendar!A132,calendar!F132)</f>
        <v>2011</v>
      </c>
      <c r="I132" t="str">
        <f>_xlfn.XLOOKUP(Sheet1[[#This Row],[day_id]],calendar!A132,calendar!J132)</f>
        <v>No Event</v>
      </c>
      <c r="J132" t="str">
        <f>_xlfn.XLOOKUP(Sheet1[[#This Row],[day_id]],calendar!A132,calendar!K132)</f>
        <v>No Event Type</v>
      </c>
      <c r="K132">
        <f>_xlfn.XLOOKUP(Sheet1[[#This Row],[day_id]],calendar!A132,calendar!I132)</f>
        <v>1</v>
      </c>
    </row>
    <row r="133" spans="1:11" x14ac:dyDescent="0.2">
      <c r="A133" t="s">
        <v>368</v>
      </c>
      <c r="B133" t="s">
        <v>369</v>
      </c>
      <c r="C133" t="s">
        <v>133</v>
      </c>
      <c r="D133">
        <v>0</v>
      </c>
      <c r="E133" s="1">
        <f>_xlfn.XLOOKUP(Sheet1[[#This Row],[day_id]],calendar!A133,calendar!B133)</f>
        <v>40703</v>
      </c>
      <c r="F133" t="str">
        <f>_xlfn.XLOOKUP(Sheet1[[#This Row],[day_id]],calendar!A133,calendar!C133)</f>
        <v>Thursday</v>
      </c>
      <c r="G133">
        <f>_xlfn.XLOOKUP(Sheet1[[#This Row],[day_id]],calendar!A133,calendar!E133)</f>
        <v>6</v>
      </c>
      <c r="H133">
        <f>_xlfn.XLOOKUP(Sheet1[[#This Row],[day_id]],calendar!A133,calendar!F133)</f>
        <v>2011</v>
      </c>
      <c r="I133" t="str">
        <f>_xlfn.XLOOKUP(Sheet1[[#This Row],[day_id]],calendar!A133,calendar!J133)</f>
        <v>No Event</v>
      </c>
      <c r="J133" t="str">
        <f>_xlfn.XLOOKUP(Sheet1[[#This Row],[day_id]],calendar!A133,calendar!K133)</f>
        <v>No Event Type</v>
      </c>
      <c r="K133">
        <f>_xlfn.XLOOKUP(Sheet1[[#This Row],[day_id]],calendar!A133,calendar!I133)</f>
        <v>1</v>
      </c>
    </row>
    <row r="134" spans="1:11" x14ac:dyDescent="0.2">
      <c r="A134" t="s">
        <v>368</v>
      </c>
      <c r="B134" t="s">
        <v>369</v>
      </c>
      <c r="C134" t="s">
        <v>134</v>
      </c>
      <c r="D134">
        <v>0</v>
      </c>
      <c r="E134" s="1">
        <f>_xlfn.XLOOKUP(Sheet1[[#This Row],[day_id]],calendar!A134,calendar!B134)</f>
        <v>40704</v>
      </c>
      <c r="F134" t="str">
        <f>_xlfn.XLOOKUP(Sheet1[[#This Row],[day_id]],calendar!A134,calendar!C134)</f>
        <v>Friday</v>
      </c>
      <c r="G134">
        <f>_xlfn.XLOOKUP(Sheet1[[#This Row],[day_id]],calendar!A134,calendar!E134)</f>
        <v>6</v>
      </c>
      <c r="H134">
        <f>_xlfn.XLOOKUP(Sheet1[[#This Row],[day_id]],calendar!A134,calendar!F134)</f>
        <v>2011</v>
      </c>
      <c r="I134" t="str">
        <f>_xlfn.XLOOKUP(Sheet1[[#This Row],[day_id]],calendar!A134,calendar!J134)</f>
        <v>No Event</v>
      </c>
      <c r="J134" t="str">
        <f>_xlfn.XLOOKUP(Sheet1[[#This Row],[day_id]],calendar!A134,calendar!K134)</f>
        <v>No Event Type</v>
      </c>
      <c r="K134">
        <f>_xlfn.XLOOKUP(Sheet1[[#This Row],[day_id]],calendar!A134,calendar!I134)</f>
        <v>1</v>
      </c>
    </row>
    <row r="135" spans="1:11" x14ac:dyDescent="0.2">
      <c r="A135" t="s">
        <v>368</v>
      </c>
      <c r="B135" t="s">
        <v>369</v>
      </c>
      <c r="C135" t="s">
        <v>135</v>
      </c>
      <c r="D135">
        <v>6</v>
      </c>
      <c r="E135" s="1">
        <f>_xlfn.XLOOKUP(Sheet1[[#This Row],[day_id]],calendar!A135,calendar!B135)</f>
        <v>40705</v>
      </c>
      <c r="F135" t="str">
        <f>_xlfn.XLOOKUP(Sheet1[[#This Row],[day_id]],calendar!A135,calendar!C135)</f>
        <v>Saturday</v>
      </c>
      <c r="G135">
        <f>_xlfn.XLOOKUP(Sheet1[[#This Row],[day_id]],calendar!A135,calendar!E135)</f>
        <v>6</v>
      </c>
      <c r="H135">
        <f>_xlfn.XLOOKUP(Sheet1[[#This Row],[day_id]],calendar!A135,calendar!F135)</f>
        <v>2011</v>
      </c>
      <c r="I135" t="str">
        <f>_xlfn.XLOOKUP(Sheet1[[#This Row],[day_id]],calendar!A135,calendar!J135)</f>
        <v>No Event</v>
      </c>
      <c r="J135" t="str">
        <f>_xlfn.XLOOKUP(Sheet1[[#This Row],[day_id]],calendar!A135,calendar!K135)</f>
        <v>No Event Type</v>
      </c>
      <c r="K135">
        <f>_xlfn.XLOOKUP(Sheet1[[#This Row],[day_id]],calendar!A135,calendar!I135)</f>
        <v>0</v>
      </c>
    </row>
    <row r="136" spans="1:11" x14ac:dyDescent="0.2">
      <c r="A136" t="s">
        <v>368</v>
      </c>
      <c r="B136" t="s">
        <v>369</v>
      </c>
      <c r="C136" t="s">
        <v>136</v>
      </c>
      <c r="D136">
        <v>8</v>
      </c>
      <c r="E136" s="1">
        <f>_xlfn.XLOOKUP(Sheet1[[#This Row],[day_id]],calendar!A136,calendar!B136)</f>
        <v>40706</v>
      </c>
      <c r="F136" t="str">
        <f>_xlfn.XLOOKUP(Sheet1[[#This Row],[day_id]],calendar!A136,calendar!C136)</f>
        <v>Sunday</v>
      </c>
      <c r="G136">
        <f>_xlfn.XLOOKUP(Sheet1[[#This Row],[day_id]],calendar!A136,calendar!E136)</f>
        <v>6</v>
      </c>
      <c r="H136">
        <f>_xlfn.XLOOKUP(Sheet1[[#This Row],[day_id]],calendar!A136,calendar!F136)</f>
        <v>2011</v>
      </c>
      <c r="I136" t="str">
        <f>_xlfn.XLOOKUP(Sheet1[[#This Row],[day_id]],calendar!A136,calendar!J136)</f>
        <v>NBAFinalsEnd</v>
      </c>
      <c r="J136" t="str">
        <f>_xlfn.XLOOKUP(Sheet1[[#This Row],[day_id]],calendar!A136,calendar!K136)</f>
        <v>Sporting</v>
      </c>
      <c r="K136">
        <f>_xlfn.XLOOKUP(Sheet1[[#This Row],[day_id]],calendar!A136,calendar!I136)</f>
        <v>0</v>
      </c>
    </row>
    <row r="137" spans="1:11" x14ac:dyDescent="0.2">
      <c r="A137" t="s">
        <v>368</v>
      </c>
      <c r="B137" t="s">
        <v>369</v>
      </c>
      <c r="C137" t="s">
        <v>137</v>
      </c>
      <c r="D137">
        <v>7</v>
      </c>
      <c r="E137" s="1">
        <f>_xlfn.XLOOKUP(Sheet1[[#This Row],[day_id]],calendar!A137,calendar!B137)</f>
        <v>40707</v>
      </c>
      <c r="F137" t="str">
        <f>_xlfn.XLOOKUP(Sheet1[[#This Row],[day_id]],calendar!A137,calendar!C137)</f>
        <v>Monday</v>
      </c>
      <c r="G137">
        <f>_xlfn.XLOOKUP(Sheet1[[#This Row],[day_id]],calendar!A137,calendar!E137)</f>
        <v>6</v>
      </c>
      <c r="H137">
        <f>_xlfn.XLOOKUP(Sheet1[[#This Row],[day_id]],calendar!A137,calendar!F137)</f>
        <v>2011</v>
      </c>
      <c r="I137" t="str">
        <f>_xlfn.XLOOKUP(Sheet1[[#This Row],[day_id]],calendar!A137,calendar!J137)</f>
        <v>No Event</v>
      </c>
      <c r="J137" t="str">
        <f>_xlfn.XLOOKUP(Sheet1[[#This Row],[day_id]],calendar!A137,calendar!K137)</f>
        <v>No Event Type</v>
      </c>
      <c r="K137">
        <f>_xlfn.XLOOKUP(Sheet1[[#This Row],[day_id]],calendar!A137,calendar!I137)</f>
        <v>0</v>
      </c>
    </row>
    <row r="138" spans="1:11" x14ac:dyDescent="0.2">
      <c r="A138" t="s">
        <v>368</v>
      </c>
      <c r="B138" t="s">
        <v>369</v>
      </c>
      <c r="C138" t="s">
        <v>138</v>
      </c>
      <c r="D138">
        <v>7</v>
      </c>
      <c r="E138" s="1">
        <f>_xlfn.XLOOKUP(Sheet1[[#This Row],[day_id]],calendar!A138,calendar!B138)</f>
        <v>40708</v>
      </c>
      <c r="F138" t="str">
        <f>_xlfn.XLOOKUP(Sheet1[[#This Row],[day_id]],calendar!A138,calendar!C138)</f>
        <v>Tuesday</v>
      </c>
      <c r="G138">
        <f>_xlfn.XLOOKUP(Sheet1[[#This Row],[day_id]],calendar!A138,calendar!E138)</f>
        <v>6</v>
      </c>
      <c r="H138">
        <f>_xlfn.XLOOKUP(Sheet1[[#This Row],[day_id]],calendar!A138,calendar!F138)</f>
        <v>2011</v>
      </c>
      <c r="I138" t="str">
        <f>_xlfn.XLOOKUP(Sheet1[[#This Row],[day_id]],calendar!A138,calendar!J138)</f>
        <v>No Event</v>
      </c>
      <c r="J138" t="str">
        <f>_xlfn.XLOOKUP(Sheet1[[#This Row],[day_id]],calendar!A138,calendar!K138)</f>
        <v>No Event Type</v>
      </c>
      <c r="K138">
        <f>_xlfn.XLOOKUP(Sheet1[[#This Row],[day_id]],calendar!A138,calendar!I138)</f>
        <v>0</v>
      </c>
    </row>
    <row r="139" spans="1:11" x14ac:dyDescent="0.2">
      <c r="A139" t="s">
        <v>368</v>
      </c>
      <c r="B139" t="s">
        <v>369</v>
      </c>
      <c r="C139" t="s">
        <v>139</v>
      </c>
      <c r="D139">
        <v>4</v>
      </c>
      <c r="E139" s="1">
        <f>_xlfn.XLOOKUP(Sheet1[[#This Row],[day_id]],calendar!A139,calendar!B139)</f>
        <v>40709</v>
      </c>
      <c r="F139" t="str">
        <f>_xlfn.XLOOKUP(Sheet1[[#This Row],[day_id]],calendar!A139,calendar!C139)</f>
        <v>Wednesday</v>
      </c>
      <c r="G139">
        <f>_xlfn.XLOOKUP(Sheet1[[#This Row],[day_id]],calendar!A139,calendar!E139)</f>
        <v>6</v>
      </c>
      <c r="H139">
        <f>_xlfn.XLOOKUP(Sheet1[[#This Row],[day_id]],calendar!A139,calendar!F139)</f>
        <v>2011</v>
      </c>
      <c r="I139" t="str">
        <f>_xlfn.XLOOKUP(Sheet1[[#This Row],[day_id]],calendar!A139,calendar!J139)</f>
        <v>No Event</v>
      </c>
      <c r="J139" t="str">
        <f>_xlfn.XLOOKUP(Sheet1[[#This Row],[day_id]],calendar!A139,calendar!K139)</f>
        <v>No Event Type</v>
      </c>
      <c r="K139">
        <f>_xlfn.XLOOKUP(Sheet1[[#This Row],[day_id]],calendar!A139,calendar!I139)</f>
        <v>0</v>
      </c>
    </row>
    <row r="140" spans="1:11" x14ac:dyDescent="0.2">
      <c r="A140" t="s">
        <v>368</v>
      </c>
      <c r="B140" t="s">
        <v>369</v>
      </c>
      <c r="C140" t="s">
        <v>140</v>
      </c>
      <c r="D140">
        <v>3</v>
      </c>
      <c r="E140" s="1">
        <f>_xlfn.XLOOKUP(Sheet1[[#This Row],[day_id]],calendar!A140,calendar!B140)</f>
        <v>40710</v>
      </c>
      <c r="F140" t="str">
        <f>_xlfn.XLOOKUP(Sheet1[[#This Row],[day_id]],calendar!A140,calendar!C140)</f>
        <v>Thursday</v>
      </c>
      <c r="G140">
        <f>_xlfn.XLOOKUP(Sheet1[[#This Row],[day_id]],calendar!A140,calendar!E140)</f>
        <v>6</v>
      </c>
      <c r="H140">
        <f>_xlfn.XLOOKUP(Sheet1[[#This Row],[day_id]],calendar!A140,calendar!F140)</f>
        <v>2011</v>
      </c>
      <c r="I140" t="str">
        <f>_xlfn.XLOOKUP(Sheet1[[#This Row],[day_id]],calendar!A140,calendar!J140)</f>
        <v>No Event</v>
      </c>
      <c r="J140" t="str">
        <f>_xlfn.XLOOKUP(Sheet1[[#This Row],[day_id]],calendar!A140,calendar!K140)</f>
        <v>No Event Type</v>
      </c>
      <c r="K140">
        <f>_xlfn.XLOOKUP(Sheet1[[#This Row],[day_id]],calendar!A140,calendar!I140)</f>
        <v>0</v>
      </c>
    </row>
    <row r="141" spans="1:11" x14ac:dyDescent="0.2">
      <c r="A141" t="s">
        <v>368</v>
      </c>
      <c r="B141" t="s">
        <v>369</v>
      </c>
      <c r="C141" t="s">
        <v>141</v>
      </c>
      <c r="D141">
        <v>6</v>
      </c>
      <c r="E141" s="1">
        <f>_xlfn.XLOOKUP(Sheet1[[#This Row],[day_id]],calendar!A141,calendar!B141)</f>
        <v>40711</v>
      </c>
      <c r="F141" t="str">
        <f>_xlfn.XLOOKUP(Sheet1[[#This Row],[day_id]],calendar!A141,calendar!C141)</f>
        <v>Friday</v>
      </c>
      <c r="G141">
        <f>_xlfn.XLOOKUP(Sheet1[[#This Row],[day_id]],calendar!A141,calendar!E141)</f>
        <v>6</v>
      </c>
      <c r="H141">
        <f>_xlfn.XLOOKUP(Sheet1[[#This Row],[day_id]],calendar!A141,calendar!F141)</f>
        <v>2011</v>
      </c>
      <c r="I141" t="str">
        <f>_xlfn.XLOOKUP(Sheet1[[#This Row],[day_id]],calendar!A141,calendar!J141)</f>
        <v>No Event</v>
      </c>
      <c r="J141" t="str">
        <f>_xlfn.XLOOKUP(Sheet1[[#This Row],[day_id]],calendar!A141,calendar!K141)</f>
        <v>No Event Type</v>
      </c>
      <c r="K141">
        <f>_xlfn.XLOOKUP(Sheet1[[#This Row],[day_id]],calendar!A141,calendar!I141)</f>
        <v>0</v>
      </c>
    </row>
    <row r="142" spans="1:11" x14ac:dyDescent="0.2">
      <c r="A142" t="s">
        <v>368</v>
      </c>
      <c r="B142" t="s">
        <v>369</v>
      </c>
      <c r="C142" t="s">
        <v>142</v>
      </c>
      <c r="D142">
        <v>9</v>
      </c>
      <c r="E142" s="1">
        <f>_xlfn.XLOOKUP(Sheet1[[#This Row],[day_id]],calendar!A142,calendar!B142)</f>
        <v>40712</v>
      </c>
      <c r="F142" t="str">
        <f>_xlfn.XLOOKUP(Sheet1[[#This Row],[day_id]],calendar!A142,calendar!C142)</f>
        <v>Saturday</v>
      </c>
      <c r="G142">
        <f>_xlfn.XLOOKUP(Sheet1[[#This Row],[day_id]],calendar!A142,calendar!E142)</f>
        <v>6</v>
      </c>
      <c r="H142">
        <f>_xlfn.XLOOKUP(Sheet1[[#This Row],[day_id]],calendar!A142,calendar!F142)</f>
        <v>2011</v>
      </c>
      <c r="I142" t="str">
        <f>_xlfn.XLOOKUP(Sheet1[[#This Row],[day_id]],calendar!A142,calendar!J142)</f>
        <v>No Event</v>
      </c>
      <c r="J142" t="str">
        <f>_xlfn.XLOOKUP(Sheet1[[#This Row],[day_id]],calendar!A142,calendar!K142)</f>
        <v>No Event Type</v>
      </c>
      <c r="K142">
        <f>_xlfn.XLOOKUP(Sheet1[[#This Row],[day_id]],calendar!A142,calendar!I142)</f>
        <v>0</v>
      </c>
    </row>
    <row r="143" spans="1:11" x14ac:dyDescent="0.2">
      <c r="A143" t="s">
        <v>368</v>
      </c>
      <c r="B143" t="s">
        <v>369</v>
      </c>
      <c r="C143" t="s">
        <v>143</v>
      </c>
      <c r="D143">
        <v>10</v>
      </c>
      <c r="E143" s="1">
        <f>_xlfn.XLOOKUP(Sheet1[[#This Row],[day_id]],calendar!A143,calendar!B143)</f>
        <v>40713</v>
      </c>
      <c r="F143" t="str">
        <f>_xlfn.XLOOKUP(Sheet1[[#This Row],[day_id]],calendar!A143,calendar!C143)</f>
        <v>Sunday</v>
      </c>
      <c r="G143">
        <f>_xlfn.XLOOKUP(Sheet1[[#This Row],[day_id]],calendar!A143,calendar!E143)</f>
        <v>6</v>
      </c>
      <c r="H143">
        <f>_xlfn.XLOOKUP(Sheet1[[#This Row],[day_id]],calendar!A143,calendar!F143)</f>
        <v>2011</v>
      </c>
      <c r="I143" t="str">
        <f>_xlfn.XLOOKUP(Sheet1[[#This Row],[day_id]],calendar!A143,calendar!J143)</f>
        <v>Father's day</v>
      </c>
      <c r="J143" t="str">
        <f>_xlfn.XLOOKUP(Sheet1[[#This Row],[day_id]],calendar!A143,calendar!K143)</f>
        <v>Cultural</v>
      </c>
      <c r="K143">
        <f>_xlfn.XLOOKUP(Sheet1[[#This Row],[day_id]],calendar!A143,calendar!I143)</f>
        <v>0</v>
      </c>
    </row>
    <row r="144" spans="1:11" x14ac:dyDescent="0.2">
      <c r="A144" t="s">
        <v>368</v>
      </c>
      <c r="B144" t="s">
        <v>369</v>
      </c>
      <c r="C144" t="s">
        <v>144</v>
      </c>
      <c r="D144">
        <v>5</v>
      </c>
      <c r="E144" s="1">
        <f>_xlfn.XLOOKUP(Sheet1[[#This Row],[day_id]],calendar!A144,calendar!B144)</f>
        <v>40714</v>
      </c>
      <c r="F144" t="str">
        <f>_xlfn.XLOOKUP(Sheet1[[#This Row],[day_id]],calendar!A144,calendar!C144)</f>
        <v>Monday</v>
      </c>
      <c r="G144">
        <f>_xlfn.XLOOKUP(Sheet1[[#This Row],[day_id]],calendar!A144,calendar!E144)</f>
        <v>6</v>
      </c>
      <c r="H144">
        <f>_xlfn.XLOOKUP(Sheet1[[#This Row],[day_id]],calendar!A144,calendar!F144)</f>
        <v>2011</v>
      </c>
      <c r="I144" t="str">
        <f>_xlfn.XLOOKUP(Sheet1[[#This Row],[day_id]],calendar!A144,calendar!J144)</f>
        <v>No Event</v>
      </c>
      <c r="J144" t="str">
        <f>_xlfn.XLOOKUP(Sheet1[[#This Row],[day_id]],calendar!A144,calendar!K144)</f>
        <v>No Event Type</v>
      </c>
      <c r="K144">
        <f>_xlfn.XLOOKUP(Sheet1[[#This Row],[day_id]],calendar!A144,calendar!I144)</f>
        <v>0</v>
      </c>
    </row>
    <row r="145" spans="1:11" x14ac:dyDescent="0.2">
      <c r="A145" t="s">
        <v>368</v>
      </c>
      <c r="B145" t="s">
        <v>369</v>
      </c>
      <c r="C145" t="s">
        <v>145</v>
      </c>
      <c r="D145">
        <v>17</v>
      </c>
      <c r="E145" s="1">
        <f>_xlfn.XLOOKUP(Sheet1[[#This Row],[day_id]],calendar!A145,calendar!B145)</f>
        <v>40715</v>
      </c>
      <c r="F145" t="str">
        <f>_xlfn.XLOOKUP(Sheet1[[#This Row],[day_id]],calendar!A145,calendar!C145)</f>
        <v>Tuesday</v>
      </c>
      <c r="G145">
        <f>_xlfn.XLOOKUP(Sheet1[[#This Row],[day_id]],calendar!A145,calendar!E145)</f>
        <v>6</v>
      </c>
      <c r="H145">
        <f>_xlfn.XLOOKUP(Sheet1[[#This Row],[day_id]],calendar!A145,calendar!F145)</f>
        <v>2011</v>
      </c>
      <c r="I145" t="str">
        <f>_xlfn.XLOOKUP(Sheet1[[#This Row],[day_id]],calendar!A145,calendar!J145)</f>
        <v>No Event</v>
      </c>
      <c r="J145" t="str">
        <f>_xlfn.XLOOKUP(Sheet1[[#This Row],[day_id]],calendar!A145,calendar!K145)</f>
        <v>No Event Type</v>
      </c>
      <c r="K145">
        <f>_xlfn.XLOOKUP(Sheet1[[#This Row],[day_id]],calendar!A145,calendar!I145)</f>
        <v>0</v>
      </c>
    </row>
    <row r="146" spans="1:11" x14ac:dyDescent="0.2">
      <c r="A146" t="s">
        <v>368</v>
      </c>
      <c r="B146" t="s">
        <v>369</v>
      </c>
      <c r="C146" t="s">
        <v>146</v>
      </c>
      <c r="D146">
        <v>15</v>
      </c>
      <c r="E146" s="1">
        <f>_xlfn.XLOOKUP(Sheet1[[#This Row],[day_id]],calendar!A146,calendar!B146)</f>
        <v>40716</v>
      </c>
      <c r="F146" t="str">
        <f>_xlfn.XLOOKUP(Sheet1[[#This Row],[day_id]],calendar!A146,calendar!C146)</f>
        <v>Wednesday</v>
      </c>
      <c r="G146">
        <f>_xlfn.XLOOKUP(Sheet1[[#This Row],[day_id]],calendar!A146,calendar!E146)</f>
        <v>6</v>
      </c>
      <c r="H146">
        <f>_xlfn.XLOOKUP(Sheet1[[#This Row],[day_id]],calendar!A146,calendar!F146)</f>
        <v>2011</v>
      </c>
      <c r="I146" t="str">
        <f>_xlfn.XLOOKUP(Sheet1[[#This Row],[day_id]],calendar!A146,calendar!J146)</f>
        <v>No Event</v>
      </c>
      <c r="J146" t="str">
        <f>_xlfn.XLOOKUP(Sheet1[[#This Row],[day_id]],calendar!A146,calendar!K146)</f>
        <v>No Event Type</v>
      </c>
      <c r="K146">
        <f>_xlfn.XLOOKUP(Sheet1[[#This Row],[day_id]],calendar!A146,calendar!I146)</f>
        <v>0</v>
      </c>
    </row>
    <row r="147" spans="1:11" x14ac:dyDescent="0.2">
      <c r="A147" t="s">
        <v>368</v>
      </c>
      <c r="B147" t="s">
        <v>369</v>
      </c>
      <c r="C147" t="s">
        <v>147</v>
      </c>
      <c r="D147">
        <v>21</v>
      </c>
      <c r="E147" s="1">
        <f>_xlfn.XLOOKUP(Sheet1[[#This Row],[day_id]],calendar!A147,calendar!B147)</f>
        <v>40717</v>
      </c>
      <c r="F147" t="str">
        <f>_xlfn.XLOOKUP(Sheet1[[#This Row],[day_id]],calendar!A147,calendar!C147)</f>
        <v>Thursday</v>
      </c>
      <c r="G147">
        <f>_xlfn.XLOOKUP(Sheet1[[#This Row],[day_id]],calendar!A147,calendar!E147)</f>
        <v>6</v>
      </c>
      <c r="H147">
        <f>_xlfn.XLOOKUP(Sheet1[[#This Row],[day_id]],calendar!A147,calendar!F147)</f>
        <v>2011</v>
      </c>
      <c r="I147" t="str">
        <f>_xlfn.XLOOKUP(Sheet1[[#This Row],[day_id]],calendar!A147,calendar!J147)</f>
        <v>No Event</v>
      </c>
      <c r="J147" t="str">
        <f>_xlfn.XLOOKUP(Sheet1[[#This Row],[day_id]],calendar!A147,calendar!K147)</f>
        <v>No Event Type</v>
      </c>
      <c r="K147">
        <f>_xlfn.XLOOKUP(Sheet1[[#This Row],[day_id]],calendar!A147,calendar!I147)</f>
        <v>0</v>
      </c>
    </row>
    <row r="148" spans="1:11" x14ac:dyDescent="0.2">
      <c r="A148" t="s">
        <v>368</v>
      </c>
      <c r="B148" t="s">
        <v>369</v>
      </c>
      <c r="C148" t="s">
        <v>148</v>
      </c>
      <c r="D148">
        <v>22</v>
      </c>
      <c r="E148" s="1">
        <f>_xlfn.XLOOKUP(Sheet1[[#This Row],[day_id]],calendar!A148,calendar!B148)</f>
        <v>40718</v>
      </c>
      <c r="F148" t="str">
        <f>_xlfn.XLOOKUP(Sheet1[[#This Row],[day_id]],calendar!A148,calendar!C148)</f>
        <v>Friday</v>
      </c>
      <c r="G148">
        <f>_xlfn.XLOOKUP(Sheet1[[#This Row],[day_id]],calendar!A148,calendar!E148)</f>
        <v>6</v>
      </c>
      <c r="H148">
        <f>_xlfn.XLOOKUP(Sheet1[[#This Row],[day_id]],calendar!A148,calendar!F148)</f>
        <v>2011</v>
      </c>
      <c r="I148" t="str">
        <f>_xlfn.XLOOKUP(Sheet1[[#This Row],[day_id]],calendar!A148,calendar!J148)</f>
        <v>No Event</v>
      </c>
      <c r="J148" t="str">
        <f>_xlfn.XLOOKUP(Sheet1[[#This Row],[day_id]],calendar!A148,calendar!K148)</f>
        <v>No Event Type</v>
      </c>
      <c r="K148">
        <f>_xlfn.XLOOKUP(Sheet1[[#This Row],[day_id]],calendar!A148,calendar!I148)</f>
        <v>0</v>
      </c>
    </row>
    <row r="149" spans="1:11" x14ac:dyDescent="0.2">
      <c r="A149" t="s">
        <v>368</v>
      </c>
      <c r="B149" t="s">
        <v>369</v>
      </c>
      <c r="C149" t="s">
        <v>149</v>
      </c>
      <c r="D149">
        <v>21</v>
      </c>
      <c r="E149" s="1">
        <f>_xlfn.XLOOKUP(Sheet1[[#This Row],[day_id]],calendar!A149,calendar!B149)</f>
        <v>40719</v>
      </c>
      <c r="F149" t="str">
        <f>_xlfn.XLOOKUP(Sheet1[[#This Row],[day_id]],calendar!A149,calendar!C149)</f>
        <v>Saturday</v>
      </c>
      <c r="G149">
        <f>_xlfn.XLOOKUP(Sheet1[[#This Row],[day_id]],calendar!A149,calendar!E149)</f>
        <v>6</v>
      </c>
      <c r="H149">
        <f>_xlfn.XLOOKUP(Sheet1[[#This Row],[day_id]],calendar!A149,calendar!F149)</f>
        <v>2011</v>
      </c>
      <c r="I149" t="str">
        <f>_xlfn.XLOOKUP(Sheet1[[#This Row],[day_id]],calendar!A149,calendar!J149)</f>
        <v>No Event</v>
      </c>
      <c r="J149" t="str">
        <f>_xlfn.XLOOKUP(Sheet1[[#This Row],[day_id]],calendar!A149,calendar!K149)</f>
        <v>No Event Type</v>
      </c>
      <c r="K149">
        <f>_xlfn.XLOOKUP(Sheet1[[#This Row],[day_id]],calendar!A149,calendar!I149)</f>
        <v>0</v>
      </c>
    </row>
    <row r="150" spans="1:11" x14ac:dyDescent="0.2">
      <c r="A150" t="s">
        <v>368</v>
      </c>
      <c r="B150" t="s">
        <v>369</v>
      </c>
      <c r="C150" t="s">
        <v>150</v>
      </c>
      <c r="D150">
        <v>18</v>
      </c>
      <c r="E150" s="1">
        <f>_xlfn.XLOOKUP(Sheet1[[#This Row],[day_id]],calendar!A150,calendar!B150)</f>
        <v>40720</v>
      </c>
      <c r="F150" t="str">
        <f>_xlfn.XLOOKUP(Sheet1[[#This Row],[day_id]],calendar!A150,calendar!C150)</f>
        <v>Sunday</v>
      </c>
      <c r="G150">
        <f>_xlfn.XLOOKUP(Sheet1[[#This Row],[day_id]],calendar!A150,calendar!E150)</f>
        <v>6</v>
      </c>
      <c r="H150">
        <f>_xlfn.XLOOKUP(Sheet1[[#This Row],[day_id]],calendar!A150,calendar!F150)</f>
        <v>2011</v>
      </c>
      <c r="I150" t="str">
        <f>_xlfn.XLOOKUP(Sheet1[[#This Row],[day_id]],calendar!A150,calendar!J150)</f>
        <v>No Event</v>
      </c>
      <c r="J150" t="str">
        <f>_xlfn.XLOOKUP(Sheet1[[#This Row],[day_id]],calendar!A150,calendar!K150)</f>
        <v>No Event Type</v>
      </c>
      <c r="K150">
        <f>_xlfn.XLOOKUP(Sheet1[[#This Row],[day_id]],calendar!A150,calendar!I150)</f>
        <v>0</v>
      </c>
    </row>
    <row r="151" spans="1:11" x14ac:dyDescent="0.2">
      <c r="A151" t="s">
        <v>368</v>
      </c>
      <c r="B151" t="s">
        <v>369</v>
      </c>
      <c r="C151" t="s">
        <v>151</v>
      </c>
      <c r="D151">
        <v>24</v>
      </c>
      <c r="E151" s="1">
        <f>_xlfn.XLOOKUP(Sheet1[[#This Row],[day_id]],calendar!A151,calendar!B151)</f>
        <v>40721</v>
      </c>
      <c r="F151" t="str">
        <f>_xlfn.XLOOKUP(Sheet1[[#This Row],[day_id]],calendar!A151,calendar!C151)</f>
        <v>Monday</v>
      </c>
      <c r="G151">
        <f>_xlfn.XLOOKUP(Sheet1[[#This Row],[day_id]],calendar!A151,calendar!E151)</f>
        <v>6</v>
      </c>
      <c r="H151">
        <f>_xlfn.XLOOKUP(Sheet1[[#This Row],[day_id]],calendar!A151,calendar!F151)</f>
        <v>2011</v>
      </c>
      <c r="I151" t="str">
        <f>_xlfn.XLOOKUP(Sheet1[[#This Row],[day_id]],calendar!A151,calendar!J151)</f>
        <v>No Event</v>
      </c>
      <c r="J151" t="str">
        <f>_xlfn.XLOOKUP(Sheet1[[#This Row],[day_id]],calendar!A151,calendar!K151)</f>
        <v>No Event Type</v>
      </c>
      <c r="K151">
        <f>_xlfn.XLOOKUP(Sheet1[[#This Row],[day_id]],calendar!A151,calendar!I151)</f>
        <v>0</v>
      </c>
    </row>
    <row r="152" spans="1:11" x14ac:dyDescent="0.2">
      <c r="A152" t="s">
        <v>368</v>
      </c>
      <c r="B152" t="s">
        <v>369</v>
      </c>
      <c r="C152" t="s">
        <v>152</v>
      </c>
      <c r="D152">
        <v>8</v>
      </c>
      <c r="E152" s="1">
        <f>_xlfn.XLOOKUP(Sheet1[[#This Row],[day_id]],calendar!A152,calendar!B152)</f>
        <v>40722</v>
      </c>
      <c r="F152" t="str">
        <f>_xlfn.XLOOKUP(Sheet1[[#This Row],[day_id]],calendar!A152,calendar!C152)</f>
        <v>Tuesday</v>
      </c>
      <c r="G152">
        <f>_xlfn.XLOOKUP(Sheet1[[#This Row],[day_id]],calendar!A152,calendar!E152)</f>
        <v>6</v>
      </c>
      <c r="H152">
        <f>_xlfn.XLOOKUP(Sheet1[[#This Row],[day_id]],calendar!A152,calendar!F152)</f>
        <v>2011</v>
      </c>
      <c r="I152" t="str">
        <f>_xlfn.XLOOKUP(Sheet1[[#This Row],[day_id]],calendar!A152,calendar!J152)</f>
        <v>No Event</v>
      </c>
      <c r="J152" t="str">
        <f>_xlfn.XLOOKUP(Sheet1[[#This Row],[day_id]],calendar!A152,calendar!K152)</f>
        <v>No Event Type</v>
      </c>
      <c r="K152">
        <f>_xlfn.XLOOKUP(Sheet1[[#This Row],[day_id]],calendar!A152,calendar!I152)</f>
        <v>0</v>
      </c>
    </row>
    <row r="153" spans="1:11" x14ac:dyDescent="0.2">
      <c r="A153" t="s">
        <v>368</v>
      </c>
      <c r="B153" t="s">
        <v>369</v>
      </c>
      <c r="C153" t="s">
        <v>153</v>
      </c>
      <c r="D153">
        <v>14</v>
      </c>
      <c r="E153" s="1">
        <f>_xlfn.XLOOKUP(Sheet1[[#This Row],[day_id]],calendar!A153,calendar!B153)</f>
        <v>40723</v>
      </c>
      <c r="F153" t="str">
        <f>_xlfn.XLOOKUP(Sheet1[[#This Row],[day_id]],calendar!A153,calendar!C153)</f>
        <v>Wednesday</v>
      </c>
      <c r="G153">
        <f>_xlfn.XLOOKUP(Sheet1[[#This Row],[day_id]],calendar!A153,calendar!E153)</f>
        <v>6</v>
      </c>
      <c r="H153">
        <f>_xlfn.XLOOKUP(Sheet1[[#This Row],[day_id]],calendar!A153,calendar!F153)</f>
        <v>2011</v>
      </c>
      <c r="I153" t="str">
        <f>_xlfn.XLOOKUP(Sheet1[[#This Row],[day_id]],calendar!A153,calendar!J153)</f>
        <v>No Event</v>
      </c>
      <c r="J153" t="str">
        <f>_xlfn.XLOOKUP(Sheet1[[#This Row],[day_id]],calendar!A153,calendar!K153)</f>
        <v>No Event Type</v>
      </c>
      <c r="K153">
        <f>_xlfn.XLOOKUP(Sheet1[[#This Row],[day_id]],calendar!A153,calendar!I153)</f>
        <v>0</v>
      </c>
    </row>
    <row r="154" spans="1:11" x14ac:dyDescent="0.2">
      <c r="A154" t="s">
        <v>368</v>
      </c>
      <c r="B154" t="s">
        <v>369</v>
      </c>
      <c r="C154" t="s">
        <v>154</v>
      </c>
      <c r="D154">
        <v>13</v>
      </c>
      <c r="E154" s="1">
        <f>_xlfn.XLOOKUP(Sheet1[[#This Row],[day_id]],calendar!A154,calendar!B154)</f>
        <v>40724</v>
      </c>
      <c r="F154" t="str">
        <f>_xlfn.XLOOKUP(Sheet1[[#This Row],[day_id]],calendar!A154,calendar!C154)</f>
        <v>Thursday</v>
      </c>
      <c r="G154">
        <f>_xlfn.XLOOKUP(Sheet1[[#This Row],[day_id]],calendar!A154,calendar!E154)</f>
        <v>6</v>
      </c>
      <c r="H154">
        <f>_xlfn.XLOOKUP(Sheet1[[#This Row],[day_id]],calendar!A154,calendar!F154)</f>
        <v>2011</v>
      </c>
      <c r="I154" t="str">
        <f>_xlfn.XLOOKUP(Sheet1[[#This Row],[day_id]],calendar!A154,calendar!J154)</f>
        <v>No Event</v>
      </c>
      <c r="J154" t="str">
        <f>_xlfn.XLOOKUP(Sheet1[[#This Row],[day_id]],calendar!A154,calendar!K154)</f>
        <v>No Event Type</v>
      </c>
      <c r="K154">
        <f>_xlfn.XLOOKUP(Sheet1[[#This Row],[day_id]],calendar!A154,calendar!I154)</f>
        <v>0</v>
      </c>
    </row>
    <row r="155" spans="1:11" x14ac:dyDescent="0.2">
      <c r="A155" t="s">
        <v>368</v>
      </c>
      <c r="B155" t="s">
        <v>369</v>
      </c>
      <c r="C155" t="s">
        <v>155</v>
      </c>
      <c r="D155">
        <v>16</v>
      </c>
      <c r="E155" s="1">
        <f>_xlfn.XLOOKUP(Sheet1[[#This Row],[day_id]],calendar!A155,calendar!B155)</f>
        <v>40725</v>
      </c>
      <c r="F155" t="str">
        <f>_xlfn.XLOOKUP(Sheet1[[#This Row],[day_id]],calendar!A155,calendar!C155)</f>
        <v>Friday</v>
      </c>
      <c r="G155">
        <f>_xlfn.XLOOKUP(Sheet1[[#This Row],[day_id]],calendar!A155,calendar!E155)</f>
        <v>7</v>
      </c>
      <c r="H155">
        <f>_xlfn.XLOOKUP(Sheet1[[#This Row],[day_id]],calendar!A155,calendar!F155)</f>
        <v>2011</v>
      </c>
      <c r="I155" t="str">
        <f>_xlfn.XLOOKUP(Sheet1[[#This Row],[day_id]],calendar!A155,calendar!J155)</f>
        <v>No Event</v>
      </c>
      <c r="J155" t="str">
        <f>_xlfn.XLOOKUP(Sheet1[[#This Row],[day_id]],calendar!A155,calendar!K155)</f>
        <v>No Event Type</v>
      </c>
      <c r="K155">
        <f>_xlfn.XLOOKUP(Sheet1[[#This Row],[day_id]],calendar!A155,calendar!I155)</f>
        <v>1</v>
      </c>
    </row>
    <row r="156" spans="1:11" x14ac:dyDescent="0.2">
      <c r="A156" t="s">
        <v>368</v>
      </c>
      <c r="B156" t="s">
        <v>369</v>
      </c>
      <c r="C156" t="s">
        <v>156</v>
      </c>
      <c r="D156">
        <v>17</v>
      </c>
      <c r="E156" s="1">
        <f>_xlfn.XLOOKUP(Sheet1[[#This Row],[day_id]],calendar!A156,calendar!B156)</f>
        <v>40726</v>
      </c>
      <c r="F156" t="str">
        <f>_xlfn.XLOOKUP(Sheet1[[#This Row],[day_id]],calendar!A156,calendar!C156)</f>
        <v>Saturday</v>
      </c>
      <c r="G156">
        <f>_xlfn.XLOOKUP(Sheet1[[#This Row],[day_id]],calendar!A156,calendar!E156)</f>
        <v>7</v>
      </c>
      <c r="H156">
        <f>_xlfn.XLOOKUP(Sheet1[[#This Row],[day_id]],calendar!A156,calendar!F156)</f>
        <v>2011</v>
      </c>
      <c r="I156" t="str">
        <f>_xlfn.XLOOKUP(Sheet1[[#This Row],[day_id]],calendar!A156,calendar!J156)</f>
        <v>No Event</v>
      </c>
      <c r="J156" t="str">
        <f>_xlfn.XLOOKUP(Sheet1[[#This Row],[day_id]],calendar!A156,calendar!K156)</f>
        <v>No Event Type</v>
      </c>
      <c r="K156">
        <f>_xlfn.XLOOKUP(Sheet1[[#This Row],[day_id]],calendar!A156,calendar!I156)</f>
        <v>1</v>
      </c>
    </row>
    <row r="157" spans="1:11" x14ac:dyDescent="0.2">
      <c r="A157" t="s">
        <v>368</v>
      </c>
      <c r="B157" t="s">
        <v>369</v>
      </c>
      <c r="C157" t="s">
        <v>157</v>
      </c>
      <c r="D157">
        <v>11</v>
      </c>
      <c r="E157" s="1">
        <f>_xlfn.XLOOKUP(Sheet1[[#This Row],[day_id]],calendar!A157,calendar!B157)</f>
        <v>40727</v>
      </c>
      <c r="F157" t="str">
        <f>_xlfn.XLOOKUP(Sheet1[[#This Row],[day_id]],calendar!A157,calendar!C157)</f>
        <v>Sunday</v>
      </c>
      <c r="G157">
        <f>_xlfn.XLOOKUP(Sheet1[[#This Row],[day_id]],calendar!A157,calendar!E157)</f>
        <v>7</v>
      </c>
      <c r="H157">
        <f>_xlfn.XLOOKUP(Sheet1[[#This Row],[day_id]],calendar!A157,calendar!F157)</f>
        <v>2011</v>
      </c>
      <c r="I157" t="str">
        <f>_xlfn.XLOOKUP(Sheet1[[#This Row],[day_id]],calendar!A157,calendar!J157)</f>
        <v>No Event</v>
      </c>
      <c r="J157" t="str">
        <f>_xlfn.XLOOKUP(Sheet1[[#This Row],[day_id]],calendar!A157,calendar!K157)</f>
        <v>No Event Type</v>
      </c>
      <c r="K157">
        <f>_xlfn.XLOOKUP(Sheet1[[#This Row],[day_id]],calendar!A157,calendar!I157)</f>
        <v>1</v>
      </c>
    </row>
    <row r="158" spans="1:11" x14ac:dyDescent="0.2">
      <c r="A158" t="s">
        <v>368</v>
      </c>
      <c r="B158" t="s">
        <v>369</v>
      </c>
      <c r="C158" t="s">
        <v>158</v>
      </c>
      <c r="D158">
        <v>9</v>
      </c>
      <c r="E158" s="1">
        <f>_xlfn.XLOOKUP(Sheet1[[#This Row],[day_id]],calendar!A158,calendar!B158)</f>
        <v>40728</v>
      </c>
      <c r="F158" t="str">
        <f>_xlfn.XLOOKUP(Sheet1[[#This Row],[day_id]],calendar!A158,calendar!C158)</f>
        <v>Monday</v>
      </c>
      <c r="G158">
        <f>_xlfn.XLOOKUP(Sheet1[[#This Row],[day_id]],calendar!A158,calendar!E158)</f>
        <v>7</v>
      </c>
      <c r="H158">
        <f>_xlfn.XLOOKUP(Sheet1[[#This Row],[day_id]],calendar!A158,calendar!F158)</f>
        <v>2011</v>
      </c>
      <c r="I158" t="str">
        <f>_xlfn.XLOOKUP(Sheet1[[#This Row],[day_id]],calendar!A158,calendar!J158)</f>
        <v>IndependenceDay</v>
      </c>
      <c r="J158" t="str">
        <f>_xlfn.XLOOKUP(Sheet1[[#This Row],[day_id]],calendar!A158,calendar!K158)</f>
        <v>National</v>
      </c>
      <c r="K158">
        <f>_xlfn.XLOOKUP(Sheet1[[#This Row],[day_id]],calendar!A158,calendar!I158)</f>
        <v>1</v>
      </c>
    </row>
    <row r="159" spans="1:11" x14ac:dyDescent="0.2">
      <c r="A159" t="s">
        <v>368</v>
      </c>
      <c r="B159" t="s">
        <v>369</v>
      </c>
      <c r="C159" t="s">
        <v>159</v>
      </c>
      <c r="D159">
        <v>17</v>
      </c>
      <c r="E159" s="1">
        <f>_xlfn.XLOOKUP(Sheet1[[#This Row],[day_id]],calendar!A159,calendar!B159)</f>
        <v>40729</v>
      </c>
      <c r="F159" t="str">
        <f>_xlfn.XLOOKUP(Sheet1[[#This Row],[day_id]],calendar!A159,calendar!C159)</f>
        <v>Tuesday</v>
      </c>
      <c r="G159">
        <f>_xlfn.XLOOKUP(Sheet1[[#This Row],[day_id]],calendar!A159,calendar!E159)</f>
        <v>7</v>
      </c>
      <c r="H159">
        <f>_xlfn.XLOOKUP(Sheet1[[#This Row],[day_id]],calendar!A159,calendar!F159)</f>
        <v>2011</v>
      </c>
      <c r="I159" t="str">
        <f>_xlfn.XLOOKUP(Sheet1[[#This Row],[day_id]],calendar!A159,calendar!J159)</f>
        <v>No Event</v>
      </c>
      <c r="J159" t="str">
        <f>_xlfn.XLOOKUP(Sheet1[[#This Row],[day_id]],calendar!A159,calendar!K159)</f>
        <v>No Event Type</v>
      </c>
      <c r="K159">
        <f>_xlfn.XLOOKUP(Sheet1[[#This Row],[day_id]],calendar!A159,calendar!I159)</f>
        <v>1</v>
      </c>
    </row>
    <row r="160" spans="1:11" x14ac:dyDescent="0.2">
      <c r="A160" t="s">
        <v>368</v>
      </c>
      <c r="B160" t="s">
        <v>369</v>
      </c>
      <c r="C160" t="s">
        <v>160</v>
      </c>
      <c r="D160">
        <v>10</v>
      </c>
      <c r="E160" s="1">
        <f>_xlfn.XLOOKUP(Sheet1[[#This Row],[day_id]],calendar!A160,calendar!B160)</f>
        <v>40730</v>
      </c>
      <c r="F160" t="str">
        <f>_xlfn.XLOOKUP(Sheet1[[#This Row],[day_id]],calendar!A160,calendar!C160)</f>
        <v>Wednesday</v>
      </c>
      <c r="G160">
        <f>_xlfn.XLOOKUP(Sheet1[[#This Row],[day_id]],calendar!A160,calendar!E160)</f>
        <v>7</v>
      </c>
      <c r="H160">
        <f>_xlfn.XLOOKUP(Sheet1[[#This Row],[day_id]],calendar!A160,calendar!F160)</f>
        <v>2011</v>
      </c>
      <c r="I160" t="str">
        <f>_xlfn.XLOOKUP(Sheet1[[#This Row],[day_id]],calendar!A160,calendar!J160)</f>
        <v>No Event</v>
      </c>
      <c r="J160" t="str">
        <f>_xlfn.XLOOKUP(Sheet1[[#This Row],[day_id]],calendar!A160,calendar!K160)</f>
        <v>No Event Type</v>
      </c>
      <c r="K160">
        <f>_xlfn.XLOOKUP(Sheet1[[#This Row],[day_id]],calendar!A160,calendar!I160)</f>
        <v>1</v>
      </c>
    </row>
    <row r="161" spans="1:11" x14ac:dyDescent="0.2">
      <c r="A161" t="s">
        <v>368</v>
      </c>
      <c r="B161" t="s">
        <v>369</v>
      </c>
      <c r="C161" t="s">
        <v>161</v>
      </c>
      <c r="D161">
        <v>12</v>
      </c>
      <c r="E161" s="1">
        <f>_xlfn.XLOOKUP(Sheet1[[#This Row],[day_id]],calendar!A161,calendar!B161)</f>
        <v>40731</v>
      </c>
      <c r="F161" t="str">
        <f>_xlfn.XLOOKUP(Sheet1[[#This Row],[day_id]],calendar!A161,calendar!C161)</f>
        <v>Thursday</v>
      </c>
      <c r="G161">
        <f>_xlfn.XLOOKUP(Sheet1[[#This Row],[day_id]],calendar!A161,calendar!E161)</f>
        <v>7</v>
      </c>
      <c r="H161">
        <f>_xlfn.XLOOKUP(Sheet1[[#This Row],[day_id]],calendar!A161,calendar!F161)</f>
        <v>2011</v>
      </c>
      <c r="I161" t="str">
        <f>_xlfn.XLOOKUP(Sheet1[[#This Row],[day_id]],calendar!A161,calendar!J161)</f>
        <v>No Event</v>
      </c>
      <c r="J161" t="str">
        <f>_xlfn.XLOOKUP(Sheet1[[#This Row],[day_id]],calendar!A161,calendar!K161)</f>
        <v>No Event Type</v>
      </c>
      <c r="K161">
        <f>_xlfn.XLOOKUP(Sheet1[[#This Row],[day_id]],calendar!A161,calendar!I161)</f>
        <v>1</v>
      </c>
    </row>
    <row r="162" spans="1:11" x14ac:dyDescent="0.2">
      <c r="A162" t="s">
        <v>368</v>
      </c>
      <c r="B162" t="s">
        <v>369</v>
      </c>
      <c r="C162" t="s">
        <v>162</v>
      </c>
      <c r="D162">
        <v>11</v>
      </c>
      <c r="E162" s="1">
        <f>_xlfn.XLOOKUP(Sheet1[[#This Row],[day_id]],calendar!A162,calendar!B162)</f>
        <v>40732</v>
      </c>
      <c r="F162" t="str">
        <f>_xlfn.XLOOKUP(Sheet1[[#This Row],[day_id]],calendar!A162,calendar!C162)</f>
        <v>Friday</v>
      </c>
      <c r="G162">
        <f>_xlfn.XLOOKUP(Sheet1[[#This Row],[day_id]],calendar!A162,calendar!E162)</f>
        <v>7</v>
      </c>
      <c r="H162">
        <f>_xlfn.XLOOKUP(Sheet1[[#This Row],[day_id]],calendar!A162,calendar!F162)</f>
        <v>2011</v>
      </c>
      <c r="I162" t="str">
        <f>_xlfn.XLOOKUP(Sheet1[[#This Row],[day_id]],calendar!A162,calendar!J162)</f>
        <v>No Event</v>
      </c>
      <c r="J162" t="str">
        <f>_xlfn.XLOOKUP(Sheet1[[#This Row],[day_id]],calendar!A162,calendar!K162)</f>
        <v>No Event Type</v>
      </c>
      <c r="K162">
        <f>_xlfn.XLOOKUP(Sheet1[[#This Row],[day_id]],calendar!A162,calendar!I162)</f>
        <v>1</v>
      </c>
    </row>
    <row r="163" spans="1:11" x14ac:dyDescent="0.2">
      <c r="A163" t="s">
        <v>368</v>
      </c>
      <c r="B163" t="s">
        <v>369</v>
      </c>
      <c r="C163" t="s">
        <v>163</v>
      </c>
      <c r="D163">
        <v>14</v>
      </c>
      <c r="E163" s="1">
        <f>_xlfn.XLOOKUP(Sheet1[[#This Row],[day_id]],calendar!A163,calendar!B163)</f>
        <v>40733</v>
      </c>
      <c r="F163" t="str">
        <f>_xlfn.XLOOKUP(Sheet1[[#This Row],[day_id]],calendar!A163,calendar!C163)</f>
        <v>Saturday</v>
      </c>
      <c r="G163">
        <f>_xlfn.XLOOKUP(Sheet1[[#This Row],[day_id]],calendar!A163,calendar!E163)</f>
        <v>7</v>
      </c>
      <c r="H163">
        <f>_xlfn.XLOOKUP(Sheet1[[#This Row],[day_id]],calendar!A163,calendar!F163)</f>
        <v>2011</v>
      </c>
      <c r="I163" t="str">
        <f>_xlfn.XLOOKUP(Sheet1[[#This Row],[day_id]],calendar!A163,calendar!J163)</f>
        <v>No Event</v>
      </c>
      <c r="J163" t="str">
        <f>_xlfn.XLOOKUP(Sheet1[[#This Row],[day_id]],calendar!A163,calendar!K163)</f>
        <v>No Event Type</v>
      </c>
      <c r="K163">
        <f>_xlfn.XLOOKUP(Sheet1[[#This Row],[day_id]],calendar!A163,calendar!I163)</f>
        <v>1</v>
      </c>
    </row>
    <row r="164" spans="1:11" x14ac:dyDescent="0.2">
      <c r="A164" t="s">
        <v>368</v>
      </c>
      <c r="B164" t="s">
        <v>369</v>
      </c>
      <c r="C164" t="s">
        <v>164</v>
      </c>
      <c r="D164">
        <v>27</v>
      </c>
      <c r="E164" s="1">
        <f>_xlfn.XLOOKUP(Sheet1[[#This Row],[day_id]],calendar!A164,calendar!B164)</f>
        <v>40734</v>
      </c>
      <c r="F164" t="str">
        <f>_xlfn.XLOOKUP(Sheet1[[#This Row],[day_id]],calendar!A164,calendar!C164)</f>
        <v>Sunday</v>
      </c>
      <c r="G164">
        <f>_xlfn.XLOOKUP(Sheet1[[#This Row],[day_id]],calendar!A164,calendar!E164)</f>
        <v>7</v>
      </c>
      <c r="H164">
        <f>_xlfn.XLOOKUP(Sheet1[[#This Row],[day_id]],calendar!A164,calendar!F164)</f>
        <v>2011</v>
      </c>
      <c r="I164" t="str">
        <f>_xlfn.XLOOKUP(Sheet1[[#This Row],[day_id]],calendar!A164,calendar!J164)</f>
        <v>No Event</v>
      </c>
      <c r="J164" t="str">
        <f>_xlfn.XLOOKUP(Sheet1[[#This Row],[day_id]],calendar!A164,calendar!K164)</f>
        <v>No Event Type</v>
      </c>
      <c r="K164">
        <f>_xlfn.XLOOKUP(Sheet1[[#This Row],[day_id]],calendar!A164,calendar!I164)</f>
        <v>1</v>
      </c>
    </row>
    <row r="165" spans="1:11" x14ac:dyDescent="0.2">
      <c r="A165" t="s">
        <v>368</v>
      </c>
      <c r="B165" t="s">
        <v>369</v>
      </c>
      <c r="C165" t="s">
        <v>165</v>
      </c>
      <c r="D165">
        <v>4</v>
      </c>
      <c r="E165" s="1">
        <f>_xlfn.XLOOKUP(Sheet1[[#This Row],[day_id]],calendar!A165,calendar!B165)</f>
        <v>40735</v>
      </c>
      <c r="F165" t="str">
        <f>_xlfn.XLOOKUP(Sheet1[[#This Row],[day_id]],calendar!A165,calendar!C165)</f>
        <v>Monday</v>
      </c>
      <c r="G165">
        <f>_xlfn.XLOOKUP(Sheet1[[#This Row],[day_id]],calendar!A165,calendar!E165)</f>
        <v>7</v>
      </c>
      <c r="H165">
        <f>_xlfn.XLOOKUP(Sheet1[[#This Row],[day_id]],calendar!A165,calendar!F165)</f>
        <v>2011</v>
      </c>
      <c r="I165" t="str">
        <f>_xlfn.XLOOKUP(Sheet1[[#This Row],[day_id]],calendar!A165,calendar!J165)</f>
        <v>No Event</v>
      </c>
      <c r="J165" t="str">
        <f>_xlfn.XLOOKUP(Sheet1[[#This Row],[day_id]],calendar!A165,calendar!K165)</f>
        <v>No Event Type</v>
      </c>
      <c r="K165">
        <f>_xlfn.XLOOKUP(Sheet1[[#This Row],[day_id]],calendar!A165,calendar!I165)</f>
        <v>0</v>
      </c>
    </row>
    <row r="166" spans="1:11" x14ac:dyDescent="0.2">
      <c r="A166" t="s">
        <v>368</v>
      </c>
      <c r="B166" t="s">
        <v>369</v>
      </c>
      <c r="C166" t="s">
        <v>166</v>
      </c>
      <c r="D166">
        <v>11</v>
      </c>
      <c r="E166" s="1">
        <f>_xlfn.XLOOKUP(Sheet1[[#This Row],[day_id]],calendar!A166,calendar!B166)</f>
        <v>40736</v>
      </c>
      <c r="F166" t="str">
        <f>_xlfn.XLOOKUP(Sheet1[[#This Row],[day_id]],calendar!A166,calendar!C166)</f>
        <v>Tuesday</v>
      </c>
      <c r="G166">
        <f>_xlfn.XLOOKUP(Sheet1[[#This Row],[day_id]],calendar!A166,calendar!E166)</f>
        <v>7</v>
      </c>
      <c r="H166">
        <f>_xlfn.XLOOKUP(Sheet1[[#This Row],[day_id]],calendar!A166,calendar!F166)</f>
        <v>2011</v>
      </c>
      <c r="I166" t="str">
        <f>_xlfn.XLOOKUP(Sheet1[[#This Row],[day_id]],calendar!A166,calendar!J166)</f>
        <v>No Event</v>
      </c>
      <c r="J166" t="str">
        <f>_xlfn.XLOOKUP(Sheet1[[#This Row],[day_id]],calendar!A166,calendar!K166)</f>
        <v>No Event Type</v>
      </c>
      <c r="K166">
        <f>_xlfn.XLOOKUP(Sheet1[[#This Row],[day_id]],calendar!A166,calendar!I166)</f>
        <v>0</v>
      </c>
    </row>
    <row r="167" spans="1:11" x14ac:dyDescent="0.2">
      <c r="A167" t="s">
        <v>368</v>
      </c>
      <c r="B167" t="s">
        <v>369</v>
      </c>
      <c r="C167" t="s">
        <v>167</v>
      </c>
      <c r="D167">
        <v>10</v>
      </c>
      <c r="E167" s="1">
        <f>_xlfn.XLOOKUP(Sheet1[[#This Row],[day_id]],calendar!A167,calendar!B167)</f>
        <v>40737</v>
      </c>
      <c r="F167" t="str">
        <f>_xlfn.XLOOKUP(Sheet1[[#This Row],[day_id]],calendar!A167,calendar!C167)</f>
        <v>Wednesday</v>
      </c>
      <c r="G167">
        <f>_xlfn.XLOOKUP(Sheet1[[#This Row],[day_id]],calendar!A167,calendar!E167)</f>
        <v>7</v>
      </c>
      <c r="H167">
        <f>_xlfn.XLOOKUP(Sheet1[[#This Row],[day_id]],calendar!A167,calendar!F167)</f>
        <v>2011</v>
      </c>
      <c r="I167" t="str">
        <f>_xlfn.XLOOKUP(Sheet1[[#This Row],[day_id]],calendar!A167,calendar!J167)</f>
        <v>No Event</v>
      </c>
      <c r="J167" t="str">
        <f>_xlfn.XLOOKUP(Sheet1[[#This Row],[day_id]],calendar!A167,calendar!K167)</f>
        <v>No Event Type</v>
      </c>
      <c r="K167">
        <f>_xlfn.XLOOKUP(Sheet1[[#This Row],[day_id]],calendar!A167,calendar!I167)</f>
        <v>0</v>
      </c>
    </row>
    <row r="168" spans="1:11" x14ac:dyDescent="0.2">
      <c r="A168" t="s">
        <v>368</v>
      </c>
      <c r="B168" t="s">
        <v>369</v>
      </c>
      <c r="C168" t="s">
        <v>168</v>
      </c>
      <c r="D168">
        <v>17</v>
      </c>
      <c r="E168" s="1">
        <f>_xlfn.XLOOKUP(Sheet1[[#This Row],[day_id]],calendar!A168,calendar!B168)</f>
        <v>40738</v>
      </c>
      <c r="F168" t="str">
        <f>_xlfn.XLOOKUP(Sheet1[[#This Row],[day_id]],calendar!A168,calendar!C168)</f>
        <v>Thursday</v>
      </c>
      <c r="G168">
        <f>_xlfn.XLOOKUP(Sheet1[[#This Row],[day_id]],calendar!A168,calendar!E168)</f>
        <v>7</v>
      </c>
      <c r="H168">
        <f>_xlfn.XLOOKUP(Sheet1[[#This Row],[day_id]],calendar!A168,calendar!F168)</f>
        <v>2011</v>
      </c>
      <c r="I168" t="str">
        <f>_xlfn.XLOOKUP(Sheet1[[#This Row],[day_id]],calendar!A168,calendar!J168)</f>
        <v>No Event</v>
      </c>
      <c r="J168" t="str">
        <f>_xlfn.XLOOKUP(Sheet1[[#This Row],[day_id]],calendar!A168,calendar!K168)</f>
        <v>No Event Type</v>
      </c>
      <c r="K168">
        <f>_xlfn.XLOOKUP(Sheet1[[#This Row],[day_id]],calendar!A168,calendar!I168)</f>
        <v>0</v>
      </c>
    </row>
    <row r="169" spans="1:11" x14ac:dyDescent="0.2">
      <c r="A169" t="s">
        <v>368</v>
      </c>
      <c r="B169" t="s">
        <v>369</v>
      </c>
      <c r="C169" t="s">
        <v>169</v>
      </c>
      <c r="D169">
        <v>6</v>
      </c>
      <c r="E169" s="1">
        <f>_xlfn.XLOOKUP(Sheet1[[#This Row],[day_id]],calendar!A169,calendar!B169)</f>
        <v>40739</v>
      </c>
      <c r="F169" t="str">
        <f>_xlfn.XLOOKUP(Sheet1[[#This Row],[day_id]],calendar!A169,calendar!C169)</f>
        <v>Friday</v>
      </c>
      <c r="G169">
        <f>_xlfn.XLOOKUP(Sheet1[[#This Row],[day_id]],calendar!A169,calendar!E169)</f>
        <v>7</v>
      </c>
      <c r="H169">
        <f>_xlfn.XLOOKUP(Sheet1[[#This Row],[day_id]],calendar!A169,calendar!F169)</f>
        <v>2011</v>
      </c>
      <c r="I169" t="str">
        <f>_xlfn.XLOOKUP(Sheet1[[#This Row],[day_id]],calendar!A169,calendar!J169)</f>
        <v>No Event</v>
      </c>
      <c r="J169" t="str">
        <f>_xlfn.XLOOKUP(Sheet1[[#This Row],[day_id]],calendar!A169,calendar!K169)</f>
        <v>No Event Type</v>
      </c>
      <c r="K169">
        <f>_xlfn.XLOOKUP(Sheet1[[#This Row],[day_id]],calendar!A169,calendar!I169)</f>
        <v>0</v>
      </c>
    </row>
    <row r="170" spans="1:11" x14ac:dyDescent="0.2">
      <c r="A170" t="s">
        <v>368</v>
      </c>
      <c r="B170" t="s">
        <v>369</v>
      </c>
      <c r="C170" t="s">
        <v>170</v>
      </c>
      <c r="D170">
        <v>33</v>
      </c>
      <c r="E170" s="1">
        <f>_xlfn.XLOOKUP(Sheet1[[#This Row],[day_id]],calendar!A170,calendar!B170)</f>
        <v>40740</v>
      </c>
      <c r="F170" t="str">
        <f>_xlfn.XLOOKUP(Sheet1[[#This Row],[day_id]],calendar!A170,calendar!C170)</f>
        <v>Saturday</v>
      </c>
      <c r="G170">
        <f>_xlfn.XLOOKUP(Sheet1[[#This Row],[day_id]],calendar!A170,calendar!E170)</f>
        <v>7</v>
      </c>
      <c r="H170">
        <f>_xlfn.XLOOKUP(Sheet1[[#This Row],[day_id]],calendar!A170,calendar!F170)</f>
        <v>2011</v>
      </c>
      <c r="I170" t="str">
        <f>_xlfn.XLOOKUP(Sheet1[[#This Row],[day_id]],calendar!A170,calendar!J170)</f>
        <v>No Event</v>
      </c>
      <c r="J170" t="str">
        <f>_xlfn.XLOOKUP(Sheet1[[#This Row],[day_id]],calendar!A170,calendar!K170)</f>
        <v>No Event Type</v>
      </c>
      <c r="K170">
        <f>_xlfn.XLOOKUP(Sheet1[[#This Row],[day_id]],calendar!A170,calendar!I170)</f>
        <v>0</v>
      </c>
    </row>
    <row r="171" spans="1:11" x14ac:dyDescent="0.2">
      <c r="A171" t="s">
        <v>368</v>
      </c>
      <c r="B171" t="s">
        <v>369</v>
      </c>
      <c r="C171" t="s">
        <v>171</v>
      </c>
      <c r="D171">
        <v>14</v>
      </c>
      <c r="E171" s="1">
        <f>_xlfn.XLOOKUP(Sheet1[[#This Row],[day_id]],calendar!A171,calendar!B171)</f>
        <v>40741</v>
      </c>
      <c r="F171" t="str">
        <f>_xlfn.XLOOKUP(Sheet1[[#This Row],[day_id]],calendar!A171,calendar!C171)</f>
        <v>Sunday</v>
      </c>
      <c r="G171">
        <f>_xlfn.XLOOKUP(Sheet1[[#This Row],[day_id]],calendar!A171,calendar!E171)</f>
        <v>7</v>
      </c>
      <c r="H171">
        <f>_xlfn.XLOOKUP(Sheet1[[#This Row],[day_id]],calendar!A171,calendar!F171)</f>
        <v>2011</v>
      </c>
      <c r="I171" t="str">
        <f>_xlfn.XLOOKUP(Sheet1[[#This Row],[day_id]],calendar!A171,calendar!J171)</f>
        <v>No Event</v>
      </c>
      <c r="J171" t="str">
        <f>_xlfn.XLOOKUP(Sheet1[[#This Row],[day_id]],calendar!A171,calendar!K171)</f>
        <v>No Event Type</v>
      </c>
      <c r="K171">
        <f>_xlfn.XLOOKUP(Sheet1[[#This Row],[day_id]],calendar!A171,calendar!I171)</f>
        <v>0</v>
      </c>
    </row>
    <row r="172" spans="1:11" x14ac:dyDescent="0.2">
      <c r="A172" t="s">
        <v>368</v>
      </c>
      <c r="B172" t="s">
        <v>369</v>
      </c>
      <c r="C172" t="s">
        <v>172</v>
      </c>
      <c r="D172">
        <v>5</v>
      </c>
      <c r="E172" s="1">
        <f>_xlfn.XLOOKUP(Sheet1[[#This Row],[day_id]],calendar!A172,calendar!B172)</f>
        <v>40742</v>
      </c>
      <c r="F172" t="str">
        <f>_xlfn.XLOOKUP(Sheet1[[#This Row],[day_id]],calendar!A172,calendar!C172)</f>
        <v>Monday</v>
      </c>
      <c r="G172">
        <f>_xlfn.XLOOKUP(Sheet1[[#This Row],[day_id]],calendar!A172,calendar!E172)</f>
        <v>7</v>
      </c>
      <c r="H172">
        <f>_xlfn.XLOOKUP(Sheet1[[#This Row],[day_id]],calendar!A172,calendar!F172)</f>
        <v>2011</v>
      </c>
      <c r="I172" t="str">
        <f>_xlfn.XLOOKUP(Sheet1[[#This Row],[day_id]],calendar!A172,calendar!J172)</f>
        <v>No Event</v>
      </c>
      <c r="J172" t="str">
        <f>_xlfn.XLOOKUP(Sheet1[[#This Row],[day_id]],calendar!A172,calendar!K172)</f>
        <v>No Event Type</v>
      </c>
      <c r="K172">
        <f>_xlfn.XLOOKUP(Sheet1[[#This Row],[day_id]],calendar!A172,calendar!I172)</f>
        <v>0</v>
      </c>
    </row>
    <row r="173" spans="1:11" x14ac:dyDescent="0.2">
      <c r="A173" t="s">
        <v>368</v>
      </c>
      <c r="B173" t="s">
        <v>369</v>
      </c>
      <c r="C173" t="s">
        <v>173</v>
      </c>
      <c r="D173">
        <v>15</v>
      </c>
      <c r="E173" s="1">
        <f>_xlfn.XLOOKUP(Sheet1[[#This Row],[day_id]],calendar!A173,calendar!B173)</f>
        <v>40743</v>
      </c>
      <c r="F173" t="str">
        <f>_xlfn.XLOOKUP(Sheet1[[#This Row],[day_id]],calendar!A173,calendar!C173)</f>
        <v>Tuesday</v>
      </c>
      <c r="G173">
        <f>_xlfn.XLOOKUP(Sheet1[[#This Row],[day_id]],calendar!A173,calendar!E173)</f>
        <v>7</v>
      </c>
      <c r="H173">
        <f>_xlfn.XLOOKUP(Sheet1[[#This Row],[day_id]],calendar!A173,calendar!F173)</f>
        <v>2011</v>
      </c>
      <c r="I173" t="str">
        <f>_xlfn.XLOOKUP(Sheet1[[#This Row],[day_id]],calendar!A173,calendar!J173)</f>
        <v>No Event</v>
      </c>
      <c r="J173" t="str">
        <f>_xlfn.XLOOKUP(Sheet1[[#This Row],[day_id]],calendar!A173,calendar!K173)</f>
        <v>No Event Type</v>
      </c>
      <c r="K173">
        <f>_xlfn.XLOOKUP(Sheet1[[#This Row],[day_id]],calendar!A173,calendar!I173)</f>
        <v>0</v>
      </c>
    </row>
    <row r="174" spans="1:11" x14ac:dyDescent="0.2">
      <c r="A174" t="s">
        <v>368</v>
      </c>
      <c r="B174" t="s">
        <v>369</v>
      </c>
      <c r="C174" t="s">
        <v>174</v>
      </c>
      <c r="D174">
        <v>8</v>
      </c>
      <c r="E174" s="1">
        <f>_xlfn.XLOOKUP(Sheet1[[#This Row],[day_id]],calendar!A174,calendar!B174)</f>
        <v>40744</v>
      </c>
      <c r="F174" t="str">
        <f>_xlfn.XLOOKUP(Sheet1[[#This Row],[day_id]],calendar!A174,calendar!C174)</f>
        <v>Wednesday</v>
      </c>
      <c r="G174">
        <f>_xlfn.XLOOKUP(Sheet1[[#This Row],[day_id]],calendar!A174,calendar!E174)</f>
        <v>7</v>
      </c>
      <c r="H174">
        <f>_xlfn.XLOOKUP(Sheet1[[#This Row],[day_id]],calendar!A174,calendar!F174)</f>
        <v>2011</v>
      </c>
      <c r="I174" t="str">
        <f>_xlfn.XLOOKUP(Sheet1[[#This Row],[day_id]],calendar!A174,calendar!J174)</f>
        <v>No Event</v>
      </c>
      <c r="J174" t="str">
        <f>_xlfn.XLOOKUP(Sheet1[[#This Row],[day_id]],calendar!A174,calendar!K174)</f>
        <v>No Event Type</v>
      </c>
      <c r="K174">
        <f>_xlfn.XLOOKUP(Sheet1[[#This Row],[day_id]],calendar!A174,calendar!I174)</f>
        <v>0</v>
      </c>
    </row>
    <row r="175" spans="1:11" x14ac:dyDescent="0.2">
      <c r="A175" t="s">
        <v>368</v>
      </c>
      <c r="B175" t="s">
        <v>369</v>
      </c>
      <c r="C175" t="s">
        <v>175</v>
      </c>
      <c r="D175">
        <v>8</v>
      </c>
      <c r="E175" s="1">
        <f>_xlfn.XLOOKUP(Sheet1[[#This Row],[day_id]],calendar!A175,calendar!B175)</f>
        <v>40745</v>
      </c>
      <c r="F175" t="str">
        <f>_xlfn.XLOOKUP(Sheet1[[#This Row],[day_id]],calendar!A175,calendar!C175)</f>
        <v>Thursday</v>
      </c>
      <c r="G175">
        <f>_xlfn.XLOOKUP(Sheet1[[#This Row],[day_id]],calendar!A175,calendar!E175)</f>
        <v>7</v>
      </c>
      <c r="H175">
        <f>_xlfn.XLOOKUP(Sheet1[[#This Row],[day_id]],calendar!A175,calendar!F175)</f>
        <v>2011</v>
      </c>
      <c r="I175" t="str">
        <f>_xlfn.XLOOKUP(Sheet1[[#This Row],[day_id]],calendar!A175,calendar!J175)</f>
        <v>No Event</v>
      </c>
      <c r="J175" t="str">
        <f>_xlfn.XLOOKUP(Sheet1[[#This Row],[day_id]],calendar!A175,calendar!K175)</f>
        <v>No Event Type</v>
      </c>
      <c r="K175">
        <f>_xlfn.XLOOKUP(Sheet1[[#This Row],[day_id]],calendar!A175,calendar!I175)</f>
        <v>0</v>
      </c>
    </row>
    <row r="176" spans="1:11" x14ac:dyDescent="0.2">
      <c r="A176" t="s">
        <v>368</v>
      </c>
      <c r="B176" t="s">
        <v>369</v>
      </c>
      <c r="C176" t="s">
        <v>176</v>
      </c>
      <c r="D176">
        <v>5</v>
      </c>
      <c r="E176" s="1">
        <f>_xlfn.XLOOKUP(Sheet1[[#This Row],[day_id]],calendar!A176,calendar!B176)</f>
        <v>40746</v>
      </c>
      <c r="F176" t="str">
        <f>_xlfn.XLOOKUP(Sheet1[[#This Row],[day_id]],calendar!A176,calendar!C176)</f>
        <v>Friday</v>
      </c>
      <c r="G176">
        <f>_xlfn.XLOOKUP(Sheet1[[#This Row],[day_id]],calendar!A176,calendar!E176)</f>
        <v>7</v>
      </c>
      <c r="H176">
        <f>_xlfn.XLOOKUP(Sheet1[[#This Row],[day_id]],calendar!A176,calendar!F176)</f>
        <v>2011</v>
      </c>
      <c r="I176" t="str">
        <f>_xlfn.XLOOKUP(Sheet1[[#This Row],[day_id]],calendar!A176,calendar!J176)</f>
        <v>No Event</v>
      </c>
      <c r="J176" t="str">
        <f>_xlfn.XLOOKUP(Sheet1[[#This Row],[day_id]],calendar!A176,calendar!K176)</f>
        <v>No Event Type</v>
      </c>
      <c r="K176">
        <f>_xlfn.XLOOKUP(Sheet1[[#This Row],[day_id]],calendar!A176,calendar!I176)</f>
        <v>0</v>
      </c>
    </row>
    <row r="177" spans="1:11" x14ac:dyDescent="0.2">
      <c r="A177" t="s">
        <v>368</v>
      </c>
      <c r="B177" t="s">
        <v>369</v>
      </c>
      <c r="C177" t="s">
        <v>177</v>
      </c>
      <c r="D177">
        <v>15</v>
      </c>
      <c r="E177" s="1">
        <f>_xlfn.XLOOKUP(Sheet1[[#This Row],[day_id]],calendar!A177,calendar!B177)</f>
        <v>40747</v>
      </c>
      <c r="F177" t="str">
        <f>_xlfn.XLOOKUP(Sheet1[[#This Row],[day_id]],calendar!A177,calendar!C177)</f>
        <v>Saturday</v>
      </c>
      <c r="G177">
        <f>_xlfn.XLOOKUP(Sheet1[[#This Row],[day_id]],calendar!A177,calendar!E177)</f>
        <v>7</v>
      </c>
      <c r="H177">
        <f>_xlfn.XLOOKUP(Sheet1[[#This Row],[day_id]],calendar!A177,calendar!F177)</f>
        <v>2011</v>
      </c>
      <c r="I177" t="str">
        <f>_xlfn.XLOOKUP(Sheet1[[#This Row],[day_id]],calendar!A177,calendar!J177)</f>
        <v>No Event</v>
      </c>
      <c r="J177" t="str">
        <f>_xlfn.XLOOKUP(Sheet1[[#This Row],[day_id]],calendar!A177,calendar!K177)</f>
        <v>No Event Type</v>
      </c>
      <c r="K177">
        <f>_xlfn.XLOOKUP(Sheet1[[#This Row],[day_id]],calendar!A177,calendar!I177)</f>
        <v>0</v>
      </c>
    </row>
    <row r="178" spans="1:11" x14ac:dyDescent="0.2">
      <c r="A178" t="s">
        <v>368</v>
      </c>
      <c r="B178" t="s">
        <v>369</v>
      </c>
      <c r="C178" t="s">
        <v>178</v>
      </c>
      <c r="D178">
        <v>9</v>
      </c>
      <c r="E178" s="1">
        <f>_xlfn.XLOOKUP(Sheet1[[#This Row],[day_id]],calendar!A178,calendar!B178)</f>
        <v>40748</v>
      </c>
      <c r="F178" t="str">
        <f>_xlfn.XLOOKUP(Sheet1[[#This Row],[day_id]],calendar!A178,calendar!C178)</f>
        <v>Sunday</v>
      </c>
      <c r="G178">
        <f>_xlfn.XLOOKUP(Sheet1[[#This Row],[day_id]],calendar!A178,calendar!E178)</f>
        <v>7</v>
      </c>
      <c r="H178">
        <f>_xlfn.XLOOKUP(Sheet1[[#This Row],[day_id]],calendar!A178,calendar!F178)</f>
        <v>2011</v>
      </c>
      <c r="I178" t="str">
        <f>_xlfn.XLOOKUP(Sheet1[[#This Row],[day_id]],calendar!A178,calendar!J178)</f>
        <v>No Event</v>
      </c>
      <c r="J178" t="str">
        <f>_xlfn.XLOOKUP(Sheet1[[#This Row],[day_id]],calendar!A178,calendar!K178)</f>
        <v>No Event Type</v>
      </c>
      <c r="K178">
        <f>_xlfn.XLOOKUP(Sheet1[[#This Row],[day_id]],calendar!A178,calendar!I178)</f>
        <v>0</v>
      </c>
    </row>
    <row r="179" spans="1:11" x14ac:dyDescent="0.2">
      <c r="A179" t="s">
        <v>368</v>
      </c>
      <c r="B179" t="s">
        <v>369</v>
      </c>
      <c r="C179" t="s">
        <v>179</v>
      </c>
      <c r="D179">
        <v>2</v>
      </c>
      <c r="E179" s="1">
        <f>_xlfn.XLOOKUP(Sheet1[[#This Row],[day_id]],calendar!A179,calendar!B179)</f>
        <v>40749</v>
      </c>
      <c r="F179" t="str">
        <f>_xlfn.XLOOKUP(Sheet1[[#This Row],[day_id]],calendar!A179,calendar!C179)</f>
        <v>Monday</v>
      </c>
      <c r="G179">
        <f>_xlfn.XLOOKUP(Sheet1[[#This Row],[day_id]],calendar!A179,calendar!E179)</f>
        <v>7</v>
      </c>
      <c r="H179">
        <f>_xlfn.XLOOKUP(Sheet1[[#This Row],[day_id]],calendar!A179,calendar!F179)</f>
        <v>2011</v>
      </c>
      <c r="I179" t="str">
        <f>_xlfn.XLOOKUP(Sheet1[[#This Row],[day_id]],calendar!A179,calendar!J179)</f>
        <v>No Event</v>
      </c>
      <c r="J179" t="str">
        <f>_xlfn.XLOOKUP(Sheet1[[#This Row],[day_id]],calendar!A179,calendar!K179)</f>
        <v>No Event Type</v>
      </c>
      <c r="K179">
        <f>_xlfn.XLOOKUP(Sheet1[[#This Row],[day_id]],calendar!A179,calendar!I179)</f>
        <v>0</v>
      </c>
    </row>
    <row r="180" spans="1:11" x14ac:dyDescent="0.2">
      <c r="A180" t="s">
        <v>368</v>
      </c>
      <c r="B180" t="s">
        <v>369</v>
      </c>
      <c r="C180" t="s">
        <v>180</v>
      </c>
      <c r="D180">
        <v>13</v>
      </c>
      <c r="E180" s="1">
        <f>_xlfn.XLOOKUP(Sheet1[[#This Row],[day_id]],calendar!A180,calendar!B180)</f>
        <v>40750</v>
      </c>
      <c r="F180" t="str">
        <f>_xlfn.XLOOKUP(Sheet1[[#This Row],[day_id]],calendar!A180,calendar!C180)</f>
        <v>Tuesday</v>
      </c>
      <c r="G180">
        <f>_xlfn.XLOOKUP(Sheet1[[#This Row],[day_id]],calendar!A180,calendar!E180)</f>
        <v>7</v>
      </c>
      <c r="H180">
        <f>_xlfn.XLOOKUP(Sheet1[[#This Row],[day_id]],calendar!A180,calendar!F180)</f>
        <v>2011</v>
      </c>
      <c r="I180" t="str">
        <f>_xlfn.XLOOKUP(Sheet1[[#This Row],[day_id]],calendar!A180,calendar!J180)</f>
        <v>No Event</v>
      </c>
      <c r="J180" t="str">
        <f>_xlfn.XLOOKUP(Sheet1[[#This Row],[day_id]],calendar!A180,calendar!K180)</f>
        <v>No Event Type</v>
      </c>
      <c r="K180">
        <f>_xlfn.XLOOKUP(Sheet1[[#This Row],[day_id]],calendar!A180,calendar!I180)</f>
        <v>0</v>
      </c>
    </row>
    <row r="181" spans="1:11" x14ac:dyDescent="0.2">
      <c r="A181" t="s">
        <v>368</v>
      </c>
      <c r="B181" t="s">
        <v>369</v>
      </c>
      <c r="C181" t="s">
        <v>181</v>
      </c>
      <c r="D181">
        <v>15</v>
      </c>
      <c r="E181" s="1">
        <f>_xlfn.XLOOKUP(Sheet1[[#This Row],[day_id]],calendar!A181,calendar!B181)</f>
        <v>40751</v>
      </c>
      <c r="F181" t="str">
        <f>_xlfn.XLOOKUP(Sheet1[[#This Row],[day_id]],calendar!A181,calendar!C181)</f>
        <v>Wednesday</v>
      </c>
      <c r="G181">
        <f>_xlfn.XLOOKUP(Sheet1[[#This Row],[day_id]],calendar!A181,calendar!E181)</f>
        <v>7</v>
      </c>
      <c r="H181">
        <f>_xlfn.XLOOKUP(Sheet1[[#This Row],[day_id]],calendar!A181,calendar!F181)</f>
        <v>2011</v>
      </c>
      <c r="I181" t="str">
        <f>_xlfn.XLOOKUP(Sheet1[[#This Row],[day_id]],calendar!A181,calendar!J181)</f>
        <v>No Event</v>
      </c>
      <c r="J181" t="str">
        <f>_xlfn.XLOOKUP(Sheet1[[#This Row],[day_id]],calendar!A181,calendar!K181)</f>
        <v>No Event Type</v>
      </c>
      <c r="K181">
        <f>_xlfn.XLOOKUP(Sheet1[[#This Row],[day_id]],calendar!A181,calendar!I181)</f>
        <v>0</v>
      </c>
    </row>
    <row r="182" spans="1:11" x14ac:dyDescent="0.2">
      <c r="A182" t="s">
        <v>368</v>
      </c>
      <c r="B182" t="s">
        <v>369</v>
      </c>
      <c r="C182" t="s">
        <v>182</v>
      </c>
      <c r="D182">
        <v>16</v>
      </c>
      <c r="E182" s="1">
        <f>_xlfn.XLOOKUP(Sheet1[[#This Row],[day_id]],calendar!A182,calendar!B182)</f>
        <v>40752</v>
      </c>
      <c r="F182" t="str">
        <f>_xlfn.XLOOKUP(Sheet1[[#This Row],[day_id]],calendar!A182,calendar!C182)</f>
        <v>Thursday</v>
      </c>
      <c r="G182">
        <f>_xlfn.XLOOKUP(Sheet1[[#This Row],[day_id]],calendar!A182,calendar!E182)</f>
        <v>7</v>
      </c>
      <c r="H182">
        <f>_xlfn.XLOOKUP(Sheet1[[#This Row],[day_id]],calendar!A182,calendar!F182)</f>
        <v>2011</v>
      </c>
      <c r="I182" t="str">
        <f>_xlfn.XLOOKUP(Sheet1[[#This Row],[day_id]],calendar!A182,calendar!J182)</f>
        <v>No Event</v>
      </c>
      <c r="J182" t="str">
        <f>_xlfn.XLOOKUP(Sheet1[[#This Row],[day_id]],calendar!A182,calendar!K182)</f>
        <v>No Event Type</v>
      </c>
      <c r="K182">
        <f>_xlfn.XLOOKUP(Sheet1[[#This Row],[day_id]],calendar!A182,calendar!I182)</f>
        <v>0</v>
      </c>
    </row>
    <row r="183" spans="1:11" x14ac:dyDescent="0.2">
      <c r="A183" t="s">
        <v>368</v>
      </c>
      <c r="B183" t="s">
        <v>369</v>
      </c>
      <c r="C183" t="s">
        <v>183</v>
      </c>
      <c r="D183">
        <v>7</v>
      </c>
      <c r="E183" s="1">
        <f>_xlfn.XLOOKUP(Sheet1[[#This Row],[day_id]],calendar!A183,calendar!B183)</f>
        <v>40753</v>
      </c>
      <c r="F183" t="str">
        <f>_xlfn.XLOOKUP(Sheet1[[#This Row],[day_id]],calendar!A183,calendar!C183)</f>
        <v>Friday</v>
      </c>
      <c r="G183">
        <f>_xlfn.XLOOKUP(Sheet1[[#This Row],[day_id]],calendar!A183,calendar!E183)</f>
        <v>7</v>
      </c>
      <c r="H183">
        <f>_xlfn.XLOOKUP(Sheet1[[#This Row],[day_id]],calendar!A183,calendar!F183)</f>
        <v>2011</v>
      </c>
      <c r="I183" t="str">
        <f>_xlfn.XLOOKUP(Sheet1[[#This Row],[day_id]],calendar!A183,calendar!J183)</f>
        <v>No Event</v>
      </c>
      <c r="J183" t="str">
        <f>_xlfn.XLOOKUP(Sheet1[[#This Row],[day_id]],calendar!A183,calendar!K183)</f>
        <v>No Event Type</v>
      </c>
      <c r="K183">
        <f>_xlfn.XLOOKUP(Sheet1[[#This Row],[day_id]],calendar!A183,calendar!I183)</f>
        <v>0</v>
      </c>
    </row>
    <row r="184" spans="1:11" x14ac:dyDescent="0.2">
      <c r="A184" t="s">
        <v>368</v>
      </c>
      <c r="B184" t="s">
        <v>369</v>
      </c>
      <c r="C184" t="s">
        <v>184</v>
      </c>
      <c r="D184">
        <v>10</v>
      </c>
      <c r="E184" s="1">
        <f>_xlfn.XLOOKUP(Sheet1[[#This Row],[day_id]],calendar!A184,calendar!B184)</f>
        <v>40754</v>
      </c>
      <c r="F184" t="str">
        <f>_xlfn.XLOOKUP(Sheet1[[#This Row],[day_id]],calendar!A184,calendar!C184)</f>
        <v>Saturday</v>
      </c>
      <c r="G184">
        <f>_xlfn.XLOOKUP(Sheet1[[#This Row],[day_id]],calendar!A184,calendar!E184)</f>
        <v>7</v>
      </c>
      <c r="H184">
        <f>_xlfn.XLOOKUP(Sheet1[[#This Row],[day_id]],calendar!A184,calendar!F184)</f>
        <v>2011</v>
      </c>
      <c r="I184" t="str">
        <f>_xlfn.XLOOKUP(Sheet1[[#This Row],[day_id]],calendar!A184,calendar!J184)</f>
        <v>No Event</v>
      </c>
      <c r="J184" t="str">
        <f>_xlfn.XLOOKUP(Sheet1[[#This Row],[day_id]],calendar!A184,calendar!K184)</f>
        <v>No Event Type</v>
      </c>
      <c r="K184">
        <f>_xlfn.XLOOKUP(Sheet1[[#This Row],[day_id]],calendar!A184,calendar!I184)</f>
        <v>0</v>
      </c>
    </row>
    <row r="185" spans="1:11" x14ac:dyDescent="0.2">
      <c r="A185" t="s">
        <v>368</v>
      </c>
      <c r="B185" t="s">
        <v>369</v>
      </c>
      <c r="C185" t="s">
        <v>185</v>
      </c>
      <c r="D185">
        <v>0</v>
      </c>
      <c r="E185" s="1">
        <f>_xlfn.XLOOKUP(Sheet1[[#This Row],[day_id]],calendar!A185,calendar!B185)</f>
        <v>40755</v>
      </c>
      <c r="F185" t="str">
        <f>_xlfn.XLOOKUP(Sheet1[[#This Row],[day_id]],calendar!A185,calendar!C185)</f>
        <v>Sunday</v>
      </c>
      <c r="G185">
        <f>_xlfn.XLOOKUP(Sheet1[[#This Row],[day_id]],calendar!A185,calendar!E185)</f>
        <v>7</v>
      </c>
      <c r="H185">
        <f>_xlfn.XLOOKUP(Sheet1[[#This Row],[day_id]],calendar!A185,calendar!F185)</f>
        <v>2011</v>
      </c>
      <c r="I185" t="str">
        <f>_xlfn.XLOOKUP(Sheet1[[#This Row],[day_id]],calendar!A185,calendar!J185)</f>
        <v>No Event</v>
      </c>
      <c r="J185" t="str">
        <f>_xlfn.XLOOKUP(Sheet1[[#This Row],[day_id]],calendar!A185,calendar!K185)</f>
        <v>No Event Type</v>
      </c>
      <c r="K185">
        <f>_xlfn.XLOOKUP(Sheet1[[#This Row],[day_id]],calendar!A185,calendar!I185)</f>
        <v>0</v>
      </c>
    </row>
    <row r="186" spans="1:11" x14ac:dyDescent="0.2">
      <c r="A186" t="s">
        <v>368</v>
      </c>
      <c r="B186" t="s">
        <v>369</v>
      </c>
      <c r="C186" t="s">
        <v>186</v>
      </c>
      <c r="D186">
        <v>0</v>
      </c>
      <c r="E186" s="1">
        <f>_xlfn.XLOOKUP(Sheet1[[#This Row],[day_id]],calendar!A186,calendar!B186)</f>
        <v>40756</v>
      </c>
      <c r="F186" t="str">
        <f>_xlfn.XLOOKUP(Sheet1[[#This Row],[day_id]],calendar!A186,calendar!C186)</f>
        <v>Monday</v>
      </c>
      <c r="G186">
        <f>_xlfn.XLOOKUP(Sheet1[[#This Row],[day_id]],calendar!A186,calendar!E186)</f>
        <v>8</v>
      </c>
      <c r="H186">
        <f>_xlfn.XLOOKUP(Sheet1[[#This Row],[day_id]],calendar!A186,calendar!F186)</f>
        <v>2011</v>
      </c>
      <c r="I186" t="str">
        <f>_xlfn.XLOOKUP(Sheet1[[#This Row],[day_id]],calendar!A186,calendar!J186)</f>
        <v>Ramadan starts</v>
      </c>
      <c r="J186" t="str">
        <f>_xlfn.XLOOKUP(Sheet1[[#This Row],[day_id]],calendar!A186,calendar!K186)</f>
        <v>Religious</v>
      </c>
      <c r="K186">
        <f>_xlfn.XLOOKUP(Sheet1[[#This Row],[day_id]],calendar!A186,calendar!I186)</f>
        <v>1</v>
      </c>
    </row>
    <row r="187" spans="1:11" x14ac:dyDescent="0.2">
      <c r="A187" t="s">
        <v>368</v>
      </c>
      <c r="B187" t="s">
        <v>369</v>
      </c>
      <c r="C187" t="s">
        <v>187</v>
      </c>
      <c r="D187">
        <v>0</v>
      </c>
      <c r="E187" s="1">
        <f>_xlfn.XLOOKUP(Sheet1[[#This Row],[day_id]],calendar!A187,calendar!B187)</f>
        <v>40757</v>
      </c>
      <c r="F187" t="str">
        <f>_xlfn.XLOOKUP(Sheet1[[#This Row],[day_id]],calendar!A187,calendar!C187)</f>
        <v>Tuesday</v>
      </c>
      <c r="G187">
        <f>_xlfn.XLOOKUP(Sheet1[[#This Row],[day_id]],calendar!A187,calendar!E187)</f>
        <v>8</v>
      </c>
      <c r="H187">
        <f>_xlfn.XLOOKUP(Sheet1[[#This Row],[day_id]],calendar!A187,calendar!F187)</f>
        <v>2011</v>
      </c>
      <c r="I187" t="str">
        <f>_xlfn.XLOOKUP(Sheet1[[#This Row],[day_id]],calendar!A187,calendar!J187)</f>
        <v>No Event</v>
      </c>
      <c r="J187" t="str">
        <f>_xlfn.XLOOKUP(Sheet1[[#This Row],[day_id]],calendar!A187,calendar!K187)</f>
        <v>No Event Type</v>
      </c>
      <c r="K187">
        <f>_xlfn.XLOOKUP(Sheet1[[#This Row],[day_id]],calendar!A187,calendar!I187)</f>
        <v>1</v>
      </c>
    </row>
    <row r="188" spans="1:11" x14ac:dyDescent="0.2">
      <c r="A188" t="s">
        <v>368</v>
      </c>
      <c r="B188" t="s">
        <v>369</v>
      </c>
      <c r="C188" t="s">
        <v>188</v>
      </c>
      <c r="D188">
        <v>0</v>
      </c>
      <c r="E188" s="1">
        <f>_xlfn.XLOOKUP(Sheet1[[#This Row],[day_id]],calendar!A188,calendar!B188)</f>
        <v>40758</v>
      </c>
      <c r="F188" t="str">
        <f>_xlfn.XLOOKUP(Sheet1[[#This Row],[day_id]],calendar!A188,calendar!C188)</f>
        <v>Wednesday</v>
      </c>
      <c r="G188">
        <f>_xlfn.XLOOKUP(Sheet1[[#This Row],[day_id]],calendar!A188,calendar!E188)</f>
        <v>8</v>
      </c>
      <c r="H188">
        <f>_xlfn.XLOOKUP(Sheet1[[#This Row],[day_id]],calendar!A188,calendar!F188)</f>
        <v>2011</v>
      </c>
      <c r="I188" t="str">
        <f>_xlfn.XLOOKUP(Sheet1[[#This Row],[day_id]],calendar!A188,calendar!J188)</f>
        <v>No Event</v>
      </c>
      <c r="J188" t="str">
        <f>_xlfn.XLOOKUP(Sheet1[[#This Row],[day_id]],calendar!A188,calendar!K188)</f>
        <v>No Event Type</v>
      </c>
      <c r="K188">
        <f>_xlfn.XLOOKUP(Sheet1[[#This Row],[day_id]],calendar!A188,calendar!I188)</f>
        <v>1</v>
      </c>
    </row>
    <row r="189" spans="1:11" x14ac:dyDescent="0.2">
      <c r="A189" t="s">
        <v>368</v>
      </c>
      <c r="B189" t="s">
        <v>369</v>
      </c>
      <c r="C189" t="s">
        <v>189</v>
      </c>
      <c r="D189">
        <v>0</v>
      </c>
      <c r="E189" s="1">
        <f>_xlfn.XLOOKUP(Sheet1[[#This Row],[day_id]],calendar!A189,calendar!B189)</f>
        <v>40759</v>
      </c>
      <c r="F189" t="str">
        <f>_xlfn.XLOOKUP(Sheet1[[#This Row],[day_id]],calendar!A189,calendar!C189)</f>
        <v>Thursday</v>
      </c>
      <c r="G189">
        <f>_xlfn.XLOOKUP(Sheet1[[#This Row],[day_id]],calendar!A189,calendar!E189)</f>
        <v>8</v>
      </c>
      <c r="H189">
        <f>_xlfn.XLOOKUP(Sheet1[[#This Row],[day_id]],calendar!A189,calendar!F189)</f>
        <v>2011</v>
      </c>
      <c r="I189" t="str">
        <f>_xlfn.XLOOKUP(Sheet1[[#This Row],[day_id]],calendar!A189,calendar!J189)</f>
        <v>No Event</v>
      </c>
      <c r="J189" t="str">
        <f>_xlfn.XLOOKUP(Sheet1[[#This Row],[day_id]],calendar!A189,calendar!K189)</f>
        <v>No Event Type</v>
      </c>
      <c r="K189">
        <f>_xlfn.XLOOKUP(Sheet1[[#This Row],[day_id]],calendar!A189,calendar!I189)</f>
        <v>1</v>
      </c>
    </row>
    <row r="190" spans="1:11" x14ac:dyDescent="0.2">
      <c r="A190" t="s">
        <v>368</v>
      </c>
      <c r="B190" t="s">
        <v>369</v>
      </c>
      <c r="C190" t="s">
        <v>190</v>
      </c>
      <c r="D190">
        <v>0</v>
      </c>
      <c r="E190" s="1">
        <f>_xlfn.XLOOKUP(Sheet1[[#This Row],[day_id]],calendar!A190,calendar!B190)</f>
        <v>40760</v>
      </c>
      <c r="F190" t="str">
        <f>_xlfn.XLOOKUP(Sheet1[[#This Row],[day_id]],calendar!A190,calendar!C190)</f>
        <v>Friday</v>
      </c>
      <c r="G190">
        <f>_xlfn.XLOOKUP(Sheet1[[#This Row],[day_id]],calendar!A190,calendar!E190)</f>
        <v>8</v>
      </c>
      <c r="H190">
        <f>_xlfn.XLOOKUP(Sheet1[[#This Row],[day_id]],calendar!A190,calendar!F190)</f>
        <v>2011</v>
      </c>
      <c r="I190" t="str">
        <f>_xlfn.XLOOKUP(Sheet1[[#This Row],[day_id]],calendar!A190,calendar!J190)</f>
        <v>No Event</v>
      </c>
      <c r="J190" t="str">
        <f>_xlfn.XLOOKUP(Sheet1[[#This Row],[day_id]],calendar!A190,calendar!K190)</f>
        <v>No Event Type</v>
      </c>
      <c r="K190">
        <f>_xlfn.XLOOKUP(Sheet1[[#This Row],[day_id]],calendar!A190,calendar!I190)</f>
        <v>1</v>
      </c>
    </row>
    <row r="191" spans="1:11" x14ac:dyDescent="0.2">
      <c r="A191" t="s">
        <v>368</v>
      </c>
      <c r="B191" t="s">
        <v>369</v>
      </c>
      <c r="C191" t="s">
        <v>191</v>
      </c>
      <c r="D191">
        <v>0</v>
      </c>
      <c r="E191" s="1">
        <f>_xlfn.XLOOKUP(Sheet1[[#This Row],[day_id]],calendar!A191,calendar!B191)</f>
        <v>40761</v>
      </c>
      <c r="F191" t="str">
        <f>_xlfn.XLOOKUP(Sheet1[[#This Row],[day_id]],calendar!A191,calendar!C191)</f>
        <v>Saturday</v>
      </c>
      <c r="G191">
        <f>_xlfn.XLOOKUP(Sheet1[[#This Row],[day_id]],calendar!A191,calendar!E191)</f>
        <v>8</v>
      </c>
      <c r="H191">
        <f>_xlfn.XLOOKUP(Sheet1[[#This Row],[day_id]],calendar!A191,calendar!F191)</f>
        <v>2011</v>
      </c>
      <c r="I191" t="str">
        <f>_xlfn.XLOOKUP(Sheet1[[#This Row],[day_id]],calendar!A191,calendar!J191)</f>
        <v>No Event</v>
      </c>
      <c r="J191" t="str">
        <f>_xlfn.XLOOKUP(Sheet1[[#This Row],[day_id]],calendar!A191,calendar!K191)</f>
        <v>No Event Type</v>
      </c>
      <c r="K191">
        <f>_xlfn.XLOOKUP(Sheet1[[#This Row],[day_id]],calendar!A191,calendar!I191)</f>
        <v>1</v>
      </c>
    </row>
    <row r="192" spans="1:11" x14ac:dyDescent="0.2">
      <c r="A192" t="s">
        <v>368</v>
      </c>
      <c r="B192" t="s">
        <v>369</v>
      </c>
      <c r="C192" t="s">
        <v>192</v>
      </c>
      <c r="D192">
        <v>25</v>
      </c>
      <c r="E192" s="1">
        <f>_xlfn.XLOOKUP(Sheet1[[#This Row],[day_id]],calendar!A192,calendar!B192)</f>
        <v>40762</v>
      </c>
      <c r="F192" t="str">
        <f>_xlfn.XLOOKUP(Sheet1[[#This Row],[day_id]],calendar!A192,calendar!C192)</f>
        <v>Sunday</v>
      </c>
      <c r="G192">
        <f>_xlfn.XLOOKUP(Sheet1[[#This Row],[day_id]],calendar!A192,calendar!E192)</f>
        <v>8</v>
      </c>
      <c r="H192">
        <f>_xlfn.XLOOKUP(Sheet1[[#This Row],[day_id]],calendar!A192,calendar!F192)</f>
        <v>2011</v>
      </c>
      <c r="I192" t="str">
        <f>_xlfn.XLOOKUP(Sheet1[[#This Row],[day_id]],calendar!A192,calendar!J192)</f>
        <v>No Event</v>
      </c>
      <c r="J192" t="str">
        <f>_xlfn.XLOOKUP(Sheet1[[#This Row],[day_id]],calendar!A192,calendar!K192)</f>
        <v>No Event Type</v>
      </c>
      <c r="K192">
        <f>_xlfn.XLOOKUP(Sheet1[[#This Row],[day_id]],calendar!A192,calendar!I192)</f>
        <v>1</v>
      </c>
    </row>
    <row r="193" spans="1:11" x14ac:dyDescent="0.2">
      <c r="A193" t="s">
        <v>368</v>
      </c>
      <c r="B193" t="s">
        <v>369</v>
      </c>
      <c r="C193" t="s">
        <v>193</v>
      </c>
      <c r="D193">
        <v>10</v>
      </c>
      <c r="E193" s="1">
        <f>_xlfn.XLOOKUP(Sheet1[[#This Row],[day_id]],calendar!A193,calendar!B193)</f>
        <v>40763</v>
      </c>
      <c r="F193" t="str">
        <f>_xlfn.XLOOKUP(Sheet1[[#This Row],[day_id]],calendar!A193,calendar!C193)</f>
        <v>Monday</v>
      </c>
      <c r="G193">
        <f>_xlfn.XLOOKUP(Sheet1[[#This Row],[day_id]],calendar!A193,calendar!E193)</f>
        <v>8</v>
      </c>
      <c r="H193">
        <f>_xlfn.XLOOKUP(Sheet1[[#This Row],[day_id]],calendar!A193,calendar!F193)</f>
        <v>2011</v>
      </c>
      <c r="I193" t="str">
        <f>_xlfn.XLOOKUP(Sheet1[[#This Row],[day_id]],calendar!A193,calendar!J193)</f>
        <v>No Event</v>
      </c>
      <c r="J193" t="str">
        <f>_xlfn.XLOOKUP(Sheet1[[#This Row],[day_id]],calendar!A193,calendar!K193)</f>
        <v>No Event Type</v>
      </c>
      <c r="K193">
        <f>_xlfn.XLOOKUP(Sheet1[[#This Row],[day_id]],calendar!A193,calendar!I193)</f>
        <v>1</v>
      </c>
    </row>
    <row r="194" spans="1:11" x14ac:dyDescent="0.2">
      <c r="A194" t="s">
        <v>368</v>
      </c>
      <c r="B194" t="s">
        <v>369</v>
      </c>
      <c r="C194" t="s">
        <v>194</v>
      </c>
      <c r="D194">
        <v>8</v>
      </c>
      <c r="E194" s="1">
        <f>_xlfn.XLOOKUP(Sheet1[[#This Row],[day_id]],calendar!A194,calendar!B194)</f>
        <v>40764</v>
      </c>
      <c r="F194" t="str">
        <f>_xlfn.XLOOKUP(Sheet1[[#This Row],[day_id]],calendar!A194,calendar!C194)</f>
        <v>Tuesday</v>
      </c>
      <c r="G194">
        <f>_xlfn.XLOOKUP(Sheet1[[#This Row],[day_id]],calendar!A194,calendar!E194)</f>
        <v>8</v>
      </c>
      <c r="H194">
        <f>_xlfn.XLOOKUP(Sheet1[[#This Row],[day_id]],calendar!A194,calendar!F194)</f>
        <v>2011</v>
      </c>
      <c r="I194" t="str">
        <f>_xlfn.XLOOKUP(Sheet1[[#This Row],[day_id]],calendar!A194,calendar!J194)</f>
        <v>No Event</v>
      </c>
      <c r="J194" t="str">
        <f>_xlfn.XLOOKUP(Sheet1[[#This Row],[day_id]],calendar!A194,calendar!K194)</f>
        <v>No Event Type</v>
      </c>
      <c r="K194">
        <f>_xlfn.XLOOKUP(Sheet1[[#This Row],[day_id]],calendar!A194,calendar!I194)</f>
        <v>1</v>
      </c>
    </row>
    <row r="195" spans="1:11" x14ac:dyDescent="0.2">
      <c r="A195" t="s">
        <v>368</v>
      </c>
      <c r="B195" t="s">
        <v>369</v>
      </c>
      <c r="C195" t="s">
        <v>195</v>
      </c>
      <c r="D195">
        <v>8</v>
      </c>
      <c r="E195" s="1">
        <f>_xlfn.XLOOKUP(Sheet1[[#This Row],[day_id]],calendar!A195,calendar!B195)</f>
        <v>40765</v>
      </c>
      <c r="F195" t="str">
        <f>_xlfn.XLOOKUP(Sheet1[[#This Row],[day_id]],calendar!A195,calendar!C195)</f>
        <v>Wednesday</v>
      </c>
      <c r="G195">
        <f>_xlfn.XLOOKUP(Sheet1[[#This Row],[day_id]],calendar!A195,calendar!E195)</f>
        <v>8</v>
      </c>
      <c r="H195">
        <f>_xlfn.XLOOKUP(Sheet1[[#This Row],[day_id]],calendar!A195,calendar!F195)</f>
        <v>2011</v>
      </c>
      <c r="I195" t="str">
        <f>_xlfn.XLOOKUP(Sheet1[[#This Row],[day_id]],calendar!A195,calendar!J195)</f>
        <v>No Event</v>
      </c>
      <c r="J195" t="str">
        <f>_xlfn.XLOOKUP(Sheet1[[#This Row],[day_id]],calendar!A195,calendar!K195)</f>
        <v>No Event Type</v>
      </c>
      <c r="K195">
        <f>_xlfn.XLOOKUP(Sheet1[[#This Row],[day_id]],calendar!A195,calendar!I195)</f>
        <v>1</v>
      </c>
    </row>
    <row r="196" spans="1:11" x14ac:dyDescent="0.2">
      <c r="A196" t="s">
        <v>368</v>
      </c>
      <c r="B196" t="s">
        <v>369</v>
      </c>
      <c r="C196" t="s">
        <v>196</v>
      </c>
      <c r="D196">
        <v>8</v>
      </c>
      <c r="E196" s="1">
        <f>_xlfn.XLOOKUP(Sheet1[[#This Row],[day_id]],calendar!A196,calendar!B196)</f>
        <v>40766</v>
      </c>
      <c r="F196" t="str">
        <f>_xlfn.XLOOKUP(Sheet1[[#This Row],[day_id]],calendar!A196,calendar!C196)</f>
        <v>Thursday</v>
      </c>
      <c r="G196">
        <f>_xlfn.XLOOKUP(Sheet1[[#This Row],[day_id]],calendar!A196,calendar!E196)</f>
        <v>8</v>
      </c>
      <c r="H196">
        <f>_xlfn.XLOOKUP(Sheet1[[#This Row],[day_id]],calendar!A196,calendar!F196)</f>
        <v>2011</v>
      </c>
      <c r="I196" t="str">
        <f>_xlfn.XLOOKUP(Sheet1[[#This Row],[day_id]],calendar!A196,calendar!J196)</f>
        <v>No Event</v>
      </c>
      <c r="J196" t="str">
        <f>_xlfn.XLOOKUP(Sheet1[[#This Row],[day_id]],calendar!A196,calendar!K196)</f>
        <v>No Event Type</v>
      </c>
      <c r="K196">
        <f>_xlfn.XLOOKUP(Sheet1[[#This Row],[day_id]],calendar!A196,calendar!I196)</f>
        <v>0</v>
      </c>
    </row>
    <row r="197" spans="1:11" x14ac:dyDescent="0.2">
      <c r="A197" t="s">
        <v>368</v>
      </c>
      <c r="B197" t="s">
        <v>369</v>
      </c>
      <c r="C197" t="s">
        <v>197</v>
      </c>
      <c r="D197">
        <v>13</v>
      </c>
      <c r="E197" s="1">
        <f>_xlfn.XLOOKUP(Sheet1[[#This Row],[day_id]],calendar!A197,calendar!B197)</f>
        <v>40767</v>
      </c>
      <c r="F197" t="str">
        <f>_xlfn.XLOOKUP(Sheet1[[#This Row],[day_id]],calendar!A197,calendar!C197)</f>
        <v>Friday</v>
      </c>
      <c r="G197">
        <f>_xlfn.XLOOKUP(Sheet1[[#This Row],[day_id]],calendar!A197,calendar!E197)</f>
        <v>8</v>
      </c>
      <c r="H197">
        <f>_xlfn.XLOOKUP(Sheet1[[#This Row],[day_id]],calendar!A197,calendar!F197)</f>
        <v>2011</v>
      </c>
      <c r="I197" t="str">
        <f>_xlfn.XLOOKUP(Sheet1[[#This Row],[day_id]],calendar!A197,calendar!J197)</f>
        <v>No Event</v>
      </c>
      <c r="J197" t="str">
        <f>_xlfn.XLOOKUP(Sheet1[[#This Row],[day_id]],calendar!A197,calendar!K197)</f>
        <v>No Event Type</v>
      </c>
      <c r="K197">
        <f>_xlfn.XLOOKUP(Sheet1[[#This Row],[day_id]],calendar!A197,calendar!I197)</f>
        <v>0</v>
      </c>
    </row>
    <row r="198" spans="1:11" x14ac:dyDescent="0.2">
      <c r="A198" t="s">
        <v>368</v>
      </c>
      <c r="B198" t="s">
        <v>369</v>
      </c>
      <c r="C198" t="s">
        <v>198</v>
      </c>
      <c r="D198">
        <v>13</v>
      </c>
      <c r="E198" s="1">
        <f>_xlfn.XLOOKUP(Sheet1[[#This Row],[day_id]],calendar!A198,calendar!B198)</f>
        <v>40768</v>
      </c>
      <c r="F198" t="str">
        <f>_xlfn.XLOOKUP(Sheet1[[#This Row],[day_id]],calendar!A198,calendar!C198)</f>
        <v>Saturday</v>
      </c>
      <c r="G198">
        <f>_xlfn.XLOOKUP(Sheet1[[#This Row],[day_id]],calendar!A198,calendar!E198)</f>
        <v>8</v>
      </c>
      <c r="H198">
        <f>_xlfn.XLOOKUP(Sheet1[[#This Row],[day_id]],calendar!A198,calendar!F198)</f>
        <v>2011</v>
      </c>
      <c r="I198" t="str">
        <f>_xlfn.XLOOKUP(Sheet1[[#This Row],[day_id]],calendar!A198,calendar!J198)</f>
        <v>No Event</v>
      </c>
      <c r="J198" t="str">
        <f>_xlfn.XLOOKUP(Sheet1[[#This Row],[day_id]],calendar!A198,calendar!K198)</f>
        <v>No Event Type</v>
      </c>
      <c r="K198">
        <f>_xlfn.XLOOKUP(Sheet1[[#This Row],[day_id]],calendar!A198,calendar!I198)</f>
        <v>0</v>
      </c>
    </row>
    <row r="199" spans="1:11" x14ac:dyDescent="0.2">
      <c r="A199" t="s">
        <v>368</v>
      </c>
      <c r="B199" t="s">
        <v>369</v>
      </c>
      <c r="C199" t="s">
        <v>199</v>
      </c>
      <c r="D199">
        <v>3</v>
      </c>
      <c r="E199" s="1">
        <f>_xlfn.XLOOKUP(Sheet1[[#This Row],[day_id]],calendar!A199,calendar!B199)</f>
        <v>40769</v>
      </c>
      <c r="F199" t="str">
        <f>_xlfn.XLOOKUP(Sheet1[[#This Row],[day_id]],calendar!A199,calendar!C199)</f>
        <v>Sunday</v>
      </c>
      <c r="G199">
        <f>_xlfn.XLOOKUP(Sheet1[[#This Row],[day_id]],calendar!A199,calendar!E199)</f>
        <v>8</v>
      </c>
      <c r="H199">
        <f>_xlfn.XLOOKUP(Sheet1[[#This Row],[day_id]],calendar!A199,calendar!F199)</f>
        <v>2011</v>
      </c>
      <c r="I199" t="str">
        <f>_xlfn.XLOOKUP(Sheet1[[#This Row],[day_id]],calendar!A199,calendar!J199)</f>
        <v>No Event</v>
      </c>
      <c r="J199" t="str">
        <f>_xlfn.XLOOKUP(Sheet1[[#This Row],[day_id]],calendar!A199,calendar!K199)</f>
        <v>No Event Type</v>
      </c>
      <c r="K199">
        <f>_xlfn.XLOOKUP(Sheet1[[#This Row],[day_id]],calendar!A199,calendar!I199)</f>
        <v>0</v>
      </c>
    </row>
    <row r="200" spans="1:11" x14ac:dyDescent="0.2">
      <c r="A200" t="s">
        <v>368</v>
      </c>
      <c r="B200" t="s">
        <v>369</v>
      </c>
      <c r="C200" t="s">
        <v>200</v>
      </c>
      <c r="D200">
        <v>3</v>
      </c>
      <c r="E200" s="1">
        <f>_xlfn.XLOOKUP(Sheet1[[#This Row],[day_id]],calendar!A200,calendar!B200)</f>
        <v>40770</v>
      </c>
      <c r="F200" t="str">
        <f>_xlfn.XLOOKUP(Sheet1[[#This Row],[day_id]],calendar!A200,calendar!C200)</f>
        <v>Monday</v>
      </c>
      <c r="G200">
        <f>_xlfn.XLOOKUP(Sheet1[[#This Row],[day_id]],calendar!A200,calendar!E200)</f>
        <v>8</v>
      </c>
      <c r="H200">
        <f>_xlfn.XLOOKUP(Sheet1[[#This Row],[day_id]],calendar!A200,calendar!F200)</f>
        <v>2011</v>
      </c>
      <c r="I200" t="str">
        <f>_xlfn.XLOOKUP(Sheet1[[#This Row],[day_id]],calendar!A200,calendar!J200)</f>
        <v>No Event</v>
      </c>
      <c r="J200" t="str">
        <f>_xlfn.XLOOKUP(Sheet1[[#This Row],[day_id]],calendar!A200,calendar!K200)</f>
        <v>No Event Type</v>
      </c>
      <c r="K200">
        <f>_xlfn.XLOOKUP(Sheet1[[#This Row],[day_id]],calendar!A200,calendar!I200)</f>
        <v>0</v>
      </c>
    </row>
    <row r="201" spans="1:11" x14ac:dyDescent="0.2">
      <c r="A201" t="s">
        <v>368</v>
      </c>
      <c r="B201" t="s">
        <v>369</v>
      </c>
      <c r="C201" t="s">
        <v>201</v>
      </c>
      <c r="D201">
        <v>7</v>
      </c>
      <c r="E201" s="1">
        <f>_xlfn.XLOOKUP(Sheet1[[#This Row],[day_id]],calendar!A201,calendar!B201)</f>
        <v>40771</v>
      </c>
      <c r="F201" t="str">
        <f>_xlfn.XLOOKUP(Sheet1[[#This Row],[day_id]],calendar!A201,calendar!C201)</f>
        <v>Tuesday</v>
      </c>
      <c r="G201">
        <f>_xlfn.XLOOKUP(Sheet1[[#This Row],[day_id]],calendar!A201,calendar!E201)</f>
        <v>8</v>
      </c>
      <c r="H201">
        <f>_xlfn.XLOOKUP(Sheet1[[#This Row],[day_id]],calendar!A201,calendar!F201)</f>
        <v>2011</v>
      </c>
      <c r="I201" t="str">
        <f>_xlfn.XLOOKUP(Sheet1[[#This Row],[day_id]],calendar!A201,calendar!J201)</f>
        <v>No Event</v>
      </c>
      <c r="J201" t="str">
        <f>_xlfn.XLOOKUP(Sheet1[[#This Row],[day_id]],calendar!A201,calendar!K201)</f>
        <v>No Event Type</v>
      </c>
      <c r="K201">
        <f>_xlfn.XLOOKUP(Sheet1[[#This Row],[day_id]],calendar!A201,calendar!I201)</f>
        <v>0</v>
      </c>
    </row>
    <row r="202" spans="1:11" x14ac:dyDescent="0.2">
      <c r="A202" t="s">
        <v>368</v>
      </c>
      <c r="B202" t="s">
        <v>369</v>
      </c>
      <c r="C202" t="s">
        <v>202</v>
      </c>
      <c r="D202">
        <v>10</v>
      </c>
      <c r="E202" s="1">
        <f>_xlfn.XLOOKUP(Sheet1[[#This Row],[day_id]],calendar!A202,calendar!B202)</f>
        <v>40772</v>
      </c>
      <c r="F202" t="str">
        <f>_xlfn.XLOOKUP(Sheet1[[#This Row],[day_id]],calendar!A202,calendar!C202)</f>
        <v>Wednesday</v>
      </c>
      <c r="G202">
        <f>_xlfn.XLOOKUP(Sheet1[[#This Row],[day_id]],calendar!A202,calendar!E202)</f>
        <v>8</v>
      </c>
      <c r="H202">
        <f>_xlfn.XLOOKUP(Sheet1[[#This Row],[day_id]],calendar!A202,calendar!F202)</f>
        <v>2011</v>
      </c>
      <c r="I202" t="str">
        <f>_xlfn.XLOOKUP(Sheet1[[#This Row],[day_id]],calendar!A202,calendar!J202)</f>
        <v>No Event</v>
      </c>
      <c r="J202" t="str">
        <f>_xlfn.XLOOKUP(Sheet1[[#This Row],[day_id]],calendar!A202,calendar!K202)</f>
        <v>No Event Type</v>
      </c>
      <c r="K202">
        <f>_xlfn.XLOOKUP(Sheet1[[#This Row],[day_id]],calendar!A202,calendar!I202)</f>
        <v>0</v>
      </c>
    </row>
    <row r="203" spans="1:11" x14ac:dyDescent="0.2">
      <c r="A203" t="s">
        <v>368</v>
      </c>
      <c r="B203" t="s">
        <v>369</v>
      </c>
      <c r="C203" t="s">
        <v>203</v>
      </c>
      <c r="D203">
        <v>11</v>
      </c>
      <c r="E203" s="1">
        <f>_xlfn.XLOOKUP(Sheet1[[#This Row],[day_id]],calendar!A203,calendar!B203)</f>
        <v>40773</v>
      </c>
      <c r="F203" t="str">
        <f>_xlfn.XLOOKUP(Sheet1[[#This Row],[day_id]],calendar!A203,calendar!C203)</f>
        <v>Thursday</v>
      </c>
      <c r="G203">
        <f>_xlfn.XLOOKUP(Sheet1[[#This Row],[day_id]],calendar!A203,calendar!E203)</f>
        <v>8</v>
      </c>
      <c r="H203">
        <f>_xlfn.XLOOKUP(Sheet1[[#This Row],[day_id]],calendar!A203,calendar!F203)</f>
        <v>2011</v>
      </c>
      <c r="I203" t="str">
        <f>_xlfn.XLOOKUP(Sheet1[[#This Row],[day_id]],calendar!A203,calendar!J203)</f>
        <v>No Event</v>
      </c>
      <c r="J203" t="str">
        <f>_xlfn.XLOOKUP(Sheet1[[#This Row],[day_id]],calendar!A203,calendar!K203)</f>
        <v>No Event Type</v>
      </c>
      <c r="K203">
        <f>_xlfn.XLOOKUP(Sheet1[[#This Row],[day_id]],calendar!A203,calendar!I203)</f>
        <v>0</v>
      </c>
    </row>
    <row r="204" spans="1:11" x14ac:dyDescent="0.2">
      <c r="A204" t="s">
        <v>368</v>
      </c>
      <c r="B204" t="s">
        <v>369</v>
      </c>
      <c r="C204" t="s">
        <v>204</v>
      </c>
      <c r="D204">
        <v>12</v>
      </c>
      <c r="E204" s="1">
        <f>_xlfn.XLOOKUP(Sheet1[[#This Row],[day_id]],calendar!A204,calendar!B204)</f>
        <v>40774</v>
      </c>
      <c r="F204" t="str">
        <f>_xlfn.XLOOKUP(Sheet1[[#This Row],[day_id]],calendar!A204,calendar!C204)</f>
        <v>Friday</v>
      </c>
      <c r="G204">
        <f>_xlfn.XLOOKUP(Sheet1[[#This Row],[day_id]],calendar!A204,calendar!E204)</f>
        <v>8</v>
      </c>
      <c r="H204">
        <f>_xlfn.XLOOKUP(Sheet1[[#This Row],[day_id]],calendar!A204,calendar!F204)</f>
        <v>2011</v>
      </c>
      <c r="I204" t="str">
        <f>_xlfn.XLOOKUP(Sheet1[[#This Row],[day_id]],calendar!A204,calendar!J204)</f>
        <v>No Event</v>
      </c>
      <c r="J204" t="str">
        <f>_xlfn.XLOOKUP(Sheet1[[#This Row],[day_id]],calendar!A204,calendar!K204)</f>
        <v>No Event Type</v>
      </c>
      <c r="K204">
        <f>_xlfn.XLOOKUP(Sheet1[[#This Row],[day_id]],calendar!A204,calendar!I204)</f>
        <v>0</v>
      </c>
    </row>
    <row r="205" spans="1:11" x14ac:dyDescent="0.2">
      <c r="A205" t="s">
        <v>368</v>
      </c>
      <c r="B205" t="s">
        <v>369</v>
      </c>
      <c r="C205" t="s">
        <v>205</v>
      </c>
      <c r="D205">
        <v>12</v>
      </c>
      <c r="E205" s="1">
        <f>_xlfn.XLOOKUP(Sheet1[[#This Row],[day_id]],calendar!A205,calendar!B205)</f>
        <v>40775</v>
      </c>
      <c r="F205" t="str">
        <f>_xlfn.XLOOKUP(Sheet1[[#This Row],[day_id]],calendar!A205,calendar!C205)</f>
        <v>Saturday</v>
      </c>
      <c r="G205">
        <f>_xlfn.XLOOKUP(Sheet1[[#This Row],[day_id]],calendar!A205,calendar!E205)</f>
        <v>8</v>
      </c>
      <c r="H205">
        <f>_xlfn.XLOOKUP(Sheet1[[#This Row],[day_id]],calendar!A205,calendar!F205)</f>
        <v>2011</v>
      </c>
      <c r="I205" t="str">
        <f>_xlfn.XLOOKUP(Sheet1[[#This Row],[day_id]],calendar!A205,calendar!J205)</f>
        <v>No Event</v>
      </c>
      <c r="J205" t="str">
        <f>_xlfn.XLOOKUP(Sheet1[[#This Row],[day_id]],calendar!A205,calendar!K205)</f>
        <v>No Event Type</v>
      </c>
      <c r="K205">
        <f>_xlfn.XLOOKUP(Sheet1[[#This Row],[day_id]],calendar!A205,calendar!I205)</f>
        <v>0</v>
      </c>
    </row>
    <row r="206" spans="1:11" x14ac:dyDescent="0.2">
      <c r="A206" t="s">
        <v>368</v>
      </c>
      <c r="B206" t="s">
        <v>369</v>
      </c>
      <c r="C206" t="s">
        <v>206</v>
      </c>
      <c r="D206">
        <v>18</v>
      </c>
      <c r="E206" s="1">
        <f>_xlfn.XLOOKUP(Sheet1[[#This Row],[day_id]],calendar!A206,calendar!B206)</f>
        <v>40776</v>
      </c>
      <c r="F206" t="str">
        <f>_xlfn.XLOOKUP(Sheet1[[#This Row],[day_id]],calendar!A206,calendar!C206)</f>
        <v>Sunday</v>
      </c>
      <c r="G206">
        <f>_xlfn.XLOOKUP(Sheet1[[#This Row],[day_id]],calendar!A206,calendar!E206)</f>
        <v>8</v>
      </c>
      <c r="H206">
        <f>_xlfn.XLOOKUP(Sheet1[[#This Row],[day_id]],calendar!A206,calendar!F206)</f>
        <v>2011</v>
      </c>
      <c r="I206" t="str">
        <f>_xlfn.XLOOKUP(Sheet1[[#This Row],[day_id]],calendar!A206,calendar!J206)</f>
        <v>No Event</v>
      </c>
      <c r="J206" t="str">
        <f>_xlfn.XLOOKUP(Sheet1[[#This Row],[day_id]],calendar!A206,calendar!K206)</f>
        <v>No Event Type</v>
      </c>
      <c r="K206">
        <f>_xlfn.XLOOKUP(Sheet1[[#This Row],[day_id]],calendar!A206,calendar!I206)</f>
        <v>0</v>
      </c>
    </row>
    <row r="207" spans="1:11" x14ac:dyDescent="0.2">
      <c r="A207" t="s">
        <v>368</v>
      </c>
      <c r="B207" t="s">
        <v>369</v>
      </c>
      <c r="C207" t="s">
        <v>207</v>
      </c>
      <c r="D207">
        <v>4</v>
      </c>
      <c r="E207" s="1">
        <f>_xlfn.XLOOKUP(Sheet1[[#This Row],[day_id]],calendar!A207,calendar!B207)</f>
        <v>40777</v>
      </c>
      <c r="F207" t="str">
        <f>_xlfn.XLOOKUP(Sheet1[[#This Row],[day_id]],calendar!A207,calendar!C207)</f>
        <v>Monday</v>
      </c>
      <c r="G207">
        <f>_xlfn.XLOOKUP(Sheet1[[#This Row],[day_id]],calendar!A207,calendar!E207)</f>
        <v>8</v>
      </c>
      <c r="H207">
        <f>_xlfn.XLOOKUP(Sheet1[[#This Row],[day_id]],calendar!A207,calendar!F207)</f>
        <v>2011</v>
      </c>
      <c r="I207" t="str">
        <f>_xlfn.XLOOKUP(Sheet1[[#This Row],[day_id]],calendar!A207,calendar!J207)</f>
        <v>No Event</v>
      </c>
      <c r="J207" t="str">
        <f>_xlfn.XLOOKUP(Sheet1[[#This Row],[day_id]],calendar!A207,calendar!K207)</f>
        <v>No Event Type</v>
      </c>
      <c r="K207">
        <f>_xlfn.XLOOKUP(Sheet1[[#This Row],[day_id]],calendar!A207,calendar!I207)</f>
        <v>0</v>
      </c>
    </row>
    <row r="208" spans="1:11" x14ac:dyDescent="0.2">
      <c r="A208" t="s">
        <v>368</v>
      </c>
      <c r="B208" t="s">
        <v>369</v>
      </c>
      <c r="C208" t="s">
        <v>208</v>
      </c>
      <c r="D208">
        <v>4</v>
      </c>
      <c r="E208" s="1">
        <f>_xlfn.XLOOKUP(Sheet1[[#This Row],[day_id]],calendar!A208,calendar!B208)</f>
        <v>40778</v>
      </c>
      <c r="F208" t="str">
        <f>_xlfn.XLOOKUP(Sheet1[[#This Row],[day_id]],calendar!A208,calendar!C208)</f>
        <v>Tuesday</v>
      </c>
      <c r="G208">
        <f>_xlfn.XLOOKUP(Sheet1[[#This Row],[day_id]],calendar!A208,calendar!E208)</f>
        <v>8</v>
      </c>
      <c r="H208">
        <f>_xlfn.XLOOKUP(Sheet1[[#This Row],[day_id]],calendar!A208,calendar!F208)</f>
        <v>2011</v>
      </c>
      <c r="I208" t="str">
        <f>_xlfn.XLOOKUP(Sheet1[[#This Row],[day_id]],calendar!A208,calendar!J208)</f>
        <v>No Event</v>
      </c>
      <c r="J208" t="str">
        <f>_xlfn.XLOOKUP(Sheet1[[#This Row],[day_id]],calendar!A208,calendar!K208)</f>
        <v>No Event Type</v>
      </c>
      <c r="K208">
        <f>_xlfn.XLOOKUP(Sheet1[[#This Row],[day_id]],calendar!A208,calendar!I208)</f>
        <v>0</v>
      </c>
    </row>
    <row r="209" spans="1:11" x14ac:dyDescent="0.2">
      <c r="A209" t="s">
        <v>368</v>
      </c>
      <c r="B209" t="s">
        <v>369</v>
      </c>
      <c r="C209" t="s">
        <v>209</v>
      </c>
      <c r="D209">
        <v>7</v>
      </c>
      <c r="E209" s="1">
        <f>_xlfn.XLOOKUP(Sheet1[[#This Row],[day_id]],calendar!A209,calendar!B209)</f>
        <v>40779</v>
      </c>
      <c r="F209" t="str">
        <f>_xlfn.XLOOKUP(Sheet1[[#This Row],[day_id]],calendar!A209,calendar!C209)</f>
        <v>Wednesday</v>
      </c>
      <c r="G209">
        <f>_xlfn.XLOOKUP(Sheet1[[#This Row],[day_id]],calendar!A209,calendar!E209)</f>
        <v>8</v>
      </c>
      <c r="H209">
        <f>_xlfn.XLOOKUP(Sheet1[[#This Row],[day_id]],calendar!A209,calendar!F209)</f>
        <v>2011</v>
      </c>
      <c r="I209" t="str">
        <f>_xlfn.XLOOKUP(Sheet1[[#This Row],[day_id]],calendar!A209,calendar!J209)</f>
        <v>No Event</v>
      </c>
      <c r="J209" t="str">
        <f>_xlfn.XLOOKUP(Sheet1[[#This Row],[day_id]],calendar!A209,calendar!K209)</f>
        <v>No Event Type</v>
      </c>
      <c r="K209">
        <f>_xlfn.XLOOKUP(Sheet1[[#This Row],[day_id]],calendar!A209,calendar!I209)</f>
        <v>0</v>
      </c>
    </row>
    <row r="210" spans="1:11" x14ac:dyDescent="0.2">
      <c r="A210" t="s">
        <v>368</v>
      </c>
      <c r="B210" t="s">
        <v>369</v>
      </c>
      <c r="C210" t="s">
        <v>210</v>
      </c>
      <c r="D210">
        <v>7</v>
      </c>
      <c r="E210" s="1">
        <f>_xlfn.XLOOKUP(Sheet1[[#This Row],[day_id]],calendar!A210,calendar!B210)</f>
        <v>40780</v>
      </c>
      <c r="F210" t="str">
        <f>_xlfn.XLOOKUP(Sheet1[[#This Row],[day_id]],calendar!A210,calendar!C210)</f>
        <v>Thursday</v>
      </c>
      <c r="G210">
        <f>_xlfn.XLOOKUP(Sheet1[[#This Row],[day_id]],calendar!A210,calendar!E210)</f>
        <v>8</v>
      </c>
      <c r="H210">
        <f>_xlfn.XLOOKUP(Sheet1[[#This Row],[day_id]],calendar!A210,calendar!F210)</f>
        <v>2011</v>
      </c>
      <c r="I210" t="str">
        <f>_xlfn.XLOOKUP(Sheet1[[#This Row],[day_id]],calendar!A210,calendar!J210)</f>
        <v>No Event</v>
      </c>
      <c r="J210" t="str">
        <f>_xlfn.XLOOKUP(Sheet1[[#This Row],[day_id]],calendar!A210,calendar!K210)</f>
        <v>No Event Type</v>
      </c>
      <c r="K210">
        <f>_xlfn.XLOOKUP(Sheet1[[#This Row],[day_id]],calendar!A210,calendar!I210)</f>
        <v>0</v>
      </c>
    </row>
    <row r="211" spans="1:11" x14ac:dyDescent="0.2">
      <c r="A211" t="s">
        <v>368</v>
      </c>
      <c r="B211" t="s">
        <v>369</v>
      </c>
      <c r="C211" t="s">
        <v>211</v>
      </c>
      <c r="D211">
        <v>8</v>
      </c>
      <c r="E211" s="1">
        <f>_xlfn.XLOOKUP(Sheet1[[#This Row],[day_id]],calendar!A211,calendar!B211)</f>
        <v>40781</v>
      </c>
      <c r="F211" t="str">
        <f>_xlfn.XLOOKUP(Sheet1[[#This Row],[day_id]],calendar!A211,calendar!C211)</f>
        <v>Friday</v>
      </c>
      <c r="G211">
        <f>_xlfn.XLOOKUP(Sheet1[[#This Row],[day_id]],calendar!A211,calendar!E211)</f>
        <v>8</v>
      </c>
      <c r="H211">
        <f>_xlfn.XLOOKUP(Sheet1[[#This Row],[day_id]],calendar!A211,calendar!F211)</f>
        <v>2011</v>
      </c>
      <c r="I211" t="str">
        <f>_xlfn.XLOOKUP(Sheet1[[#This Row],[day_id]],calendar!A211,calendar!J211)</f>
        <v>No Event</v>
      </c>
      <c r="J211" t="str">
        <f>_xlfn.XLOOKUP(Sheet1[[#This Row],[day_id]],calendar!A211,calendar!K211)</f>
        <v>No Event Type</v>
      </c>
      <c r="K211">
        <f>_xlfn.XLOOKUP(Sheet1[[#This Row],[day_id]],calendar!A211,calendar!I211)</f>
        <v>0</v>
      </c>
    </row>
    <row r="212" spans="1:11" x14ac:dyDescent="0.2">
      <c r="A212" t="s">
        <v>368</v>
      </c>
      <c r="B212" t="s">
        <v>369</v>
      </c>
      <c r="C212" t="s">
        <v>212</v>
      </c>
      <c r="D212">
        <v>17</v>
      </c>
      <c r="E212" s="1">
        <f>_xlfn.XLOOKUP(Sheet1[[#This Row],[day_id]],calendar!A212,calendar!B212)</f>
        <v>40782</v>
      </c>
      <c r="F212" t="str">
        <f>_xlfn.XLOOKUP(Sheet1[[#This Row],[day_id]],calendar!A212,calendar!C212)</f>
        <v>Saturday</v>
      </c>
      <c r="G212">
        <f>_xlfn.XLOOKUP(Sheet1[[#This Row],[day_id]],calendar!A212,calendar!E212)</f>
        <v>8</v>
      </c>
      <c r="H212">
        <f>_xlfn.XLOOKUP(Sheet1[[#This Row],[day_id]],calendar!A212,calendar!F212)</f>
        <v>2011</v>
      </c>
      <c r="I212" t="str">
        <f>_xlfn.XLOOKUP(Sheet1[[#This Row],[day_id]],calendar!A212,calendar!J212)</f>
        <v>No Event</v>
      </c>
      <c r="J212" t="str">
        <f>_xlfn.XLOOKUP(Sheet1[[#This Row],[day_id]],calendar!A212,calendar!K212)</f>
        <v>No Event Type</v>
      </c>
      <c r="K212">
        <f>_xlfn.XLOOKUP(Sheet1[[#This Row],[day_id]],calendar!A212,calendar!I212)</f>
        <v>0</v>
      </c>
    </row>
    <row r="213" spans="1:11" x14ac:dyDescent="0.2">
      <c r="A213" t="s">
        <v>368</v>
      </c>
      <c r="B213" t="s">
        <v>369</v>
      </c>
      <c r="C213" t="s">
        <v>213</v>
      </c>
      <c r="D213">
        <v>26</v>
      </c>
      <c r="E213" s="1">
        <f>_xlfn.XLOOKUP(Sheet1[[#This Row],[day_id]],calendar!A213,calendar!B213)</f>
        <v>40783</v>
      </c>
      <c r="F213" t="str">
        <f>_xlfn.XLOOKUP(Sheet1[[#This Row],[day_id]],calendar!A213,calendar!C213)</f>
        <v>Sunday</v>
      </c>
      <c r="G213">
        <f>_xlfn.XLOOKUP(Sheet1[[#This Row],[day_id]],calendar!A213,calendar!E213)</f>
        <v>8</v>
      </c>
      <c r="H213">
        <f>_xlfn.XLOOKUP(Sheet1[[#This Row],[day_id]],calendar!A213,calendar!F213)</f>
        <v>2011</v>
      </c>
      <c r="I213" t="str">
        <f>_xlfn.XLOOKUP(Sheet1[[#This Row],[day_id]],calendar!A213,calendar!J213)</f>
        <v>No Event</v>
      </c>
      <c r="J213" t="str">
        <f>_xlfn.XLOOKUP(Sheet1[[#This Row],[day_id]],calendar!A213,calendar!K213)</f>
        <v>No Event Type</v>
      </c>
      <c r="K213">
        <f>_xlfn.XLOOKUP(Sheet1[[#This Row],[day_id]],calendar!A213,calendar!I213)</f>
        <v>0</v>
      </c>
    </row>
    <row r="214" spans="1:11" x14ac:dyDescent="0.2">
      <c r="A214" t="s">
        <v>368</v>
      </c>
      <c r="B214" t="s">
        <v>369</v>
      </c>
      <c r="C214" t="s">
        <v>214</v>
      </c>
      <c r="D214">
        <v>2</v>
      </c>
      <c r="E214" s="1">
        <f>_xlfn.XLOOKUP(Sheet1[[#This Row],[day_id]],calendar!A214,calendar!B214)</f>
        <v>40784</v>
      </c>
      <c r="F214" t="str">
        <f>_xlfn.XLOOKUP(Sheet1[[#This Row],[day_id]],calendar!A214,calendar!C214)</f>
        <v>Monday</v>
      </c>
      <c r="G214">
        <f>_xlfn.XLOOKUP(Sheet1[[#This Row],[day_id]],calendar!A214,calendar!E214)</f>
        <v>8</v>
      </c>
      <c r="H214">
        <f>_xlfn.XLOOKUP(Sheet1[[#This Row],[day_id]],calendar!A214,calendar!F214)</f>
        <v>2011</v>
      </c>
      <c r="I214" t="str">
        <f>_xlfn.XLOOKUP(Sheet1[[#This Row],[day_id]],calendar!A214,calendar!J214)</f>
        <v>No Event</v>
      </c>
      <c r="J214" t="str">
        <f>_xlfn.XLOOKUP(Sheet1[[#This Row],[day_id]],calendar!A214,calendar!K214)</f>
        <v>No Event Type</v>
      </c>
      <c r="K214">
        <f>_xlfn.XLOOKUP(Sheet1[[#This Row],[day_id]],calendar!A214,calendar!I214)</f>
        <v>0</v>
      </c>
    </row>
    <row r="215" spans="1:11" x14ac:dyDescent="0.2">
      <c r="A215" t="s">
        <v>368</v>
      </c>
      <c r="B215" t="s">
        <v>369</v>
      </c>
      <c r="C215" t="s">
        <v>215</v>
      </c>
      <c r="D215">
        <v>12</v>
      </c>
      <c r="E215" s="1">
        <f>_xlfn.XLOOKUP(Sheet1[[#This Row],[day_id]],calendar!A215,calendar!B215)</f>
        <v>40785</v>
      </c>
      <c r="F215" t="str">
        <f>_xlfn.XLOOKUP(Sheet1[[#This Row],[day_id]],calendar!A215,calendar!C215)</f>
        <v>Tuesday</v>
      </c>
      <c r="G215">
        <f>_xlfn.XLOOKUP(Sheet1[[#This Row],[day_id]],calendar!A215,calendar!E215)</f>
        <v>8</v>
      </c>
      <c r="H215">
        <f>_xlfn.XLOOKUP(Sheet1[[#This Row],[day_id]],calendar!A215,calendar!F215)</f>
        <v>2011</v>
      </c>
      <c r="I215" t="str">
        <f>_xlfn.XLOOKUP(Sheet1[[#This Row],[day_id]],calendar!A215,calendar!J215)</f>
        <v>No Event</v>
      </c>
      <c r="J215" t="str">
        <f>_xlfn.XLOOKUP(Sheet1[[#This Row],[day_id]],calendar!A215,calendar!K215)</f>
        <v>No Event Type</v>
      </c>
      <c r="K215">
        <f>_xlfn.XLOOKUP(Sheet1[[#This Row],[day_id]],calendar!A215,calendar!I215)</f>
        <v>0</v>
      </c>
    </row>
    <row r="216" spans="1:11" x14ac:dyDescent="0.2">
      <c r="A216" t="s">
        <v>368</v>
      </c>
      <c r="B216" t="s">
        <v>369</v>
      </c>
      <c r="C216" t="s">
        <v>216</v>
      </c>
      <c r="D216">
        <v>8</v>
      </c>
      <c r="E216" s="1">
        <f>_xlfn.XLOOKUP(Sheet1[[#This Row],[day_id]],calendar!A216,calendar!B216)</f>
        <v>40786</v>
      </c>
      <c r="F216" t="str">
        <f>_xlfn.XLOOKUP(Sheet1[[#This Row],[day_id]],calendar!A216,calendar!C216)</f>
        <v>Wednesday</v>
      </c>
      <c r="G216">
        <f>_xlfn.XLOOKUP(Sheet1[[#This Row],[day_id]],calendar!A216,calendar!E216)</f>
        <v>8</v>
      </c>
      <c r="H216">
        <f>_xlfn.XLOOKUP(Sheet1[[#This Row],[day_id]],calendar!A216,calendar!F216)</f>
        <v>2011</v>
      </c>
      <c r="I216" t="str">
        <f>_xlfn.XLOOKUP(Sheet1[[#This Row],[day_id]],calendar!A216,calendar!J216)</f>
        <v>Eid al-Fitr</v>
      </c>
      <c r="J216" t="str">
        <f>_xlfn.XLOOKUP(Sheet1[[#This Row],[day_id]],calendar!A216,calendar!K216)</f>
        <v>Religious</v>
      </c>
      <c r="K216">
        <f>_xlfn.XLOOKUP(Sheet1[[#This Row],[day_id]],calendar!A216,calendar!I216)</f>
        <v>0</v>
      </c>
    </row>
    <row r="217" spans="1:11" x14ac:dyDescent="0.2">
      <c r="A217" t="s">
        <v>368</v>
      </c>
      <c r="B217" t="s">
        <v>369</v>
      </c>
      <c r="C217" t="s">
        <v>217</v>
      </c>
      <c r="D217">
        <v>6</v>
      </c>
      <c r="E217" s="1">
        <f>_xlfn.XLOOKUP(Sheet1[[#This Row],[day_id]],calendar!A217,calendar!B217)</f>
        <v>40787</v>
      </c>
      <c r="F217" t="str">
        <f>_xlfn.XLOOKUP(Sheet1[[#This Row],[day_id]],calendar!A217,calendar!C217)</f>
        <v>Thursday</v>
      </c>
      <c r="G217">
        <f>_xlfn.XLOOKUP(Sheet1[[#This Row],[day_id]],calendar!A217,calendar!E217)</f>
        <v>9</v>
      </c>
      <c r="H217">
        <f>_xlfn.XLOOKUP(Sheet1[[#This Row],[day_id]],calendar!A217,calendar!F217)</f>
        <v>2011</v>
      </c>
      <c r="I217" t="str">
        <f>_xlfn.XLOOKUP(Sheet1[[#This Row],[day_id]],calendar!A217,calendar!J217)</f>
        <v>No Event</v>
      </c>
      <c r="J217" t="str">
        <f>_xlfn.XLOOKUP(Sheet1[[#This Row],[day_id]],calendar!A217,calendar!K217)</f>
        <v>No Event Type</v>
      </c>
      <c r="K217">
        <f>_xlfn.XLOOKUP(Sheet1[[#This Row],[day_id]],calendar!A217,calendar!I217)</f>
        <v>1</v>
      </c>
    </row>
    <row r="218" spans="1:11" x14ac:dyDescent="0.2">
      <c r="A218" t="s">
        <v>368</v>
      </c>
      <c r="B218" t="s">
        <v>369</v>
      </c>
      <c r="C218" t="s">
        <v>218</v>
      </c>
      <c r="D218">
        <v>4</v>
      </c>
      <c r="E218" s="1">
        <f>_xlfn.XLOOKUP(Sheet1[[#This Row],[day_id]],calendar!A218,calendar!B218)</f>
        <v>40788</v>
      </c>
      <c r="F218" t="str">
        <f>_xlfn.XLOOKUP(Sheet1[[#This Row],[day_id]],calendar!A218,calendar!C218)</f>
        <v>Friday</v>
      </c>
      <c r="G218">
        <f>_xlfn.XLOOKUP(Sheet1[[#This Row],[day_id]],calendar!A218,calendar!E218)</f>
        <v>9</v>
      </c>
      <c r="H218">
        <f>_xlfn.XLOOKUP(Sheet1[[#This Row],[day_id]],calendar!A218,calendar!F218)</f>
        <v>2011</v>
      </c>
      <c r="I218" t="str">
        <f>_xlfn.XLOOKUP(Sheet1[[#This Row],[day_id]],calendar!A218,calendar!J218)</f>
        <v>No Event</v>
      </c>
      <c r="J218" t="str">
        <f>_xlfn.XLOOKUP(Sheet1[[#This Row],[day_id]],calendar!A218,calendar!K218)</f>
        <v>No Event Type</v>
      </c>
      <c r="K218">
        <f>_xlfn.XLOOKUP(Sheet1[[#This Row],[day_id]],calendar!A218,calendar!I218)</f>
        <v>1</v>
      </c>
    </row>
    <row r="219" spans="1:11" x14ac:dyDescent="0.2">
      <c r="A219" t="s">
        <v>368</v>
      </c>
      <c r="B219" t="s">
        <v>369</v>
      </c>
      <c r="C219" t="s">
        <v>219</v>
      </c>
      <c r="D219">
        <v>6</v>
      </c>
      <c r="E219" s="1">
        <f>_xlfn.XLOOKUP(Sheet1[[#This Row],[day_id]],calendar!A219,calendar!B219)</f>
        <v>40789</v>
      </c>
      <c r="F219" t="str">
        <f>_xlfn.XLOOKUP(Sheet1[[#This Row],[day_id]],calendar!A219,calendar!C219)</f>
        <v>Saturday</v>
      </c>
      <c r="G219">
        <f>_xlfn.XLOOKUP(Sheet1[[#This Row],[day_id]],calendar!A219,calendar!E219)</f>
        <v>9</v>
      </c>
      <c r="H219">
        <f>_xlfn.XLOOKUP(Sheet1[[#This Row],[day_id]],calendar!A219,calendar!F219)</f>
        <v>2011</v>
      </c>
      <c r="I219" t="str">
        <f>_xlfn.XLOOKUP(Sheet1[[#This Row],[day_id]],calendar!A219,calendar!J219)</f>
        <v>No Event</v>
      </c>
      <c r="J219" t="str">
        <f>_xlfn.XLOOKUP(Sheet1[[#This Row],[day_id]],calendar!A219,calendar!K219)</f>
        <v>No Event Type</v>
      </c>
      <c r="K219">
        <f>_xlfn.XLOOKUP(Sheet1[[#This Row],[day_id]],calendar!A219,calendar!I219)</f>
        <v>1</v>
      </c>
    </row>
    <row r="220" spans="1:11" x14ac:dyDescent="0.2">
      <c r="A220" t="s">
        <v>368</v>
      </c>
      <c r="B220" t="s">
        <v>369</v>
      </c>
      <c r="C220" t="s">
        <v>220</v>
      </c>
      <c r="D220">
        <v>4</v>
      </c>
      <c r="E220" s="1">
        <f>_xlfn.XLOOKUP(Sheet1[[#This Row],[day_id]],calendar!A220,calendar!B220)</f>
        <v>40790</v>
      </c>
      <c r="F220" t="str">
        <f>_xlfn.XLOOKUP(Sheet1[[#This Row],[day_id]],calendar!A220,calendar!C220)</f>
        <v>Sunday</v>
      </c>
      <c r="G220">
        <f>_xlfn.XLOOKUP(Sheet1[[#This Row],[day_id]],calendar!A220,calendar!E220)</f>
        <v>9</v>
      </c>
      <c r="H220">
        <f>_xlfn.XLOOKUP(Sheet1[[#This Row],[day_id]],calendar!A220,calendar!F220)</f>
        <v>2011</v>
      </c>
      <c r="I220" t="str">
        <f>_xlfn.XLOOKUP(Sheet1[[#This Row],[day_id]],calendar!A220,calendar!J220)</f>
        <v>No Event</v>
      </c>
      <c r="J220" t="str">
        <f>_xlfn.XLOOKUP(Sheet1[[#This Row],[day_id]],calendar!A220,calendar!K220)</f>
        <v>No Event Type</v>
      </c>
      <c r="K220">
        <f>_xlfn.XLOOKUP(Sheet1[[#This Row],[day_id]],calendar!A220,calendar!I220)</f>
        <v>1</v>
      </c>
    </row>
    <row r="221" spans="1:11" x14ac:dyDescent="0.2">
      <c r="A221" t="s">
        <v>368</v>
      </c>
      <c r="B221" t="s">
        <v>369</v>
      </c>
      <c r="C221" t="s">
        <v>221</v>
      </c>
      <c r="D221">
        <v>9</v>
      </c>
      <c r="E221" s="1">
        <f>_xlfn.XLOOKUP(Sheet1[[#This Row],[day_id]],calendar!A221,calendar!B221)</f>
        <v>40791</v>
      </c>
      <c r="F221" t="str">
        <f>_xlfn.XLOOKUP(Sheet1[[#This Row],[day_id]],calendar!A221,calendar!C221)</f>
        <v>Monday</v>
      </c>
      <c r="G221">
        <f>_xlfn.XLOOKUP(Sheet1[[#This Row],[day_id]],calendar!A221,calendar!E221)</f>
        <v>9</v>
      </c>
      <c r="H221">
        <f>_xlfn.XLOOKUP(Sheet1[[#This Row],[day_id]],calendar!A221,calendar!F221)</f>
        <v>2011</v>
      </c>
      <c r="I221" t="str">
        <f>_xlfn.XLOOKUP(Sheet1[[#This Row],[day_id]],calendar!A221,calendar!J221)</f>
        <v>LaborDay</v>
      </c>
      <c r="J221" t="str">
        <f>_xlfn.XLOOKUP(Sheet1[[#This Row],[day_id]],calendar!A221,calendar!K221)</f>
        <v>National</v>
      </c>
      <c r="K221">
        <f>_xlfn.XLOOKUP(Sheet1[[#This Row],[day_id]],calendar!A221,calendar!I221)</f>
        <v>1</v>
      </c>
    </row>
    <row r="222" spans="1:11" x14ac:dyDescent="0.2">
      <c r="A222" t="s">
        <v>368</v>
      </c>
      <c r="B222" t="s">
        <v>369</v>
      </c>
      <c r="C222" t="s">
        <v>222</v>
      </c>
      <c r="D222">
        <v>17</v>
      </c>
      <c r="E222" s="1">
        <f>_xlfn.XLOOKUP(Sheet1[[#This Row],[day_id]],calendar!A222,calendar!B222)</f>
        <v>40792</v>
      </c>
      <c r="F222" t="str">
        <f>_xlfn.XLOOKUP(Sheet1[[#This Row],[day_id]],calendar!A222,calendar!C222)</f>
        <v>Tuesday</v>
      </c>
      <c r="G222">
        <f>_xlfn.XLOOKUP(Sheet1[[#This Row],[day_id]],calendar!A222,calendar!E222)</f>
        <v>9</v>
      </c>
      <c r="H222">
        <f>_xlfn.XLOOKUP(Sheet1[[#This Row],[day_id]],calendar!A222,calendar!F222)</f>
        <v>2011</v>
      </c>
      <c r="I222" t="str">
        <f>_xlfn.XLOOKUP(Sheet1[[#This Row],[day_id]],calendar!A222,calendar!J222)</f>
        <v>No Event</v>
      </c>
      <c r="J222" t="str">
        <f>_xlfn.XLOOKUP(Sheet1[[#This Row],[day_id]],calendar!A222,calendar!K222)</f>
        <v>No Event Type</v>
      </c>
      <c r="K222">
        <f>_xlfn.XLOOKUP(Sheet1[[#This Row],[day_id]],calendar!A222,calendar!I222)</f>
        <v>1</v>
      </c>
    </row>
    <row r="223" spans="1:11" x14ac:dyDescent="0.2">
      <c r="A223" t="s">
        <v>368</v>
      </c>
      <c r="B223" t="s">
        <v>369</v>
      </c>
      <c r="C223" t="s">
        <v>223</v>
      </c>
      <c r="D223">
        <v>11</v>
      </c>
      <c r="E223" s="1">
        <f>_xlfn.XLOOKUP(Sheet1[[#This Row],[day_id]],calendar!A223,calendar!B223)</f>
        <v>40793</v>
      </c>
      <c r="F223" t="str">
        <f>_xlfn.XLOOKUP(Sheet1[[#This Row],[day_id]],calendar!A223,calendar!C223)</f>
        <v>Wednesday</v>
      </c>
      <c r="G223">
        <f>_xlfn.XLOOKUP(Sheet1[[#This Row],[day_id]],calendar!A223,calendar!E223)</f>
        <v>9</v>
      </c>
      <c r="H223">
        <f>_xlfn.XLOOKUP(Sheet1[[#This Row],[day_id]],calendar!A223,calendar!F223)</f>
        <v>2011</v>
      </c>
      <c r="I223" t="str">
        <f>_xlfn.XLOOKUP(Sheet1[[#This Row],[day_id]],calendar!A223,calendar!J223)</f>
        <v>No Event</v>
      </c>
      <c r="J223" t="str">
        <f>_xlfn.XLOOKUP(Sheet1[[#This Row],[day_id]],calendar!A223,calendar!K223)</f>
        <v>No Event Type</v>
      </c>
      <c r="K223">
        <f>_xlfn.XLOOKUP(Sheet1[[#This Row],[day_id]],calendar!A223,calendar!I223)</f>
        <v>1</v>
      </c>
    </row>
    <row r="224" spans="1:11" x14ac:dyDescent="0.2">
      <c r="A224" t="s">
        <v>368</v>
      </c>
      <c r="B224" t="s">
        <v>369</v>
      </c>
      <c r="C224" t="s">
        <v>224</v>
      </c>
      <c r="D224">
        <v>17</v>
      </c>
      <c r="E224" s="1">
        <f>_xlfn.XLOOKUP(Sheet1[[#This Row],[day_id]],calendar!A224,calendar!B224)</f>
        <v>40794</v>
      </c>
      <c r="F224" t="str">
        <f>_xlfn.XLOOKUP(Sheet1[[#This Row],[day_id]],calendar!A224,calendar!C224)</f>
        <v>Thursday</v>
      </c>
      <c r="G224">
        <f>_xlfn.XLOOKUP(Sheet1[[#This Row],[day_id]],calendar!A224,calendar!E224)</f>
        <v>9</v>
      </c>
      <c r="H224">
        <f>_xlfn.XLOOKUP(Sheet1[[#This Row],[day_id]],calendar!A224,calendar!F224)</f>
        <v>2011</v>
      </c>
      <c r="I224" t="str">
        <f>_xlfn.XLOOKUP(Sheet1[[#This Row],[day_id]],calendar!A224,calendar!J224)</f>
        <v>No Event</v>
      </c>
      <c r="J224" t="str">
        <f>_xlfn.XLOOKUP(Sheet1[[#This Row],[day_id]],calendar!A224,calendar!K224)</f>
        <v>No Event Type</v>
      </c>
      <c r="K224">
        <f>_xlfn.XLOOKUP(Sheet1[[#This Row],[day_id]],calendar!A224,calendar!I224)</f>
        <v>1</v>
      </c>
    </row>
    <row r="225" spans="1:11" x14ac:dyDescent="0.2">
      <c r="A225" t="s">
        <v>368</v>
      </c>
      <c r="B225" t="s">
        <v>369</v>
      </c>
      <c r="C225" t="s">
        <v>225</v>
      </c>
      <c r="D225">
        <v>9</v>
      </c>
      <c r="E225" s="1">
        <f>_xlfn.XLOOKUP(Sheet1[[#This Row],[day_id]],calendar!A225,calendar!B225)</f>
        <v>40795</v>
      </c>
      <c r="F225" t="str">
        <f>_xlfn.XLOOKUP(Sheet1[[#This Row],[day_id]],calendar!A225,calendar!C225)</f>
        <v>Friday</v>
      </c>
      <c r="G225">
        <f>_xlfn.XLOOKUP(Sheet1[[#This Row],[day_id]],calendar!A225,calendar!E225)</f>
        <v>9</v>
      </c>
      <c r="H225">
        <f>_xlfn.XLOOKUP(Sheet1[[#This Row],[day_id]],calendar!A225,calendar!F225)</f>
        <v>2011</v>
      </c>
      <c r="I225" t="str">
        <f>_xlfn.XLOOKUP(Sheet1[[#This Row],[day_id]],calendar!A225,calendar!J225)</f>
        <v>No Event</v>
      </c>
      <c r="J225" t="str">
        <f>_xlfn.XLOOKUP(Sheet1[[#This Row],[day_id]],calendar!A225,calendar!K225)</f>
        <v>No Event Type</v>
      </c>
      <c r="K225">
        <f>_xlfn.XLOOKUP(Sheet1[[#This Row],[day_id]],calendar!A225,calendar!I225)</f>
        <v>1</v>
      </c>
    </row>
    <row r="226" spans="1:11" x14ac:dyDescent="0.2">
      <c r="A226" t="s">
        <v>368</v>
      </c>
      <c r="B226" t="s">
        <v>369</v>
      </c>
      <c r="C226" t="s">
        <v>226</v>
      </c>
      <c r="D226">
        <v>20</v>
      </c>
      <c r="E226" s="1">
        <f>_xlfn.XLOOKUP(Sheet1[[#This Row],[day_id]],calendar!A226,calendar!B226)</f>
        <v>40796</v>
      </c>
      <c r="F226" t="str">
        <f>_xlfn.XLOOKUP(Sheet1[[#This Row],[day_id]],calendar!A226,calendar!C226)</f>
        <v>Saturday</v>
      </c>
      <c r="G226">
        <f>_xlfn.XLOOKUP(Sheet1[[#This Row],[day_id]],calendar!A226,calendar!E226)</f>
        <v>9</v>
      </c>
      <c r="H226">
        <f>_xlfn.XLOOKUP(Sheet1[[#This Row],[day_id]],calendar!A226,calendar!F226)</f>
        <v>2011</v>
      </c>
      <c r="I226" t="str">
        <f>_xlfn.XLOOKUP(Sheet1[[#This Row],[day_id]],calendar!A226,calendar!J226)</f>
        <v>No Event</v>
      </c>
      <c r="J226" t="str">
        <f>_xlfn.XLOOKUP(Sheet1[[#This Row],[day_id]],calendar!A226,calendar!K226)</f>
        <v>No Event Type</v>
      </c>
      <c r="K226">
        <f>_xlfn.XLOOKUP(Sheet1[[#This Row],[day_id]],calendar!A226,calendar!I226)</f>
        <v>1</v>
      </c>
    </row>
    <row r="227" spans="1:11" x14ac:dyDescent="0.2">
      <c r="A227" t="s">
        <v>368</v>
      </c>
      <c r="B227" t="s">
        <v>369</v>
      </c>
      <c r="C227" t="s">
        <v>227</v>
      </c>
      <c r="D227">
        <v>13</v>
      </c>
      <c r="E227" s="1">
        <f>_xlfn.XLOOKUP(Sheet1[[#This Row],[day_id]],calendar!A227,calendar!B227)</f>
        <v>40797</v>
      </c>
      <c r="F227" t="str">
        <f>_xlfn.XLOOKUP(Sheet1[[#This Row],[day_id]],calendar!A227,calendar!C227)</f>
        <v>Sunday</v>
      </c>
      <c r="G227">
        <f>_xlfn.XLOOKUP(Sheet1[[#This Row],[day_id]],calendar!A227,calendar!E227)</f>
        <v>9</v>
      </c>
      <c r="H227">
        <f>_xlfn.XLOOKUP(Sheet1[[#This Row],[day_id]],calendar!A227,calendar!F227)</f>
        <v>2011</v>
      </c>
      <c r="I227" t="str">
        <f>_xlfn.XLOOKUP(Sheet1[[#This Row],[day_id]],calendar!A227,calendar!J227)</f>
        <v>No Event</v>
      </c>
      <c r="J227" t="str">
        <f>_xlfn.XLOOKUP(Sheet1[[#This Row],[day_id]],calendar!A227,calendar!K227)</f>
        <v>No Event Type</v>
      </c>
      <c r="K227">
        <f>_xlfn.XLOOKUP(Sheet1[[#This Row],[day_id]],calendar!A227,calendar!I227)</f>
        <v>0</v>
      </c>
    </row>
    <row r="228" spans="1:11" x14ac:dyDescent="0.2">
      <c r="A228" t="s">
        <v>368</v>
      </c>
      <c r="B228" t="s">
        <v>369</v>
      </c>
      <c r="C228" t="s">
        <v>228</v>
      </c>
      <c r="D228">
        <v>7</v>
      </c>
      <c r="E228" s="1">
        <f>_xlfn.XLOOKUP(Sheet1[[#This Row],[day_id]],calendar!A228,calendar!B228)</f>
        <v>40798</v>
      </c>
      <c r="F228" t="str">
        <f>_xlfn.XLOOKUP(Sheet1[[#This Row],[day_id]],calendar!A228,calendar!C228)</f>
        <v>Monday</v>
      </c>
      <c r="G228">
        <f>_xlfn.XLOOKUP(Sheet1[[#This Row],[day_id]],calendar!A228,calendar!E228)</f>
        <v>9</v>
      </c>
      <c r="H228">
        <f>_xlfn.XLOOKUP(Sheet1[[#This Row],[day_id]],calendar!A228,calendar!F228)</f>
        <v>2011</v>
      </c>
      <c r="I228" t="str">
        <f>_xlfn.XLOOKUP(Sheet1[[#This Row],[day_id]],calendar!A228,calendar!J228)</f>
        <v>No Event</v>
      </c>
      <c r="J228" t="str">
        <f>_xlfn.XLOOKUP(Sheet1[[#This Row],[day_id]],calendar!A228,calendar!K228)</f>
        <v>No Event Type</v>
      </c>
      <c r="K228">
        <f>_xlfn.XLOOKUP(Sheet1[[#This Row],[day_id]],calendar!A228,calendar!I228)</f>
        <v>0</v>
      </c>
    </row>
    <row r="229" spans="1:11" x14ac:dyDescent="0.2">
      <c r="A229" t="s">
        <v>368</v>
      </c>
      <c r="B229" t="s">
        <v>369</v>
      </c>
      <c r="C229" t="s">
        <v>229</v>
      </c>
      <c r="D229">
        <v>14</v>
      </c>
      <c r="E229" s="1">
        <f>_xlfn.XLOOKUP(Sheet1[[#This Row],[day_id]],calendar!A229,calendar!B229)</f>
        <v>40799</v>
      </c>
      <c r="F229" t="str">
        <f>_xlfn.XLOOKUP(Sheet1[[#This Row],[day_id]],calendar!A229,calendar!C229)</f>
        <v>Tuesday</v>
      </c>
      <c r="G229">
        <f>_xlfn.XLOOKUP(Sheet1[[#This Row],[day_id]],calendar!A229,calendar!E229)</f>
        <v>9</v>
      </c>
      <c r="H229">
        <f>_xlfn.XLOOKUP(Sheet1[[#This Row],[day_id]],calendar!A229,calendar!F229)</f>
        <v>2011</v>
      </c>
      <c r="I229" t="str">
        <f>_xlfn.XLOOKUP(Sheet1[[#This Row],[day_id]],calendar!A229,calendar!J229)</f>
        <v>No Event</v>
      </c>
      <c r="J229" t="str">
        <f>_xlfn.XLOOKUP(Sheet1[[#This Row],[day_id]],calendar!A229,calendar!K229)</f>
        <v>No Event Type</v>
      </c>
      <c r="K229">
        <f>_xlfn.XLOOKUP(Sheet1[[#This Row],[day_id]],calendar!A229,calendar!I229)</f>
        <v>0</v>
      </c>
    </row>
    <row r="230" spans="1:11" x14ac:dyDescent="0.2">
      <c r="A230" t="s">
        <v>368</v>
      </c>
      <c r="B230" t="s">
        <v>369</v>
      </c>
      <c r="C230" t="s">
        <v>230</v>
      </c>
      <c r="D230">
        <v>16</v>
      </c>
      <c r="E230" s="1">
        <f>_xlfn.XLOOKUP(Sheet1[[#This Row],[day_id]],calendar!A230,calendar!B230)</f>
        <v>40800</v>
      </c>
      <c r="F230" t="str">
        <f>_xlfn.XLOOKUP(Sheet1[[#This Row],[day_id]],calendar!A230,calendar!C230)</f>
        <v>Wednesday</v>
      </c>
      <c r="G230">
        <f>_xlfn.XLOOKUP(Sheet1[[#This Row],[day_id]],calendar!A230,calendar!E230)</f>
        <v>9</v>
      </c>
      <c r="H230">
        <f>_xlfn.XLOOKUP(Sheet1[[#This Row],[day_id]],calendar!A230,calendar!F230)</f>
        <v>2011</v>
      </c>
      <c r="I230" t="str">
        <f>_xlfn.XLOOKUP(Sheet1[[#This Row],[day_id]],calendar!A230,calendar!J230)</f>
        <v>No Event</v>
      </c>
      <c r="J230" t="str">
        <f>_xlfn.XLOOKUP(Sheet1[[#This Row],[day_id]],calendar!A230,calendar!K230)</f>
        <v>No Event Type</v>
      </c>
      <c r="K230">
        <f>_xlfn.XLOOKUP(Sheet1[[#This Row],[day_id]],calendar!A230,calendar!I230)</f>
        <v>0</v>
      </c>
    </row>
    <row r="231" spans="1:11" x14ac:dyDescent="0.2">
      <c r="A231" t="s">
        <v>368</v>
      </c>
      <c r="B231" t="s">
        <v>369</v>
      </c>
      <c r="C231" t="s">
        <v>231</v>
      </c>
      <c r="D231">
        <v>17</v>
      </c>
      <c r="E231" s="1">
        <f>_xlfn.XLOOKUP(Sheet1[[#This Row],[day_id]],calendar!A231,calendar!B231)</f>
        <v>40801</v>
      </c>
      <c r="F231" t="str">
        <f>_xlfn.XLOOKUP(Sheet1[[#This Row],[day_id]],calendar!A231,calendar!C231)</f>
        <v>Thursday</v>
      </c>
      <c r="G231">
        <f>_xlfn.XLOOKUP(Sheet1[[#This Row],[day_id]],calendar!A231,calendar!E231)</f>
        <v>9</v>
      </c>
      <c r="H231">
        <f>_xlfn.XLOOKUP(Sheet1[[#This Row],[day_id]],calendar!A231,calendar!F231)</f>
        <v>2011</v>
      </c>
      <c r="I231" t="str">
        <f>_xlfn.XLOOKUP(Sheet1[[#This Row],[day_id]],calendar!A231,calendar!J231)</f>
        <v>No Event</v>
      </c>
      <c r="J231" t="str">
        <f>_xlfn.XLOOKUP(Sheet1[[#This Row],[day_id]],calendar!A231,calendar!K231)</f>
        <v>No Event Type</v>
      </c>
      <c r="K231">
        <f>_xlfn.XLOOKUP(Sheet1[[#This Row],[day_id]],calendar!A231,calendar!I231)</f>
        <v>0</v>
      </c>
    </row>
    <row r="232" spans="1:11" x14ac:dyDescent="0.2">
      <c r="A232" t="s">
        <v>368</v>
      </c>
      <c r="B232" t="s">
        <v>369</v>
      </c>
      <c r="C232" t="s">
        <v>232</v>
      </c>
      <c r="D232">
        <v>3</v>
      </c>
      <c r="E232" s="1">
        <f>_xlfn.XLOOKUP(Sheet1[[#This Row],[day_id]],calendar!A232,calendar!B232)</f>
        <v>40802</v>
      </c>
      <c r="F232" t="str">
        <f>_xlfn.XLOOKUP(Sheet1[[#This Row],[day_id]],calendar!A232,calendar!C232)</f>
        <v>Friday</v>
      </c>
      <c r="G232">
        <f>_xlfn.XLOOKUP(Sheet1[[#This Row],[day_id]],calendar!A232,calendar!E232)</f>
        <v>9</v>
      </c>
      <c r="H232">
        <f>_xlfn.XLOOKUP(Sheet1[[#This Row],[day_id]],calendar!A232,calendar!F232)</f>
        <v>2011</v>
      </c>
      <c r="I232" t="str">
        <f>_xlfn.XLOOKUP(Sheet1[[#This Row],[day_id]],calendar!A232,calendar!J232)</f>
        <v>No Event</v>
      </c>
      <c r="J232" t="str">
        <f>_xlfn.XLOOKUP(Sheet1[[#This Row],[day_id]],calendar!A232,calendar!K232)</f>
        <v>No Event Type</v>
      </c>
      <c r="K232">
        <f>_xlfn.XLOOKUP(Sheet1[[#This Row],[day_id]],calendar!A232,calendar!I232)</f>
        <v>0</v>
      </c>
    </row>
    <row r="233" spans="1:11" x14ac:dyDescent="0.2">
      <c r="A233" t="s">
        <v>368</v>
      </c>
      <c r="B233" t="s">
        <v>369</v>
      </c>
      <c r="C233" t="s">
        <v>233</v>
      </c>
      <c r="D233">
        <v>20</v>
      </c>
      <c r="E233" s="1">
        <f>_xlfn.XLOOKUP(Sheet1[[#This Row],[day_id]],calendar!A233,calendar!B233)</f>
        <v>40803</v>
      </c>
      <c r="F233" t="str">
        <f>_xlfn.XLOOKUP(Sheet1[[#This Row],[day_id]],calendar!A233,calendar!C233)</f>
        <v>Saturday</v>
      </c>
      <c r="G233">
        <f>_xlfn.XLOOKUP(Sheet1[[#This Row],[day_id]],calendar!A233,calendar!E233)</f>
        <v>9</v>
      </c>
      <c r="H233">
        <f>_xlfn.XLOOKUP(Sheet1[[#This Row],[day_id]],calendar!A233,calendar!F233)</f>
        <v>2011</v>
      </c>
      <c r="I233" t="str">
        <f>_xlfn.XLOOKUP(Sheet1[[#This Row],[day_id]],calendar!A233,calendar!J233)</f>
        <v>No Event</v>
      </c>
      <c r="J233" t="str">
        <f>_xlfn.XLOOKUP(Sheet1[[#This Row],[day_id]],calendar!A233,calendar!K233)</f>
        <v>No Event Type</v>
      </c>
      <c r="K233">
        <f>_xlfn.XLOOKUP(Sheet1[[#This Row],[day_id]],calendar!A233,calendar!I233)</f>
        <v>0</v>
      </c>
    </row>
    <row r="234" spans="1:11" x14ac:dyDescent="0.2">
      <c r="A234" t="s">
        <v>368</v>
      </c>
      <c r="B234" t="s">
        <v>369</v>
      </c>
      <c r="C234" t="s">
        <v>234</v>
      </c>
      <c r="D234">
        <v>14</v>
      </c>
      <c r="E234" s="1">
        <f>_xlfn.XLOOKUP(Sheet1[[#This Row],[day_id]],calendar!A234,calendar!B234)</f>
        <v>40804</v>
      </c>
      <c r="F234" t="str">
        <f>_xlfn.XLOOKUP(Sheet1[[#This Row],[day_id]],calendar!A234,calendar!C234)</f>
        <v>Sunday</v>
      </c>
      <c r="G234">
        <f>_xlfn.XLOOKUP(Sheet1[[#This Row],[day_id]],calendar!A234,calendar!E234)</f>
        <v>9</v>
      </c>
      <c r="H234">
        <f>_xlfn.XLOOKUP(Sheet1[[#This Row],[day_id]],calendar!A234,calendar!F234)</f>
        <v>2011</v>
      </c>
      <c r="I234" t="str">
        <f>_xlfn.XLOOKUP(Sheet1[[#This Row],[day_id]],calendar!A234,calendar!J234)</f>
        <v>No Event</v>
      </c>
      <c r="J234" t="str">
        <f>_xlfn.XLOOKUP(Sheet1[[#This Row],[day_id]],calendar!A234,calendar!K234)</f>
        <v>No Event Type</v>
      </c>
      <c r="K234">
        <f>_xlfn.XLOOKUP(Sheet1[[#This Row],[day_id]],calendar!A234,calendar!I234)</f>
        <v>0</v>
      </c>
    </row>
    <row r="235" spans="1:11" x14ac:dyDescent="0.2">
      <c r="A235" t="s">
        <v>368</v>
      </c>
      <c r="B235" t="s">
        <v>369</v>
      </c>
      <c r="C235" t="s">
        <v>235</v>
      </c>
      <c r="D235">
        <v>5</v>
      </c>
      <c r="E235" s="1">
        <f>_xlfn.XLOOKUP(Sheet1[[#This Row],[day_id]],calendar!A235,calendar!B235)</f>
        <v>40805</v>
      </c>
      <c r="F235" t="str">
        <f>_xlfn.XLOOKUP(Sheet1[[#This Row],[day_id]],calendar!A235,calendar!C235)</f>
        <v>Monday</v>
      </c>
      <c r="G235">
        <f>_xlfn.XLOOKUP(Sheet1[[#This Row],[day_id]],calendar!A235,calendar!E235)</f>
        <v>9</v>
      </c>
      <c r="H235">
        <f>_xlfn.XLOOKUP(Sheet1[[#This Row],[day_id]],calendar!A235,calendar!F235)</f>
        <v>2011</v>
      </c>
      <c r="I235" t="str">
        <f>_xlfn.XLOOKUP(Sheet1[[#This Row],[day_id]],calendar!A235,calendar!J235)</f>
        <v>No Event</v>
      </c>
      <c r="J235" t="str">
        <f>_xlfn.XLOOKUP(Sheet1[[#This Row],[day_id]],calendar!A235,calendar!K235)</f>
        <v>No Event Type</v>
      </c>
      <c r="K235">
        <f>_xlfn.XLOOKUP(Sheet1[[#This Row],[day_id]],calendar!A235,calendar!I235)</f>
        <v>0</v>
      </c>
    </row>
    <row r="236" spans="1:11" x14ac:dyDescent="0.2">
      <c r="A236" t="s">
        <v>368</v>
      </c>
      <c r="B236" t="s">
        <v>369</v>
      </c>
      <c r="C236" t="s">
        <v>236</v>
      </c>
      <c r="D236">
        <v>7</v>
      </c>
      <c r="E236" s="1">
        <f>_xlfn.XLOOKUP(Sheet1[[#This Row],[day_id]],calendar!A236,calendar!B236)</f>
        <v>40806</v>
      </c>
      <c r="F236" t="str">
        <f>_xlfn.XLOOKUP(Sheet1[[#This Row],[day_id]],calendar!A236,calendar!C236)</f>
        <v>Tuesday</v>
      </c>
      <c r="G236">
        <f>_xlfn.XLOOKUP(Sheet1[[#This Row],[day_id]],calendar!A236,calendar!E236)</f>
        <v>9</v>
      </c>
      <c r="H236">
        <f>_xlfn.XLOOKUP(Sheet1[[#This Row],[day_id]],calendar!A236,calendar!F236)</f>
        <v>2011</v>
      </c>
      <c r="I236" t="str">
        <f>_xlfn.XLOOKUP(Sheet1[[#This Row],[day_id]],calendar!A236,calendar!J236)</f>
        <v>No Event</v>
      </c>
      <c r="J236" t="str">
        <f>_xlfn.XLOOKUP(Sheet1[[#This Row],[day_id]],calendar!A236,calendar!K236)</f>
        <v>No Event Type</v>
      </c>
      <c r="K236">
        <f>_xlfn.XLOOKUP(Sheet1[[#This Row],[day_id]],calendar!A236,calendar!I236)</f>
        <v>0</v>
      </c>
    </row>
    <row r="237" spans="1:11" x14ac:dyDescent="0.2">
      <c r="A237" t="s">
        <v>368</v>
      </c>
      <c r="B237" t="s">
        <v>369</v>
      </c>
      <c r="C237" t="s">
        <v>237</v>
      </c>
      <c r="D237">
        <v>1</v>
      </c>
      <c r="E237" s="1">
        <f>_xlfn.XLOOKUP(Sheet1[[#This Row],[day_id]],calendar!A237,calendar!B237)</f>
        <v>40807</v>
      </c>
      <c r="F237" t="str">
        <f>_xlfn.XLOOKUP(Sheet1[[#This Row],[day_id]],calendar!A237,calendar!C237)</f>
        <v>Wednesday</v>
      </c>
      <c r="G237">
        <f>_xlfn.XLOOKUP(Sheet1[[#This Row],[day_id]],calendar!A237,calendar!E237)</f>
        <v>9</v>
      </c>
      <c r="H237">
        <f>_xlfn.XLOOKUP(Sheet1[[#This Row],[day_id]],calendar!A237,calendar!F237)</f>
        <v>2011</v>
      </c>
      <c r="I237" t="str">
        <f>_xlfn.XLOOKUP(Sheet1[[#This Row],[day_id]],calendar!A237,calendar!J237)</f>
        <v>No Event</v>
      </c>
      <c r="J237" t="str">
        <f>_xlfn.XLOOKUP(Sheet1[[#This Row],[day_id]],calendar!A237,calendar!K237)</f>
        <v>No Event Type</v>
      </c>
      <c r="K237">
        <f>_xlfn.XLOOKUP(Sheet1[[#This Row],[day_id]],calendar!A237,calendar!I237)</f>
        <v>0</v>
      </c>
    </row>
    <row r="238" spans="1:11" x14ac:dyDescent="0.2">
      <c r="A238" t="s">
        <v>368</v>
      </c>
      <c r="B238" t="s">
        <v>369</v>
      </c>
      <c r="C238" t="s">
        <v>238</v>
      </c>
      <c r="D238">
        <v>2</v>
      </c>
      <c r="E238" s="1">
        <f>_xlfn.XLOOKUP(Sheet1[[#This Row],[day_id]],calendar!A238,calendar!B238)</f>
        <v>40808</v>
      </c>
      <c r="F238" t="str">
        <f>_xlfn.XLOOKUP(Sheet1[[#This Row],[day_id]],calendar!A238,calendar!C238)</f>
        <v>Thursday</v>
      </c>
      <c r="G238">
        <f>_xlfn.XLOOKUP(Sheet1[[#This Row],[day_id]],calendar!A238,calendar!E238)</f>
        <v>9</v>
      </c>
      <c r="H238">
        <f>_xlfn.XLOOKUP(Sheet1[[#This Row],[day_id]],calendar!A238,calendar!F238)</f>
        <v>2011</v>
      </c>
      <c r="I238" t="str">
        <f>_xlfn.XLOOKUP(Sheet1[[#This Row],[day_id]],calendar!A238,calendar!J238)</f>
        <v>No Event</v>
      </c>
      <c r="J238" t="str">
        <f>_xlfn.XLOOKUP(Sheet1[[#This Row],[day_id]],calendar!A238,calendar!K238)</f>
        <v>No Event Type</v>
      </c>
      <c r="K238">
        <f>_xlfn.XLOOKUP(Sheet1[[#This Row],[day_id]],calendar!A238,calendar!I238)</f>
        <v>0</v>
      </c>
    </row>
    <row r="239" spans="1:11" x14ac:dyDescent="0.2">
      <c r="A239" t="s">
        <v>368</v>
      </c>
      <c r="B239" t="s">
        <v>369</v>
      </c>
      <c r="C239" t="s">
        <v>239</v>
      </c>
      <c r="D239">
        <v>7</v>
      </c>
      <c r="E239" s="1">
        <f>_xlfn.XLOOKUP(Sheet1[[#This Row],[day_id]],calendar!A239,calendar!B239)</f>
        <v>40809</v>
      </c>
      <c r="F239" t="str">
        <f>_xlfn.XLOOKUP(Sheet1[[#This Row],[day_id]],calendar!A239,calendar!C239)</f>
        <v>Friday</v>
      </c>
      <c r="G239">
        <f>_xlfn.XLOOKUP(Sheet1[[#This Row],[day_id]],calendar!A239,calendar!E239)</f>
        <v>9</v>
      </c>
      <c r="H239">
        <f>_xlfn.XLOOKUP(Sheet1[[#This Row],[day_id]],calendar!A239,calendar!F239)</f>
        <v>2011</v>
      </c>
      <c r="I239" t="str">
        <f>_xlfn.XLOOKUP(Sheet1[[#This Row],[day_id]],calendar!A239,calendar!J239)</f>
        <v>No Event</v>
      </c>
      <c r="J239" t="str">
        <f>_xlfn.XLOOKUP(Sheet1[[#This Row],[day_id]],calendar!A239,calendar!K239)</f>
        <v>No Event Type</v>
      </c>
      <c r="K239">
        <f>_xlfn.XLOOKUP(Sheet1[[#This Row],[day_id]],calendar!A239,calendar!I239)</f>
        <v>0</v>
      </c>
    </row>
    <row r="240" spans="1:11" x14ac:dyDescent="0.2">
      <c r="A240" t="s">
        <v>368</v>
      </c>
      <c r="B240" t="s">
        <v>369</v>
      </c>
      <c r="C240" t="s">
        <v>240</v>
      </c>
      <c r="D240">
        <v>18</v>
      </c>
      <c r="E240" s="1">
        <f>_xlfn.XLOOKUP(Sheet1[[#This Row],[day_id]],calendar!A240,calendar!B240)</f>
        <v>40810</v>
      </c>
      <c r="F240" t="str">
        <f>_xlfn.XLOOKUP(Sheet1[[#This Row],[day_id]],calendar!A240,calendar!C240)</f>
        <v>Saturday</v>
      </c>
      <c r="G240">
        <f>_xlfn.XLOOKUP(Sheet1[[#This Row],[day_id]],calendar!A240,calendar!E240)</f>
        <v>9</v>
      </c>
      <c r="H240">
        <f>_xlfn.XLOOKUP(Sheet1[[#This Row],[day_id]],calendar!A240,calendar!F240)</f>
        <v>2011</v>
      </c>
      <c r="I240" t="str">
        <f>_xlfn.XLOOKUP(Sheet1[[#This Row],[day_id]],calendar!A240,calendar!J240)</f>
        <v>No Event</v>
      </c>
      <c r="J240" t="str">
        <f>_xlfn.XLOOKUP(Sheet1[[#This Row],[day_id]],calendar!A240,calendar!K240)</f>
        <v>No Event Type</v>
      </c>
      <c r="K240">
        <f>_xlfn.XLOOKUP(Sheet1[[#This Row],[day_id]],calendar!A240,calendar!I240)</f>
        <v>0</v>
      </c>
    </row>
    <row r="241" spans="1:11" x14ac:dyDescent="0.2">
      <c r="A241" t="s">
        <v>368</v>
      </c>
      <c r="B241" t="s">
        <v>369</v>
      </c>
      <c r="C241" t="s">
        <v>241</v>
      </c>
      <c r="D241">
        <v>16</v>
      </c>
      <c r="E241" s="1">
        <f>_xlfn.XLOOKUP(Sheet1[[#This Row],[day_id]],calendar!A241,calendar!B241)</f>
        <v>40811</v>
      </c>
      <c r="F241" t="str">
        <f>_xlfn.XLOOKUP(Sheet1[[#This Row],[day_id]],calendar!A241,calendar!C241)</f>
        <v>Sunday</v>
      </c>
      <c r="G241">
        <f>_xlfn.XLOOKUP(Sheet1[[#This Row],[day_id]],calendar!A241,calendar!E241)</f>
        <v>9</v>
      </c>
      <c r="H241">
        <f>_xlfn.XLOOKUP(Sheet1[[#This Row],[day_id]],calendar!A241,calendar!F241)</f>
        <v>2011</v>
      </c>
      <c r="I241" t="str">
        <f>_xlfn.XLOOKUP(Sheet1[[#This Row],[day_id]],calendar!A241,calendar!J241)</f>
        <v>No Event</v>
      </c>
      <c r="J241" t="str">
        <f>_xlfn.XLOOKUP(Sheet1[[#This Row],[day_id]],calendar!A241,calendar!K241)</f>
        <v>No Event Type</v>
      </c>
      <c r="K241">
        <f>_xlfn.XLOOKUP(Sheet1[[#This Row],[day_id]],calendar!A241,calendar!I241)</f>
        <v>0</v>
      </c>
    </row>
    <row r="242" spans="1:11" x14ac:dyDescent="0.2">
      <c r="A242" t="s">
        <v>368</v>
      </c>
      <c r="B242" t="s">
        <v>369</v>
      </c>
      <c r="C242" t="s">
        <v>242</v>
      </c>
      <c r="D242">
        <v>12</v>
      </c>
      <c r="E242" s="1">
        <f>_xlfn.XLOOKUP(Sheet1[[#This Row],[day_id]],calendar!A242,calendar!B242)</f>
        <v>40812</v>
      </c>
      <c r="F242" t="str">
        <f>_xlfn.XLOOKUP(Sheet1[[#This Row],[day_id]],calendar!A242,calendar!C242)</f>
        <v>Monday</v>
      </c>
      <c r="G242">
        <f>_xlfn.XLOOKUP(Sheet1[[#This Row],[day_id]],calendar!A242,calendar!E242)</f>
        <v>9</v>
      </c>
      <c r="H242">
        <f>_xlfn.XLOOKUP(Sheet1[[#This Row],[day_id]],calendar!A242,calendar!F242)</f>
        <v>2011</v>
      </c>
      <c r="I242" t="str">
        <f>_xlfn.XLOOKUP(Sheet1[[#This Row],[day_id]],calendar!A242,calendar!J242)</f>
        <v>No Event</v>
      </c>
      <c r="J242" t="str">
        <f>_xlfn.XLOOKUP(Sheet1[[#This Row],[day_id]],calendar!A242,calendar!K242)</f>
        <v>No Event Type</v>
      </c>
      <c r="K242">
        <f>_xlfn.XLOOKUP(Sheet1[[#This Row],[day_id]],calendar!A242,calendar!I242)</f>
        <v>0</v>
      </c>
    </row>
    <row r="243" spans="1:11" x14ac:dyDescent="0.2">
      <c r="A243" t="s">
        <v>368</v>
      </c>
      <c r="B243" t="s">
        <v>369</v>
      </c>
      <c r="C243" t="s">
        <v>243</v>
      </c>
      <c r="D243">
        <v>2</v>
      </c>
      <c r="E243" s="1">
        <f>_xlfn.XLOOKUP(Sheet1[[#This Row],[day_id]],calendar!A243,calendar!B243)</f>
        <v>40813</v>
      </c>
      <c r="F243" t="str">
        <f>_xlfn.XLOOKUP(Sheet1[[#This Row],[day_id]],calendar!A243,calendar!C243)</f>
        <v>Tuesday</v>
      </c>
      <c r="G243">
        <f>_xlfn.XLOOKUP(Sheet1[[#This Row],[day_id]],calendar!A243,calendar!E243)</f>
        <v>9</v>
      </c>
      <c r="H243">
        <f>_xlfn.XLOOKUP(Sheet1[[#This Row],[day_id]],calendar!A243,calendar!F243)</f>
        <v>2011</v>
      </c>
      <c r="I243" t="str">
        <f>_xlfn.XLOOKUP(Sheet1[[#This Row],[day_id]],calendar!A243,calendar!J243)</f>
        <v>No Event</v>
      </c>
      <c r="J243" t="str">
        <f>_xlfn.XLOOKUP(Sheet1[[#This Row],[day_id]],calendar!A243,calendar!K243)</f>
        <v>No Event Type</v>
      </c>
      <c r="K243">
        <f>_xlfn.XLOOKUP(Sheet1[[#This Row],[day_id]],calendar!A243,calendar!I243)</f>
        <v>0</v>
      </c>
    </row>
    <row r="244" spans="1:11" x14ac:dyDescent="0.2">
      <c r="A244" t="s">
        <v>368</v>
      </c>
      <c r="B244" t="s">
        <v>369</v>
      </c>
      <c r="C244" t="s">
        <v>244</v>
      </c>
      <c r="D244">
        <v>4</v>
      </c>
      <c r="E244" s="1">
        <f>_xlfn.XLOOKUP(Sheet1[[#This Row],[day_id]],calendar!A244,calendar!B244)</f>
        <v>40814</v>
      </c>
      <c r="F244" t="str">
        <f>_xlfn.XLOOKUP(Sheet1[[#This Row],[day_id]],calendar!A244,calendar!C244)</f>
        <v>Wednesday</v>
      </c>
      <c r="G244">
        <f>_xlfn.XLOOKUP(Sheet1[[#This Row],[day_id]],calendar!A244,calendar!E244)</f>
        <v>9</v>
      </c>
      <c r="H244">
        <f>_xlfn.XLOOKUP(Sheet1[[#This Row],[day_id]],calendar!A244,calendar!F244)</f>
        <v>2011</v>
      </c>
      <c r="I244" t="str">
        <f>_xlfn.XLOOKUP(Sheet1[[#This Row],[day_id]],calendar!A244,calendar!J244)</f>
        <v>No Event</v>
      </c>
      <c r="J244" t="str">
        <f>_xlfn.XLOOKUP(Sheet1[[#This Row],[day_id]],calendar!A244,calendar!K244)</f>
        <v>No Event Type</v>
      </c>
      <c r="K244">
        <f>_xlfn.XLOOKUP(Sheet1[[#This Row],[day_id]],calendar!A244,calendar!I244)</f>
        <v>0</v>
      </c>
    </row>
    <row r="245" spans="1:11" x14ac:dyDescent="0.2">
      <c r="A245" t="s">
        <v>368</v>
      </c>
      <c r="B245" t="s">
        <v>369</v>
      </c>
      <c r="C245" t="s">
        <v>245</v>
      </c>
      <c r="D245">
        <v>18</v>
      </c>
      <c r="E245" s="1">
        <f>_xlfn.XLOOKUP(Sheet1[[#This Row],[day_id]],calendar!A245,calendar!B245)</f>
        <v>40815</v>
      </c>
      <c r="F245" t="str">
        <f>_xlfn.XLOOKUP(Sheet1[[#This Row],[day_id]],calendar!A245,calendar!C245)</f>
        <v>Thursday</v>
      </c>
      <c r="G245">
        <f>_xlfn.XLOOKUP(Sheet1[[#This Row],[day_id]],calendar!A245,calendar!E245)</f>
        <v>9</v>
      </c>
      <c r="H245">
        <f>_xlfn.XLOOKUP(Sheet1[[#This Row],[day_id]],calendar!A245,calendar!F245)</f>
        <v>2011</v>
      </c>
      <c r="I245" t="str">
        <f>_xlfn.XLOOKUP(Sheet1[[#This Row],[day_id]],calendar!A245,calendar!J245)</f>
        <v>No Event</v>
      </c>
      <c r="J245" t="str">
        <f>_xlfn.XLOOKUP(Sheet1[[#This Row],[day_id]],calendar!A245,calendar!K245)</f>
        <v>No Event Type</v>
      </c>
      <c r="K245">
        <f>_xlfn.XLOOKUP(Sheet1[[#This Row],[day_id]],calendar!A245,calendar!I245)</f>
        <v>0</v>
      </c>
    </row>
    <row r="246" spans="1:11" x14ac:dyDescent="0.2">
      <c r="A246" t="s">
        <v>368</v>
      </c>
      <c r="B246" t="s">
        <v>369</v>
      </c>
      <c r="C246" t="s">
        <v>246</v>
      </c>
      <c r="D246">
        <v>23</v>
      </c>
      <c r="E246" s="1">
        <f>_xlfn.XLOOKUP(Sheet1[[#This Row],[day_id]],calendar!A246,calendar!B246)</f>
        <v>40816</v>
      </c>
      <c r="F246" t="str">
        <f>_xlfn.XLOOKUP(Sheet1[[#This Row],[day_id]],calendar!A246,calendar!C246)</f>
        <v>Friday</v>
      </c>
      <c r="G246">
        <f>_xlfn.XLOOKUP(Sheet1[[#This Row],[day_id]],calendar!A246,calendar!E246)</f>
        <v>9</v>
      </c>
      <c r="H246">
        <f>_xlfn.XLOOKUP(Sheet1[[#This Row],[day_id]],calendar!A246,calendar!F246)</f>
        <v>2011</v>
      </c>
      <c r="I246" t="str">
        <f>_xlfn.XLOOKUP(Sheet1[[#This Row],[day_id]],calendar!A246,calendar!J246)</f>
        <v>No Event</v>
      </c>
      <c r="J246" t="str">
        <f>_xlfn.XLOOKUP(Sheet1[[#This Row],[day_id]],calendar!A246,calendar!K246)</f>
        <v>No Event Type</v>
      </c>
      <c r="K246">
        <f>_xlfn.XLOOKUP(Sheet1[[#This Row],[day_id]],calendar!A246,calendar!I246)</f>
        <v>0</v>
      </c>
    </row>
    <row r="247" spans="1:11" x14ac:dyDescent="0.2">
      <c r="A247" t="s">
        <v>368</v>
      </c>
      <c r="B247" t="s">
        <v>369</v>
      </c>
      <c r="C247" t="s">
        <v>247</v>
      </c>
      <c r="D247">
        <v>59</v>
      </c>
      <c r="E247" s="1">
        <f>_xlfn.XLOOKUP(Sheet1[[#This Row],[day_id]],calendar!A247,calendar!B247)</f>
        <v>40817</v>
      </c>
      <c r="F247" t="str">
        <f>_xlfn.XLOOKUP(Sheet1[[#This Row],[day_id]],calendar!A247,calendar!C247)</f>
        <v>Saturday</v>
      </c>
      <c r="G247">
        <f>_xlfn.XLOOKUP(Sheet1[[#This Row],[day_id]],calendar!A247,calendar!E247)</f>
        <v>10</v>
      </c>
      <c r="H247">
        <f>_xlfn.XLOOKUP(Sheet1[[#This Row],[day_id]],calendar!A247,calendar!F247)</f>
        <v>2011</v>
      </c>
      <c r="I247" t="str">
        <f>_xlfn.XLOOKUP(Sheet1[[#This Row],[day_id]],calendar!A247,calendar!J247)</f>
        <v>No Event</v>
      </c>
      <c r="J247" t="str">
        <f>_xlfn.XLOOKUP(Sheet1[[#This Row],[day_id]],calendar!A247,calendar!K247)</f>
        <v>No Event Type</v>
      </c>
      <c r="K247">
        <f>_xlfn.XLOOKUP(Sheet1[[#This Row],[day_id]],calendar!A247,calendar!I247)</f>
        <v>1</v>
      </c>
    </row>
    <row r="248" spans="1:11" x14ac:dyDescent="0.2">
      <c r="A248" t="s">
        <v>368</v>
      </c>
      <c r="B248" t="s">
        <v>369</v>
      </c>
      <c r="C248" t="s">
        <v>248</v>
      </c>
      <c r="D248">
        <v>30</v>
      </c>
      <c r="E248" s="1">
        <f>_xlfn.XLOOKUP(Sheet1[[#This Row],[day_id]],calendar!A248,calendar!B248)</f>
        <v>40818</v>
      </c>
      <c r="F248" t="str">
        <f>_xlfn.XLOOKUP(Sheet1[[#This Row],[day_id]],calendar!A248,calendar!C248)</f>
        <v>Sunday</v>
      </c>
      <c r="G248">
        <f>_xlfn.XLOOKUP(Sheet1[[#This Row],[day_id]],calendar!A248,calendar!E248)</f>
        <v>10</v>
      </c>
      <c r="H248">
        <f>_xlfn.XLOOKUP(Sheet1[[#This Row],[day_id]],calendar!A248,calendar!F248)</f>
        <v>2011</v>
      </c>
      <c r="I248" t="str">
        <f>_xlfn.XLOOKUP(Sheet1[[#This Row],[day_id]],calendar!A248,calendar!J248)</f>
        <v>No Event</v>
      </c>
      <c r="J248" t="str">
        <f>_xlfn.XLOOKUP(Sheet1[[#This Row],[day_id]],calendar!A248,calendar!K248)</f>
        <v>No Event Type</v>
      </c>
      <c r="K248">
        <f>_xlfn.XLOOKUP(Sheet1[[#This Row],[day_id]],calendar!A248,calendar!I248)</f>
        <v>1</v>
      </c>
    </row>
    <row r="249" spans="1:11" x14ac:dyDescent="0.2">
      <c r="A249" t="s">
        <v>368</v>
      </c>
      <c r="B249" t="s">
        <v>369</v>
      </c>
      <c r="C249" t="s">
        <v>249</v>
      </c>
      <c r="D249">
        <v>27</v>
      </c>
      <c r="E249" s="1">
        <f>_xlfn.XLOOKUP(Sheet1[[#This Row],[day_id]],calendar!A249,calendar!B249)</f>
        <v>40819</v>
      </c>
      <c r="F249" t="str">
        <f>_xlfn.XLOOKUP(Sheet1[[#This Row],[day_id]],calendar!A249,calendar!C249)</f>
        <v>Monday</v>
      </c>
      <c r="G249">
        <f>_xlfn.XLOOKUP(Sheet1[[#This Row],[day_id]],calendar!A249,calendar!E249)</f>
        <v>10</v>
      </c>
      <c r="H249">
        <f>_xlfn.XLOOKUP(Sheet1[[#This Row],[day_id]],calendar!A249,calendar!F249)</f>
        <v>2011</v>
      </c>
      <c r="I249" t="str">
        <f>_xlfn.XLOOKUP(Sheet1[[#This Row],[day_id]],calendar!A249,calendar!J249)</f>
        <v>No Event</v>
      </c>
      <c r="J249" t="str">
        <f>_xlfn.XLOOKUP(Sheet1[[#This Row],[day_id]],calendar!A249,calendar!K249)</f>
        <v>No Event Type</v>
      </c>
      <c r="K249">
        <f>_xlfn.XLOOKUP(Sheet1[[#This Row],[day_id]],calendar!A249,calendar!I249)</f>
        <v>1</v>
      </c>
    </row>
    <row r="250" spans="1:11" x14ac:dyDescent="0.2">
      <c r="A250" t="s">
        <v>368</v>
      </c>
      <c r="B250" t="s">
        <v>369</v>
      </c>
      <c r="C250" t="s">
        <v>250</v>
      </c>
      <c r="D250">
        <v>17</v>
      </c>
      <c r="E250" s="1">
        <f>_xlfn.XLOOKUP(Sheet1[[#This Row],[day_id]],calendar!A250,calendar!B250)</f>
        <v>40820</v>
      </c>
      <c r="F250" t="str">
        <f>_xlfn.XLOOKUP(Sheet1[[#This Row],[day_id]],calendar!A250,calendar!C250)</f>
        <v>Tuesday</v>
      </c>
      <c r="G250">
        <f>_xlfn.XLOOKUP(Sheet1[[#This Row],[day_id]],calendar!A250,calendar!E250)</f>
        <v>10</v>
      </c>
      <c r="H250">
        <f>_xlfn.XLOOKUP(Sheet1[[#This Row],[day_id]],calendar!A250,calendar!F250)</f>
        <v>2011</v>
      </c>
      <c r="I250" t="str">
        <f>_xlfn.XLOOKUP(Sheet1[[#This Row],[day_id]],calendar!A250,calendar!J250)</f>
        <v>No Event</v>
      </c>
      <c r="J250" t="str">
        <f>_xlfn.XLOOKUP(Sheet1[[#This Row],[day_id]],calendar!A250,calendar!K250)</f>
        <v>No Event Type</v>
      </c>
      <c r="K250">
        <f>_xlfn.XLOOKUP(Sheet1[[#This Row],[day_id]],calendar!A250,calendar!I250)</f>
        <v>1</v>
      </c>
    </row>
    <row r="251" spans="1:11" x14ac:dyDescent="0.2">
      <c r="A251" t="s">
        <v>368</v>
      </c>
      <c r="B251" t="s">
        <v>369</v>
      </c>
      <c r="C251" t="s">
        <v>251</v>
      </c>
      <c r="D251">
        <v>11</v>
      </c>
      <c r="E251" s="1">
        <f>_xlfn.XLOOKUP(Sheet1[[#This Row],[day_id]],calendar!A251,calendar!B251)</f>
        <v>40821</v>
      </c>
      <c r="F251" t="str">
        <f>_xlfn.XLOOKUP(Sheet1[[#This Row],[day_id]],calendar!A251,calendar!C251)</f>
        <v>Wednesday</v>
      </c>
      <c r="G251">
        <f>_xlfn.XLOOKUP(Sheet1[[#This Row],[day_id]],calendar!A251,calendar!E251)</f>
        <v>10</v>
      </c>
      <c r="H251">
        <f>_xlfn.XLOOKUP(Sheet1[[#This Row],[day_id]],calendar!A251,calendar!F251)</f>
        <v>2011</v>
      </c>
      <c r="I251" t="str">
        <f>_xlfn.XLOOKUP(Sheet1[[#This Row],[day_id]],calendar!A251,calendar!J251)</f>
        <v>No Event</v>
      </c>
      <c r="J251" t="str">
        <f>_xlfn.XLOOKUP(Sheet1[[#This Row],[day_id]],calendar!A251,calendar!K251)</f>
        <v>No Event Type</v>
      </c>
      <c r="K251">
        <f>_xlfn.XLOOKUP(Sheet1[[#This Row],[day_id]],calendar!A251,calendar!I251)</f>
        <v>1</v>
      </c>
    </row>
    <row r="252" spans="1:11" x14ac:dyDescent="0.2">
      <c r="A252" t="s">
        <v>368</v>
      </c>
      <c r="B252" t="s">
        <v>369</v>
      </c>
      <c r="C252" t="s">
        <v>252</v>
      </c>
      <c r="D252">
        <v>4</v>
      </c>
      <c r="E252" s="1">
        <f>_xlfn.XLOOKUP(Sheet1[[#This Row],[day_id]],calendar!A252,calendar!B252)</f>
        <v>40822</v>
      </c>
      <c r="F252" t="str">
        <f>_xlfn.XLOOKUP(Sheet1[[#This Row],[day_id]],calendar!A252,calendar!C252)</f>
        <v>Thursday</v>
      </c>
      <c r="G252">
        <f>_xlfn.XLOOKUP(Sheet1[[#This Row],[day_id]],calendar!A252,calendar!E252)</f>
        <v>10</v>
      </c>
      <c r="H252">
        <f>_xlfn.XLOOKUP(Sheet1[[#This Row],[day_id]],calendar!A252,calendar!F252)</f>
        <v>2011</v>
      </c>
      <c r="I252" t="str">
        <f>_xlfn.XLOOKUP(Sheet1[[#This Row],[day_id]],calendar!A252,calendar!J252)</f>
        <v>No Event</v>
      </c>
      <c r="J252" t="str">
        <f>_xlfn.XLOOKUP(Sheet1[[#This Row],[day_id]],calendar!A252,calendar!K252)</f>
        <v>No Event Type</v>
      </c>
      <c r="K252">
        <f>_xlfn.XLOOKUP(Sheet1[[#This Row],[day_id]],calendar!A252,calendar!I252)</f>
        <v>1</v>
      </c>
    </row>
    <row r="253" spans="1:11" x14ac:dyDescent="0.2">
      <c r="A253" t="s">
        <v>368</v>
      </c>
      <c r="B253" t="s">
        <v>369</v>
      </c>
      <c r="C253" t="s">
        <v>253</v>
      </c>
      <c r="D253">
        <v>11</v>
      </c>
      <c r="E253" s="1">
        <f>_xlfn.XLOOKUP(Sheet1[[#This Row],[day_id]],calendar!A253,calendar!B253)</f>
        <v>40823</v>
      </c>
      <c r="F253" t="str">
        <f>_xlfn.XLOOKUP(Sheet1[[#This Row],[day_id]],calendar!A253,calendar!C253)</f>
        <v>Friday</v>
      </c>
      <c r="G253">
        <f>_xlfn.XLOOKUP(Sheet1[[#This Row],[day_id]],calendar!A253,calendar!E253)</f>
        <v>10</v>
      </c>
      <c r="H253">
        <f>_xlfn.XLOOKUP(Sheet1[[#This Row],[day_id]],calendar!A253,calendar!F253)</f>
        <v>2011</v>
      </c>
      <c r="I253" t="str">
        <f>_xlfn.XLOOKUP(Sheet1[[#This Row],[day_id]],calendar!A253,calendar!J253)</f>
        <v>No Event</v>
      </c>
      <c r="J253" t="str">
        <f>_xlfn.XLOOKUP(Sheet1[[#This Row],[day_id]],calendar!A253,calendar!K253)</f>
        <v>No Event Type</v>
      </c>
      <c r="K253">
        <f>_xlfn.XLOOKUP(Sheet1[[#This Row],[day_id]],calendar!A253,calendar!I253)</f>
        <v>1</v>
      </c>
    </row>
    <row r="254" spans="1:11" x14ac:dyDescent="0.2">
      <c r="A254" t="s">
        <v>368</v>
      </c>
      <c r="B254" t="s">
        <v>369</v>
      </c>
      <c r="C254" t="s">
        <v>254</v>
      </c>
      <c r="D254">
        <v>10</v>
      </c>
      <c r="E254" s="1">
        <f>_xlfn.XLOOKUP(Sheet1[[#This Row],[day_id]],calendar!A254,calendar!B254)</f>
        <v>40824</v>
      </c>
      <c r="F254" t="str">
        <f>_xlfn.XLOOKUP(Sheet1[[#This Row],[day_id]],calendar!A254,calendar!C254)</f>
        <v>Saturday</v>
      </c>
      <c r="G254">
        <f>_xlfn.XLOOKUP(Sheet1[[#This Row],[day_id]],calendar!A254,calendar!E254)</f>
        <v>10</v>
      </c>
      <c r="H254">
        <f>_xlfn.XLOOKUP(Sheet1[[#This Row],[day_id]],calendar!A254,calendar!F254)</f>
        <v>2011</v>
      </c>
      <c r="I254" t="str">
        <f>_xlfn.XLOOKUP(Sheet1[[#This Row],[day_id]],calendar!A254,calendar!J254)</f>
        <v>No Event</v>
      </c>
      <c r="J254" t="str">
        <f>_xlfn.XLOOKUP(Sheet1[[#This Row],[day_id]],calendar!A254,calendar!K254)</f>
        <v>No Event Type</v>
      </c>
      <c r="K254">
        <f>_xlfn.XLOOKUP(Sheet1[[#This Row],[day_id]],calendar!A254,calendar!I254)</f>
        <v>1</v>
      </c>
    </row>
    <row r="255" spans="1:11" x14ac:dyDescent="0.2">
      <c r="A255" t="s">
        <v>368</v>
      </c>
      <c r="B255" t="s">
        <v>369</v>
      </c>
      <c r="C255" t="s">
        <v>255</v>
      </c>
      <c r="D255">
        <v>8</v>
      </c>
      <c r="E255" s="1">
        <f>_xlfn.XLOOKUP(Sheet1[[#This Row],[day_id]],calendar!A255,calendar!B255)</f>
        <v>40825</v>
      </c>
      <c r="F255" t="str">
        <f>_xlfn.XLOOKUP(Sheet1[[#This Row],[day_id]],calendar!A255,calendar!C255)</f>
        <v>Sunday</v>
      </c>
      <c r="G255">
        <f>_xlfn.XLOOKUP(Sheet1[[#This Row],[day_id]],calendar!A255,calendar!E255)</f>
        <v>10</v>
      </c>
      <c r="H255">
        <f>_xlfn.XLOOKUP(Sheet1[[#This Row],[day_id]],calendar!A255,calendar!F255)</f>
        <v>2011</v>
      </c>
      <c r="I255" t="str">
        <f>_xlfn.XLOOKUP(Sheet1[[#This Row],[day_id]],calendar!A255,calendar!J255)</f>
        <v>No Event</v>
      </c>
      <c r="J255" t="str">
        <f>_xlfn.XLOOKUP(Sheet1[[#This Row],[day_id]],calendar!A255,calendar!K255)</f>
        <v>No Event Type</v>
      </c>
      <c r="K255">
        <f>_xlfn.XLOOKUP(Sheet1[[#This Row],[day_id]],calendar!A255,calendar!I255)</f>
        <v>1</v>
      </c>
    </row>
    <row r="256" spans="1:11" x14ac:dyDescent="0.2">
      <c r="A256" t="s">
        <v>368</v>
      </c>
      <c r="B256" t="s">
        <v>369</v>
      </c>
      <c r="C256" t="s">
        <v>256</v>
      </c>
      <c r="D256">
        <v>4</v>
      </c>
      <c r="E256" s="1">
        <f>_xlfn.XLOOKUP(Sheet1[[#This Row],[day_id]],calendar!A256,calendar!B256)</f>
        <v>40826</v>
      </c>
      <c r="F256" t="str">
        <f>_xlfn.XLOOKUP(Sheet1[[#This Row],[day_id]],calendar!A256,calendar!C256)</f>
        <v>Monday</v>
      </c>
      <c r="G256">
        <f>_xlfn.XLOOKUP(Sheet1[[#This Row],[day_id]],calendar!A256,calendar!E256)</f>
        <v>10</v>
      </c>
      <c r="H256">
        <f>_xlfn.XLOOKUP(Sheet1[[#This Row],[day_id]],calendar!A256,calendar!F256)</f>
        <v>2011</v>
      </c>
      <c r="I256" t="str">
        <f>_xlfn.XLOOKUP(Sheet1[[#This Row],[day_id]],calendar!A256,calendar!J256)</f>
        <v>ColumbusDay</v>
      </c>
      <c r="J256" t="str">
        <f>_xlfn.XLOOKUP(Sheet1[[#This Row],[day_id]],calendar!A256,calendar!K256)</f>
        <v>National</v>
      </c>
      <c r="K256">
        <f>_xlfn.XLOOKUP(Sheet1[[#This Row],[day_id]],calendar!A256,calendar!I256)</f>
        <v>1</v>
      </c>
    </row>
    <row r="257" spans="1:11" x14ac:dyDescent="0.2">
      <c r="A257" t="s">
        <v>368</v>
      </c>
      <c r="B257" t="s">
        <v>369</v>
      </c>
      <c r="C257" t="s">
        <v>257</v>
      </c>
      <c r="D257">
        <v>12</v>
      </c>
      <c r="E257" s="1">
        <f>_xlfn.XLOOKUP(Sheet1[[#This Row],[day_id]],calendar!A257,calendar!B257)</f>
        <v>40827</v>
      </c>
      <c r="F257" t="str">
        <f>_xlfn.XLOOKUP(Sheet1[[#This Row],[day_id]],calendar!A257,calendar!C257)</f>
        <v>Tuesday</v>
      </c>
      <c r="G257">
        <f>_xlfn.XLOOKUP(Sheet1[[#This Row],[day_id]],calendar!A257,calendar!E257)</f>
        <v>10</v>
      </c>
      <c r="H257">
        <f>_xlfn.XLOOKUP(Sheet1[[#This Row],[day_id]],calendar!A257,calendar!F257)</f>
        <v>2011</v>
      </c>
      <c r="I257" t="str">
        <f>_xlfn.XLOOKUP(Sheet1[[#This Row],[day_id]],calendar!A257,calendar!J257)</f>
        <v>No Event</v>
      </c>
      <c r="J257" t="str">
        <f>_xlfn.XLOOKUP(Sheet1[[#This Row],[day_id]],calendar!A257,calendar!K257)</f>
        <v>No Event Type</v>
      </c>
      <c r="K257">
        <f>_xlfn.XLOOKUP(Sheet1[[#This Row],[day_id]],calendar!A257,calendar!I257)</f>
        <v>0</v>
      </c>
    </row>
    <row r="258" spans="1:11" x14ac:dyDescent="0.2">
      <c r="A258" t="s">
        <v>368</v>
      </c>
      <c r="B258" t="s">
        <v>369</v>
      </c>
      <c r="C258" t="s">
        <v>258</v>
      </c>
      <c r="D258">
        <v>6</v>
      </c>
      <c r="E258" s="1">
        <f>_xlfn.XLOOKUP(Sheet1[[#This Row],[day_id]],calendar!A258,calendar!B258)</f>
        <v>40828</v>
      </c>
      <c r="F258" t="str">
        <f>_xlfn.XLOOKUP(Sheet1[[#This Row],[day_id]],calendar!A258,calendar!C258)</f>
        <v>Wednesday</v>
      </c>
      <c r="G258">
        <f>_xlfn.XLOOKUP(Sheet1[[#This Row],[day_id]],calendar!A258,calendar!E258)</f>
        <v>10</v>
      </c>
      <c r="H258">
        <f>_xlfn.XLOOKUP(Sheet1[[#This Row],[day_id]],calendar!A258,calendar!F258)</f>
        <v>2011</v>
      </c>
      <c r="I258" t="str">
        <f>_xlfn.XLOOKUP(Sheet1[[#This Row],[day_id]],calendar!A258,calendar!J258)</f>
        <v>No Event</v>
      </c>
      <c r="J258" t="str">
        <f>_xlfn.XLOOKUP(Sheet1[[#This Row],[day_id]],calendar!A258,calendar!K258)</f>
        <v>No Event Type</v>
      </c>
      <c r="K258">
        <f>_xlfn.XLOOKUP(Sheet1[[#This Row],[day_id]],calendar!A258,calendar!I258)</f>
        <v>0</v>
      </c>
    </row>
    <row r="259" spans="1:11" x14ac:dyDescent="0.2">
      <c r="A259" t="s">
        <v>368</v>
      </c>
      <c r="B259" t="s">
        <v>369</v>
      </c>
      <c r="C259" t="s">
        <v>259</v>
      </c>
      <c r="D259">
        <v>11</v>
      </c>
      <c r="E259" s="1">
        <f>_xlfn.XLOOKUP(Sheet1[[#This Row],[day_id]],calendar!A259,calendar!B259)</f>
        <v>40829</v>
      </c>
      <c r="F259" t="str">
        <f>_xlfn.XLOOKUP(Sheet1[[#This Row],[day_id]],calendar!A259,calendar!C259)</f>
        <v>Thursday</v>
      </c>
      <c r="G259">
        <f>_xlfn.XLOOKUP(Sheet1[[#This Row],[day_id]],calendar!A259,calendar!E259)</f>
        <v>10</v>
      </c>
      <c r="H259">
        <f>_xlfn.XLOOKUP(Sheet1[[#This Row],[day_id]],calendar!A259,calendar!F259)</f>
        <v>2011</v>
      </c>
      <c r="I259" t="str">
        <f>_xlfn.XLOOKUP(Sheet1[[#This Row],[day_id]],calendar!A259,calendar!J259)</f>
        <v>No Event</v>
      </c>
      <c r="J259" t="str">
        <f>_xlfn.XLOOKUP(Sheet1[[#This Row],[day_id]],calendar!A259,calendar!K259)</f>
        <v>No Event Type</v>
      </c>
      <c r="K259">
        <f>_xlfn.XLOOKUP(Sheet1[[#This Row],[day_id]],calendar!A259,calendar!I259)</f>
        <v>0</v>
      </c>
    </row>
    <row r="260" spans="1:11" x14ac:dyDescent="0.2">
      <c r="A260" t="s">
        <v>368</v>
      </c>
      <c r="B260" t="s">
        <v>369</v>
      </c>
      <c r="C260" t="s">
        <v>260</v>
      </c>
      <c r="D260">
        <v>27</v>
      </c>
      <c r="E260" s="1">
        <f>_xlfn.XLOOKUP(Sheet1[[#This Row],[day_id]],calendar!A260,calendar!B260)</f>
        <v>40830</v>
      </c>
      <c r="F260" t="str">
        <f>_xlfn.XLOOKUP(Sheet1[[#This Row],[day_id]],calendar!A260,calendar!C260)</f>
        <v>Friday</v>
      </c>
      <c r="G260">
        <f>_xlfn.XLOOKUP(Sheet1[[#This Row],[day_id]],calendar!A260,calendar!E260)</f>
        <v>10</v>
      </c>
      <c r="H260">
        <f>_xlfn.XLOOKUP(Sheet1[[#This Row],[day_id]],calendar!A260,calendar!F260)</f>
        <v>2011</v>
      </c>
      <c r="I260" t="str">
        <f>_xlfn.XLOOKUP(Sheet1[[#This Row],[day_id]],calendar!A260,calendar!J260)</f>
        <v>No Event</v>
      </c>
      <c r="J260" t="str">
        <f>_xlfn.XLOOKUP(Sheet1[[#This Row],[day_id]],calendar!A260,calendar!K260)</f>
        <v>No Event Type</v>
      </c>
      <c r="K260">
        <f>_xlfn.XLOOKUP(Sheet1[[#This Row],[day_id]],calendar!A260,calendar!I260)</f>
        <v>0</v>
      </c>
    </row>
    <row r="261" spans="1:11" x14ac:dyDescent="0.2">
      <c r="A261" t="s">
        <v>368</v>
      </c>
      <c r="B261" t="s">
        <v>369</v>
      </c>
      <c r="C261" t="s">
        <v>261</v>
      </c>
      <c r="D261">
        <v>31</v>
      </c>
      <c r="E261" s="1">
        <f>_xlfn.XLOOKUP(Sheet1[[#This Row],[day_id]],calendar!A261,calendar!B261)</f>
        <v>40831</v>
      </c>
      <c r="F261" t="str">
        <f>_xlfn.XLOOKUP(Sheet1[[#This Row],[day_id]],calendar!A261,calendar!C261)</f>
        <v>Saturday</v>
      </c>
      <c r="G261">
        <f>_xlfn.XLOOKUP(Sheet1[[#This Row],[day_id]],calendar!A261,calendar!E261)</f>
        <v>10</v>
      </c>
      <c r="H261">
        <f>_xlfn.XLOOKUP(Sheet1[[#This Row],[day_id]],calendar!A261,calendar!F261)</f>
        <v>2011</v>
      </c>
      <c r="I261" t="str">
        <f>_xlfn.XLOOKUP(Sheet1[[#This Row],[day_id]],calendar!A261,calendar!J261)</f>
        <v>No Event</v>
      </c>
      <c r="J261" t="str">
        <f>_xlfn.XLOOKUP(Sheet1[[#This Row],[day_id]],calendar!A261,calendar!K261)</f>
        <v>No Event Type</v>
      </c>
      <c r="K261">
        <f>_xlfn.XLOOKUP(Sheet1[[#This Row],[day_id]],calendar!A261,calendar!I261)</f>
        <v>0</v>
      </c>
    </row>
    <row r="262" spans="1:11" x14ac:dyDescent="0.2">
      <c r="A262" t="s">
        <v>368</v>
      </c>
      <c r="B262" t="s">
        <v>369</v>
      </c>
      <c r="C262" t="s">
        <v>262</v>
      </c>
      <c r="D262">
        <v>17</v>
      </c>
      <c r="E262" s="1">
        <f>_xlfn.XLOOKUP(Sheet1[[#This Row],[day_id]],calendar!A262,calendar!B262)</f>
        <v>40832</v>
      </c>
      <c r="F262" t="str">
        <f>_xlfn.XLOOKUP(Sheet1[[#This Row],[day_id]],calendar!A262,calendar!C262)</f>
        <v>Sunday</v>
      </c>
      <c r="G262">
        <f>_xlfn.XLOOKUP(Sheet1[[#This Row],[day_id]],calendar!A262,calendar!E262)</f>
        <v>10</v>
      </c>
      <c r="H262">
        <f>_xlfn.XLOOKUP(Sheet1[[#This Row],[day_id]],calendar!A262,calendar!F262)</f>
        <v>2011</v>
      </c>
      <c r="I262" t="str">
        <f>_xlfn.XLOOKUP(Sheet1[[#This Row],[day_id]],calendar!A262,calendar!J262)</f>
        <v>No Event</v>
      </c>
      <c r="J262" t="str">
        <f>_xlfn.XLOOKUP(Sheet1[[#This Row],[day_id]],calendar!A262,calendar!K262)</f>
        <v>No Event Type</v>
      </c>
      <c r="K262">
        <f>_xlfn.XLOOKUP(Sheet1[[#This Row],[day_id]],calendar!A262,calendar!I262)</f>
        <v>0</v>
      </c>
    </row>
    <row r="263" spans="1:11" x14ac:dyDescent="0.2">
      <c r="A263" t="s">
        <v>368</v>
      </c>
      <c r="B263" t="s">
        <v>369</v>
      </c>
      <c r="C263" t="s">
        <v>263</v>
      </c>
      <c r="D263">
        <v>20</v>
      </c>
      <c r="E263" s="1">
        <f>_xlfn.XLOOKUP(Sheet1[[#This Row],[day_id]],calendar!A263,calendar!B263)</f>
        <v>40833</v>
      </c>
      <c r="F263" t="str">
        <f>_xlfn.XLOOKUP(Sheet1[[#This Row],[day_id]],calendar!A263,calendar!C263)</f>
        <v>Monday</v>
      </c>
      <c r="G263">
        <f>_xlfn.XLOOKUP(Sheet1[[#This Row],[day_id]],calendar!A263,calendar!E263)</f>
        <v>10</v>
      </c>
      <c r="H263">
        <f>_xlfn.XLOOKUP(Sheet1[[#This Row],[day_id]],calendar!A263,calendar!F263)</f>
        <v>2011</v>
      </c>
      <c r="I263" t="str">
        <f>_xlfn.XLOOKUP(Sheet1[[#This Row],[day_id]],calendar!A263,calendar!J263)</f>
        <v>No Event</v>
      </c>
      <c r="J263" t="str">
        <f>_xlfn.XLOOKUP(Sheet1[[#This Row],[day_id]],calendar!A263,calendar!K263)</f>
        <v>No Event Type</v>
      </c>
      <c r="K263">
        <f>_xlfn.XLOOKUP(Sheet1[[#This Row],[day_id]],calendar!A263,calendar!I263)</f>
        <v>0</v>
      </c>
    </row>
    <row r="264" spans="1:11" x14ac:dyDescent="0.2">
      <c r="A264" t="s">
        <v>368</v>
      </c>
      <c r="B264" t="s">
        <v>369</v>
      </c>
      <c r="C264" t="s">
        <v>264</v>
      </c>
      <c r="D264">
        <v>7</v>
      </c>
      <c r="E264" s="1">
        <f>_xlfn.XLOOKUP(Sheet1[[#This Row],[day_id]],calendar!A264,calendar!B264)</f>
        <v>40834</v>
      </c>
      <c r="F264" t="str">
        <f>_xlfn.XLOOKUP(Sheet1[[#This Row],[day_id]],calendar!A264,calendar!C264)</f>
        <v>Tuesday</v>
      </c>
      <c r="G264">
        <f>_xlfn.XLOOKUP(Sheet1[[#This Row],[day_id]],calendar!A264,calendar!E264)</f>
        <v>10</v>
      </c>
      <c r="H264">
        <f>_xlfn.XLOOKUP(Sheet1[[#This Row],[day_id]],calendar!A264,calendar!F264)</f>
        <v>2011</v>
      </c>
      <c r="I264" t="str">
        <f>_xlfn.XLOOKUP(Sheet1[[#This Row],[day_id]],calendar!A264,calendar!J264)</f>
        <v>No Event</v>
      </c>
      <c r="J264" t="str">
        <f>_xlfn.XLOOKUP(Sheet1[[#This Row],[day_id]],calendar!A264,calendar!K264)</f>
        <v>No Event Type</v>
      </c>
      <c r="K264">
        <f>_xlfn.XLOOKUP(Sheet1[[#This Row],[day_id]],calendar!A264,calendar!I264)</f>
        <v>0</v>
      </c>
    </row>
    <row r="265" spans="1:11" x14ac:dyDescent="0.2">
      <c r="A265" t="s">
        <v>368</v>
      </c>
      <c r="B265" t="s">
        <v>369</v>
      </c>
      <c r="C265" t="s">
        <v>265</v>
      </c>
      <c r="D265">
        <v>7</v>
      </c>
      <c r="E265" s="1">
        <f>_xlfn.XLOOKUP(Sheet1[[#This Row],[day_id]],calendar!A265,calendar!B265)</f>
        <v>40835</v>
      </c>
      <c r="F265" t="str">
        <f>_xlfn.XLOOKUP(Sheet1[[#This Row],[day_id]],calendar!A265,calendar!C265)</f>
        <v>Wednesday</v>
      </c>
      <c r="G265">
        <f>_xlfn.XLOOKUP(Sheet1[[#This Row],[day_id]],calendar!A265,calendar!E265)</f>
        <v>10</v>
      </c>
      <c r="H265">
        <f>_xlfn.XLOOKUP(Sheet1[[#This Row],[day_id]],calendar!A265,calendar!F265)</f>
        <v>2011</v>
      </c>
      <c r="I265" t="str">
        <f>_xlfn.XLOOKUP(Sheet1[[#This Row],[day_id]],calendar!A265,calendar!J265)</f>
        <v>No Event</v>
      </c>
      <c r="J265" t="str">
        <f>_xlfn.XLOOKUP(Sheet1[[#This Row],[day_id]],calendar!A265,calendar!K265)</f>
        <v>No Event Type</v>
      </c>
      <c r="K265">
        <f>_xlfn.XLOOKUP(Sheet1[[#This Row],[day_id]],calendar!A265,calendar!I265)</f>
        <v>0</v>
      </c>
    </row>
    <row r="266" spans="1:11" x14ac:dyDescent="0.2">
      <c r="A266" t="s">
        <v>368</v>
      </c>
      <c r="B266" t="s">
        <v>369</v>
      </c>
      <c r="C266" t="s">
        <v>266</v>
      </c>
      <c r="D266">
        <v>7</v>
      </c>
      <c r="E266" s="1">
        <f>_xlfn.XLOOKUP(Sheet1[[#This Row],[day_id]],calendar!A266,calendar!B266)</f>
        <v>40836</v>
      </c>
      <c r="F266" t="str">
        <f>_xlfn.XLOOKUP(Sheet1[[#This Row],[day_id]],calendar!A266,calendar!C266)</f>
        <v>Thursday</v>
      </c>
      <c r="G266">
        <f>_xlfn.XLOOKUP(Sheet1[[#This Row],[day_id]],calendar!A266,calendar!E266)</f>
        <v>10</v>
      </c>
      <c r="H266">
        <f>_xlfn.XLOOKUP(Sheet1[[#This Row],[day_id]],calendar!A266,calendar!F266)</f>
        <v>2011</v>
      </c>
      <c r="I266" t="str">
        <f>_xlfn.XLOOKUP(Sheet1[[#This Row],[day_id]],calendar!A266,calendar!J266)</f>
        <v>No Event</v>
      </c>
      <c r="J266" t="str">
        <f>_xlfn.XLOOKUP(Sheet1[[#This Row],[day_id]],calendar!A266,calendar!K266)</f>
        <v>No Event Type</v>
      </c>
      <c r="K266">
        <f>_xlfn.XLOOKUP(Sheet1[[#This Row],[day_id]],calendar!A266,calendar!I266)</f>
        <v>0</v>
      </c>
    </row>
    <row r="267" spans="1:11" x14ac:dyDescent="0.2">
      <c r="A267" t="s">
        <v>368</v>
      </c>
      <c r="B267" t="s">
        <v>369</v>
      </c>
      <c r="C267" t="s">
        <v>267</v>
      </c>
      <c r="D267">
        <v>5</v>
      </c>
      <c r="E267" s="1">
        <f>_xlfn.XLOOKUP(Sheet1[[#This Row],[day_id]],calendar!A267,calendar!B267)</f>
        <v>40837</v>
      </c>
      <c r="F267" t="str">
        <f>_xlfn.XLOOKUP(Sheet1[[#This Row],[day_id]],calendar!A267,calendar!C267)</f>
        <v>Friday</v>
      </c>
      <c r="G267">
        <f>_xlfn.XLOOKUP(Sheet1[[#This Row],[day_id]],calendar!A267,calendar!E267)</f>
        <v>10</v>
      </c>
      <c r="H267">
        <f>_xlfn.XLOOKUP(Sheet1[[#This Row],[day_id]],calendar!A267,calendar!F267)</f>
        <v>2011</v>
      </c>
      <c r="I267" t="str">
        <f>_xlfn.XLOOKUP(Sheet1[[#This Row],[day_id]],calendar!A267,calendar!J267)</f>
        <v>No Event</v>
      </c>
      <c r="J267" t="str">
        <f>_xlfn.XLOOKUP(Sheet1[[#This Row],[day_id]],calendar!A267,calendar!K267)</f>
        <v>No Event Type</v>
      </c>
      <c r="K267">
        <f>_xlfn.XLOOKUP(Sheet1[[#This Row],[day_id]],calendar!A267,calendar!I267)</f>
        <v>0</v>
      </c>
    </row>
    <row r="268" spans="1:11" x14ac:dyDescent="0.2">
      <c r="A268" t="s">
        <v>368</v>
      </c>
      <c r="B268" t="s">
        <v>369</v>
      </c>
      <c r="C268" t="s">
        <v>268</v>
      </c>
      <c r="D268">
        <v>18</v>
      </c>
      <c r="E268" s="1">
        <f>_xlfn.XLOOKUP(Sheet1[[#This Row],[day_id]],calendar!A268,calendar!B268)</f>
        <v>40838</v>
      </c>
      <c r="F268" t="str">
        <f>_xlfn.XLOOKUP(Sheet1[[#This Row],[day_id]],calendar!A268,calendar!C268)</f>
        <v>Saturday</v>
      </c>
      <c r="G268">
        <f>_xlfn.XLOOKUP(Sheet1[[#This Row],[day_id]],calendar!A268,calendar!E268)</f>
        <v>10</v>
      </c>
      <c r="H268">
        <f>_xlfn.XLOOKUP(Sheet1[[#This Row],[day_id]],calendar!A268,calendar!F268)</f>
        <v>2011</v>
      </c>
      <c r="I268" t="str">
        <f>_xlfn.XLOOKUP(Sheet1[[#This Row],[day_id]],calendar!A268,calendar!J268)</f>
        <v>No Event</v>
      </c>
      <c r="J268" t="str">
        <f>_xlfn.XLOOKUP(Sheet1[[#This Row],[day_id]],calendar!A268,calendar!K268)</f>
        <v>No Event Type</v>
      </c>
      <c r="K268">
        <f>_xlfn.XLOOKUP(Sheet1[[#This Row],[day_id]],calendar!A268,calendar!I268)</f>
        <v>0</v>
      </c>
    </row>
    <row r="269" spans="1:11" x14ac:dyDescent="0.2">
      <c r="A269" t="s">
        <v>368</v>
      </c>
      <c r="B269" t="s">
        <v>369</v>
      </c>
      <c r="C269" t="s">
        <v>269</v>
      </c>
      <c r="D269">
        <v>17</v>
      </c>
      <c r="E269" s="1">
        <f>_xlfn.XLOOKUP(Sheet1[[#This Row],[day_id]],calendar!A269,calendar!B269)</f>
        <v>40839</v>
      </c>
      <c r="F269" t="str">
        <f>_xlfn.XLOOKUP(Sheet1[[#This Row],[day_id]],calendar!A269,calendar!C269)</f>
        <v>Sunday</v>
      </c>
      <c r="G269">
        <f>_xlfn.XLOOKUP(Sheet1[[#This Row],[day_id]],calendar!A269,calendar!E269)</f>
        <v>10</v>
      </c>
      <c r="H269">
        <f>_xlfn.XLOOKUP(Sheet1[[#This Row],[day_id]],calendar!A269,calendar!F269)</f>
        <v>2011</v>
      </c>
      <c r="I269" t="str">
        <f>_xlfn.XLOOKUP(Sheet1[[#This Row],[day_id]],calendar!A269,calendar!J269)</f>
        <v>No Event</v>
      </c>
      <c r="J269" t="str">
        <f>_xlfn.XLOOKUP(Sheet1[[#This Row],[day_id]],calendar!A269,calendar!K269)</f>
        <v>No Event Type</v>
      </c>
      <c r="K269">
        <f>_xlfn.XLOOKUP(Sheet1[[#This Row],[day_id]],calendar!A269,calendar!I269)</f>
        <v>0</v>
      </c>
    </row>
    <row r="270" spans="1:11" x14ac:dyDescent="0.2">
      <c r="A270" t="s">
        <v>368</v>
      </c>
      <c r="B270" t="s">
        <v>369</v>
      </c>
      <c r="C270" t="s">
        <v>270</v>
      </c>
      <c r="D270">
        <v>1</v>
      </c>
      <c r="E270" s="1">
        <f>_xlfn.XLOOKUP(Sheet1[[#This Row],[day_id]],calendar!A270,calendar!B270)</f>
        <v>40840</v>
      </c>
      <c r="F270" t="str">
        <f>_xlfn.XLOOKUP(Sheet1[[#This Row],[day_id]],calendar!A270,calendar!C270)</f>
        <v>Monday</v>
      </c>
      <c r="G270">
        <f>_xlfn.XLOOKUP(Sheet1[[#This Row],[day_id]],calendar!A270,calendar!E270)</f>
        <v>10</v>
      </c>
      <c r="H270">
        <f>_xlfn.XLOOKUP(Sheet1[[#This Row],[day_id]],calendar!A270,calendar!F270)</f>
        <v>2011</v>
      </c>
      <c r="I270" t="str">
        <f>_xlfn.XLOOKUP(Sheet1[[#This Row],[day_id]],calendar!A270,calendar!J270)</f>
        <v>No Event</v>
      </c>
      <c r="J270" t="str">
        <f>_xlfn.XLOOKUP(Sheet1[[#This Row],[day_id]],calendar!A270,calendar!K270)</f>
        <v>No Event Type</v>
      </c>
      <c r="K270">
        <f>_xlfn.XLOOKUP(Sheet1[[#This Row],[day_id]],calendar!A270,calendar!I270)</f>
        <v>0</v>
      </c>
    </row>
    <row r="271" spans="1:11" x14ac:dyDescent="0.2">
      <c r="A271" t="s">
        <v>368</v>
      </c>
      <c r="B271" t="s">
        <v>369</v>
      </c>
      <c r="C271" t="s">
        <v>271</v>
      </c>
      <c r="D271">
        <v>2</v>
      </c>
      <c r="E271" s="1">
        <f>_xlfn.XLOOKUP(Sheet1[[#This Row],[day_id]],calendar!A271,calendar!B271)</f>
        <v>40841</v>
      </c>
      <c r="F271" t="str">
        <f>_xlfn.XLOOKUP(Sheet1[[#This Row],[day_id]],calendar!A271,calendar!C271)</f>
        <v>Tuesday</v>
      </c>
      <c r="G271">
        <f>_xlfn.XLOOKUP(Sheet1[[#This Row],[day_id]],calendar!A271,calendar!E271)</f>
        <v>10</v>
      </c>
      <c r="H271">
        <f>_xlfn.XLOOKUP(Sheet1[[#This Row],[day_id]],calendar!A271,calendar!F271)</f>
        <v>2011</v>
      </c>
      <c r="I271" t="str">
        <f>_xlfn.XLOOKUP(Sheet1[[#This Row],[day_id]],calendar!A271,calendar!J271)</f>
        <v>No Event</v>
      </c>
      <c r="J271" t="str">
        <f>_xlfn.XLOOKUP(Sheet1[[#This Row],[day_id]],calendar!A271,calendar!K271)</f>
        <v>No Event Type</v>
      </c>
      <c r="K271">
        <f>_xlfn.XLOOKUP(Sheet1[[#This Row],[day_id]],calendar!A271,calendar!I271)</f>
        <v>0</v>
      </c>
    </row>
    <row r="272" spans="1:11" x14ac:dyDescent="0.2">
      <c r="A272" t="s">
        <v>368</v>
      </c>
      <c r="B272" t="s">
        <v>369</v>
      </c>
      <c r="C272" t="s">
        <v>272</v>
      </c>
      <c r="D272">
        <v>4</v>
      </c>
      <c r="E272" s="1">
        <f>_xlfn.XLOOKUP(Sheet1[[#This Row],[day_id]],calendar!A272,calendar!B272)</f>
        <v>40842</v>
      </c>
      <c r="F272" t="str">
        <f>_xlfn.XLOOKUP(Sheet1[[#This Row],[day_id]],calendar!A272,calendar!C272)</f>
        <v>Wednesday</v>
      </c>
      <c r="G272">
        <f>_xlfn.XLOOKUP(Sheet1[[#This Row],[day_id]],calendar!A272,calendar!E272)</f>
        <v>10</v>
      </c>
      <c r="H272">
        <f>_xlfn.XLOOKUP(Sheet1[[#This Row],[day_id]],calendar!A272,calendar!F272)</f>
        <v>2011</v>
      </c>
      <c r="I272" t="str">
        <f>_xlfn.XLOOKUP(Sheet1[[#This Row],[day_id]],calendar!A272,calendar!J272)</f>
        <v>No Event</v>
      </c>
      <c r="J272" t="str">
        <f>_xlfn.XLOOKUP(Sheet1[[#This Row],[day_id]],calendar!A272,calendar!K272)</f>
        <v>No Event Type</v>
      </c>
      <c r="K272">
        <f>_xlfn.XLOOKUP(Sheet1[[#This Row],[day_id]],calendar!A272,calendar!I272)</f>
        <v>0</v>
      </c>
    </row>
    <row r="273" spans="1:11" x14ac:dyDescent="0.2">
      <c r="A273" t="s">
        <v>368</v>
      </c>
      <c r="B273" t="s">
        <v>369</v>
      </c>
      <c r="C273" t="s">
        <v>273</v>
      </c>
      <c r="D273">
        <v>2</v>
      </c>
      <c r="E273" s="1">
        <f>_xlfn.XLOOKUP(Sheet1[[#This Row],[day_id]],calendar!A273,calendar!B273)</f>
        <v>40843</v>
      </c>
      <c r="F273" t="str">
        <f>_xlfn.XLOOKUP(Sheet1[[#This Row],[day_id]],calendar!A273,calendar!C273)</f>
        <v>Thursday</v>
      </c>
      <c r="G273">
        <f>_xlfn.XLOOKUP(Sheet1[[#This Row],[day_id]],calendar!A273,calendar!E273)</f>
        <v>10</v>
      </c>
      <c r="H273">
        <f>_xlfn.XLOOKUP(Sheet1[[#This Row],[day_id]],calendar!A273,calendar!F273)</f>
        <v>2011</v>
      </c>
      <c r="I273" t="str">
        <f>_xlfn.XLOOKUP(Sheet1[[#This Row],[day_id]],calendar!A273,calendar!J273)</f>
        <v>No Event</v>
      </c>
      <c r="J273" t="str">
        <f>_xlfn.XLOOKUP(Sheet1[[#This Row],[day_id]],calendar!A273,calendar!K273)</f>
        <v>No Event Type</v>
      </c>
      <c r="K273">
        <f>_xlfn.XLOOKUP(Sheet1[[#This Row],[day_id]],calendar!A273,calendar!I273)</f>
        <v>0</v>
      </c>
    </row>
    <row r="274" spans="1:11" x14ac:dyDescent="0.2">
      <c r="A274" t="s">
        <v>368</v>
      </c>
      <c r="B274" t="s">
        <v>369</v>
      </c>
      <c r="C274" t="s">
        <v>274</v>
      </c>
      <c r="D274">
        <v>1</v>
      </c>
      <c r="E274" s="1">
        <f>_xlfn.XLOOKUP(Sheet1[[#This Row],[day_id]],calendar!A274,calendar!B274)</f>
        <v>40844</v>
      </c>
      <c r="F274" t="str">
        <f>_xlfn.XLOOKUP(Sheet1[[#This Row],[day_id]],calendar!A274,calendar!C274)</f>
        <v>Friday</v>
      </c>
      <c r="G274">
        <f>_xlfn.XLOOKUP(Sheet1[[#This Row],[day_id]],calendar!A274,calendar!E274)</f>
        <v>10</v>
      </c>
      <c r="H274">
        <f>_xlfn.XLOOKUP(Sheet1[[#This Row],[day_id]],calendar!A274,calendar!F274)</f>
        <v>2011</v>
      </c>
      <c r="I274" t="str">
        <f>_xlfn.XLOOKUP(Sheet1[[#This Row],[day_id]],calendar!A274,calendar!J274)</f>
        <v>No Event</v>
      </c>
      <c r="J274" t="str">
        <f>_xlfn.XLOOKUP(Sheet1[[#This Row],[day_id]],calendar!A274,calendar!K274)</f>
        <v>No Event Type</v>
      </c>
      <c r="K274">
        <f>_xlfn.XLOOKUP(Sheet1[[#This Row],[day_id]],calendar!A274,calendar!I274)</f>
        <v>0</v>
      </c>
    </row>
    <row r="275" spans="1:11" x14ac:dyDescent="0.2">
      <c r="A275" t="s">
        <v>368</v>
      </c>
      <c r="B275" t="s">
        <v>369</v>
      </c>
      <c r="C275" t="s">
        <v>275</v>
      </c>
      <c r="D275">
        <v>1</v>
      </c>
      <c r="E275" s="1">
        <f>_xlfn.XLOOKUP(Sheet1[[#This Row],[day_id]],calendar!A275,calendar!B275)</f>
        <v>40845</v>
      </c>
      <c r="F275" t="str">
        <f>_xlfn.XLOOKUP(Sheet1[[#This Row],[day_id]],calendar!A275,calendar!C275)</f>
        <v>Saturday</v>
      </c>
      <c r="G275">
        <f>_xlfn.XLOOKUP(Sheet1[[#This Row],[day_id]],calendar!A275,calendar!E275)</f>
        <v>10</v>
      </c>
      <c r="H275">
        <f>_xlfn.XLOOKUP(Sheet1[[#This Row],[day_id]],calendar!A275,calendar!F275)</f>
        <v>2011</v>
      </c>
      <c r="I275" t="str">
        <f>_xlfn.XLOOKUP(Sheet1[[#This Row],[day_id]],calendar!A275,calendar!J275)</f>
        <v>No Event</v>
      </c>
      <c r="J275" t="str">
        <f>_xlfn.XLOOKUP(Sheet1[[#This Row],[day_id]],calendar!A275,calendar!K275)</f>
        <v>No Event Type</v>
      </c>
      <c r="K275">
        <f>_xlfn.XLOOKUP(Sheet1[[#This Row],[day_id]],calendar!A275,calendar!I275)</f>
        <v>0</v>
      </c>
    </row>
    <row r="276" spans="1:11" x14ac:dyDescent="0.2">
      <c r="A276" t="s">
        <v>368</v>
      </c>
      <c r="B276" t="s">
        <v>369</v>
      </c>
      <c r="C276" t="s">
        <v>276</v>
      </c>
      <c r="D276">
        <v>3</v>
      </c>
      <c r="E276" s="1">
        <f>_xlfn.XLOOKUP(Sheet1[[#This Row],[day_id]],calendar!A276,calendar!B276)</f>
        <v>40846</v>
      </c>
      <c r="F276" t="str">
        <f>_xlfn.XLOOKUP(Sheet1[[#This Row],[day_id]],calendar!A276,calendar!C276)</f>
        <v>Sunday</v>
      </c>
      <c r="G276">
        <f>_xlfn.XLOOKUP(Sheet1[[#This Row],[day_id]],calendar!A276,calendar!E276)</f>
        <v>10</v>
      </c>
      <c r="H276">
        <f>_xlfn.XLOOKUP(Sheet1[[#This Row],[day_id]],calendar!A276,calendar!F276)</f>
        <v>2011</v>
      </c>
      <c r="I276" t="str">
        <f>_xlfn.XLOOKUP(Sheet1[[#This Row],[day_id]],calendar!A276,calendar!J276)</f>
        <v>No Event</v>
      </c>
      <c r="J276" t="str">
        <f>_xlfn.XLOOKUP(Sheet1[[#This Row],[day_id]],calendar!A276,calendar!K276)</f>
        <v>No Event Type</v>
      </c>
      <c r="K276">
        <f>_xlfn.XLOOKUP(Sheet1[[#This Row],[day_id]],calendar!A276,calendar!I276)</f>
        <v>0</v>
      </c>
    </row>
    <row r="277" spans="1:11" x14ac:dyDescent="0.2">
      <c r="A277" t="s">
        <v>368</v>
      </c>
      <c r="B277" t="s">
        <v>369</v>
      </c>
      <c r="C277" t="s">
        <v>277</v>
      </c>
      <c r="D277">
        <v>0</v>
      </c>
      <c r="E277" s="1">
        <f>_xlfn.XLOOKUP(Sheet1[[#This Row],[day_id]],calendar!A277,calendar!B277)</f>
        <v>40847</v>
      </c>
      <c r="F277" t="str">
        <f>_xlfn.XLOOKUP(Sheet1[[#This Row],[day_id]],calendar!A277,calendar!C277)</f>
        <v>Monday</v>
      </c>
      <c r="G277">
        <f>_xlfn.XLOOKUP(Sheet1[[#This Row],[day_id]],calendar!A277,calendar!E277)</f>
        <v>10</v>
      </c>
      <c r="H277">
        <f>_xlfn.XLOOKUP(Sheet1[[#This Row],[day_id]],calendar!A277,calendar!F277)</f>
        <v>2011</v>
      </c>
      <c r="I277" t="str">
        <f>_xlfn.XLOOKUP(Sheet1[[#This Row],[day_id]],calendar!A277,calendar!J277)</f>
        <v>Halloween</v>
      </c>
      <c r="J277" t="str">
        <f>_xlfn.XLOOKUP(Sheet1[[#This Row],[day_id]],calendar!A277,calendar!K277)</f>
        <v>Cultural</v>
      </c>
      <c r="K277">
        <f>_xlfn.XLOOKUP(Sheet1[[#This Row],[day_id]],calendar!A277,calendar!I277)</f>
        <v>0</v>
      </c>
    </row>
    <row r="278" spans="1:11" x14ac:dyDescent="0.2">
      <c r="A278" t="s">
        <v>368</v>
      </c>
      <c r="B278" t="s">
        <v>369</v>
      </c>
      <c r="C278" t="s">
        <v>278</v>
      </c>
      <c r="D278">
        <v>8</v>
      </c>
      <c r="E278" s="1">
        <f>_xlfn.XLOOKUP(Sheet1[[#This Row],[day_id]],calendar!A278,calendar!B278)</f>
        <v>40848</v>
      </c>
      <c r="F278" t="str">
        <f>_xlfn.XLOOKUP(Sheet1[[#This Row],[day_id]],calendar!A278,calendar!C278)</f>
        <v>Tuesday</v>
      </c>
      <c r="G278">
        <f>_xlfn.XLOOKUP(Sheet1[[#This Row],[day_id]],calendar!A278,calendar!E278)</f>
        <v>11</v>
      </c>
      <c r="H278">
        <f>_xlfn.XLOOKUP(Sheet1[[#This Row],[day_id]],calendar!A278,calendar!F278)</f>
        <v>2011</v>
      </c>
      <c r="I278" t="str">
        <f>_xlfn.XLOOKUP(Sheet1[[#This Row],[day_id]],calendar!A278,calendar!J278)</f>
        <v>No Event</v>
      </c>
      <c r="J278" t="str">
        <f>_xlfn.XLOOKUP(Sheet1[[#This Row],[day_id]],calendar!A278,calendar!K278)</f>
        <v>No Event Type</v>
      </c>
      <c r="K278">
        <f>_xlfn.XLOOKUP(Sheet1[[#This Row],[day_id]],calendar!A278,calendar!I278)</f>
        <v>1</v>
      </c>
    </row>
    <row r="279" spans="1:11" x14ac:dyDescent="0.2">
      <c r="A279" t="s">
        <v>368</v>
      </c>
      <c r="B279" t="s">
        <v>369</v>
      </c>
      <c r="C279" t="s">
        <v>279</v>
      </c>
      <c r="D279">
        <v>2</v>
      </c>
      <c r="E279" s="1">
        <f>_xlfn.XLOOKUP(Sheet1[[#This Row],[day_id]],calendar!A279,calendar!B279)</f>
        <v>40849</v>
      </c>
      <c r="F279" t="str">
        <f>_xlfn.XLOOKUP(Sheet1[[#This Row],[day_id]],calendar!A279,calendar!C279)</f>
        <v>Wednesday</v>
      </c>
      <c r="G279">
        <f>_xlfn.XLOOKUP(Sheet1[[#This Row],[day_id]],calendar!A279,calendar!E279)</f>
        <v>11</v>
      </c>
      <c r="H279">
        <f>_xlfn.XLOOKUP(Sheet1[[#This Row],[day_id]],calendar!A279,calendar!F279)</f>
        <v>2011</v>
      </c>
      <c r="I279" t="str">
        <f>_xlfn.XLOOKUP(Sheet1[[#This Row],[day_id]],calendar!A279,calendar!J279)</f>
        <v>No Event</v>
      </c>
      <c r="J279" t="str">
        <f>_xlfn.XLOOKUP(Sheet1[[#This Row],[day_id]],calendar!A279,calendar!K279)</f>
        <v>No Event Type</v>
      </c>
      <c r="K279">
        <f>_xlfn.XLOOKUP(Sheet1[[#This Row],[day_id]],calendar!A279,calendar!I279)</f>
        <v>1</v>
      </c>
    </row>
    <row r="280" spans="1:11" x14ac:dyDescent="0.2">
      <c r="A280" t="s">
        <v>368</v>
      </c>
      <c r="B280" t="s">
        <v>369</v>
      </c>
      <c r="C280" t="s">
        <v>280</v>
      </c>
      <c r="D280">
        <v>6</v>
      </c>
      <c r="E280" s="1">
        <f>_xlfn.XLOOKUP(Sheet1[[#This Row],[day_id]],calendar!A280,calendar!B280)</f>
        <v>40850</v>
      </c>
      <c r="F280" t="str">
        <f>_xlfn.XLOOKUP(Sheet1[[#This Row],[day_id]],calendar!A280,calendar!C280)</f>
        <v>Thursday</v>
      </c>
      <c r="G280">
        <f>_xlfn.XLOOKUP(Sheet1[[#This Row],[day_id]],calendar!A280,calendar!E280)</f>
        <v>11</v>
      </c>
      <c r="H280">
        <f>_xlfn.XLOOKUP(Sheet1[[#This Row],[day_id]],calendar!A280,calendar!F280)</f>
        <v>2011</v>
      </c>
      <c r="I280" t="str">
        <f>_xlfn.XLOOKUP(Sheet1[[#This Row],[day_id]],calendar!A280,calendar!J280)</f>
        <v>No Event</v>
      </c>
      <c r="J280" t="str">
        <f>_xlfn.XLOOKUP(Sheet1[[#This Row],[day_id]],calendar!A280,calendar!K280)</f>
        <v>No Event Type</v>
      </c>
      <c r="K280">
        <f>_xlfn.XLOOKUP(Sheet1[[#This Row],[day_id]],calendar!A280,calendar!I280)</f>
        <v>1</v>
      </c>
    </row>
    <row r="281" spans="1:11" x14ac:dyDescent="0.2">
      <c r="A281" t="s">
        <v>368</v>
      </c>
      <c r="B281" t="s">
        <v>369</v>
      </c>
      <c r="C281" t="s">
        <v>281</v>
      </c>
      <c r="D281">
        <v>4</v>
      </c>
      <c r="E281" s="1">
        <f>_xlfn.XLOOKUP(Sheet1[[#This Row],[day_id]],calendar!A281,calendar!B281)</f>
        <v>40851</v>
      </c>
      <c r="F281" t="str">
        <f>_xlfn.XLOOKUP(Sheet1[[#This Row],[day_id]],calendar!A281,calendar!C281)</f>
        <v>Friday</v>
      </c>
      <c r="G281">
        <f>_xlfn.XLOOKUP(Sheet1[[#This Row],[day_id]],calendar!A281,calendar!E281)</f>
        <v>11</v>
      </c>
      <c r="H281">
        <f>_xlfn.XLOOKUP(Sheet1[[#This Row],[day_id]],calendar!A281,calendar!F281)</f>
        <v>2011</v>
      </c>
      <c r="I281" t="str">
        <f>_xlfn.XLOOKUP(Sheet1[[#This Row],[day_id]],calendar!A281,calendar!J281)</f>
        <v>No Event</v>
      </c>
      <c r="J281" t="str">
        <f>_xlfn.XLOOKUP(Sheet1[[#This Row],[day_id]],calendar!A281,calendar!K281)</f>
        <v>No Event Type</v>
      </c>
      <c r="K281">
        <f>_xlfn.XLOOKUP(Sheet1[[#This Row],[day_id]],calendar!A281,calendar!I281)</f>
        <v>1</v>
      </c>
    </row>
    <row r="282" spans="1:11" x14ac:dyDescent="0.2">
      <c r="A282" t="s">
        <v>368</v>
      </c>
      <c r="B282" t="s">
        <v>369</v>
      </c>
      <c r="C282" t="s">
        <v>282</v>
      </c>
      <c r="D282">
        <v>4</v>
      </c>
      <c r="E282" s="1">
        <f>_xlfn.XLOOKUP(Sheet1[[#This Row],[day_id]],calendar!A282,calendar!B282)</f>
        <v>40852</v>
      </c>
      <c r="F282" t="str">
        <f>_xlfn.XLOOKUP(Sheet1[[#This Row],[day_id]],calendar!A282,calendar!C282)</f>
        <v>Saturday</v>
      </c>
      <c r="G282">
        <f>_xlfn.XLOOKUP(Sheet1[[#This Row],[day_id]],calendar!A282,calendar!E282)</f>
        <v>11</v>
      </c>
      <c r="H282">
        <f>_xlfn.XLOOKUP(Sheet1[[#This Row],[day_id]],calendar!A282,calendar!F282)</f>
        <v>2011</v>
      </c>
      <c r="I282" t="str">
        <f>_xlfn.XLOOKUP(Sheet1[[#This Row],[day_id]],calendar!A282,calendar!J282)</f>
        <v>No Event</v>
      </c>
      <c r="J282" t="str">
        <f>_xlfn.XLOOKUP(Sheet1[[#This Row],[day_id]],calendar!A282,calendar!K282)</f>
        <v>No Event Type</v>
      </c>
      <c r="K282">
        <f>_xlfn.XLOOKUP(Sheet1[[#This Row],[day_id]],calendar!A282,calendar!I282)</f>
        <v>1</v>
      </c>
    </row>
    <row r="283" spans="1:11" x14ac:dyDescent="0.2">
      <c r="A283" t="s">
        <v>368</v>
      </c>
      <c r="B283" t="s">
        <v>369</v>
      </c>
      <c r="C283" t="s">
        <v>283</v>
      </c>
      <c r="D283">
        <v>4</v>
      </c>
      <c r="E283" s="1">
        <f>_xlfn.XLOOKUP(Sheet1[[#This Row],[day_id]],calendar!A283,calendar!B283)</f>
        <v>40853</v>
      </c>
      <c r="F283" t="str">
        <f>_xlfn.XLOOKUP(Sheet1[[#This Row],[day_id]],calendar!A283,calendar!C283)</f>
        <v>Sunday</v>
      </c>
      <c r="G283">
        <f>_xlfn.XLOOKUP(Sheet1[[#This Row],[day_id]],calendar!A283,calendar!E283)</f>
        <v>11</v>
      </c>
      <c r="H283">
        <f>_xlfn.XLOOKUP(Sheet1[[#This Row],[day_id]],calendar!A283,calendar!F283)</f>
        <v>2011</v>
      </c>
      <c r="I283" t="str">
        <f>_xlfn.XLOOKUP(Sheet1[[#This Row],[day_id]],calendar!A283,calendar!J283)</f>
        <v>No Event</v>
      </c>
      <c r="J283" t="str">
        <f>_xlfn.XLOOKUP(Sheet1[[#This Row],[day_id]],calendar!A283,calendar!K283)</f>
        <v>No Event Type</v>
      </c>
      <c r="K283">
        <f>_xlfn.XLOOKUP(Sheet1[[#This Row],[day_id]],calendar!A283,calendar!I283)</f>
        <v>1</v>
      </c>
    </row>
    <row r="284" spans="1:11" x14ac:dyDescent="0.2">
      <c r="A284" t="s">
        <v>368</v>
      </c>
      <c r="B284" t="s">
        <v>369</v>
      </c>
      <c r="C284" t="s">
        <v>284</v>
      </c>
      <c r="D284">
        <v>4</v>
      </c>
      <c r="E284" s="1">
        <f>_xlfn.XLOOKUP(Sheet1[[#This Row],[day_id]],calendar!A284,calendar!B284)</f>
        <v>40854</v>
      </c>
      <c r="F284" t="str">
        <f>_xlfn.XLOOKUP(Sheet1[[#This Row],[day_id]],calendar!A284,calendar!C284)</f>
        <v>Monday</v>
      </c>
      <c r="G284">
        <f>_xlfn.XLOOKUP(Sheet1[[#This Row],[day_id]],calendar!A284,calendar!E284)</f>
        <v>11</v>
      </c>
      <c r="H284">
        <f>_xlfn.XLOOKUP(Sheet1[[#This Row],[day_id]],calendar!A284,calendar!F284)</f>
        <v>2011</v>
      </c>
      <c r="I284" t="str">
        <f>_xlfn.XLOOKUP(Sheet1[[#This Row],[day_id]],calendar!A284,calendar!J284)</f>
        <v>EidAlAdha</v>
      </c>
      <c r="J284" t="str">
        <f>_xlfn.XLOOKUP(Sheet1[[#This Row],[day_id]],calendar!A284,calendar!K284)</f>
        <v>Religious</v>
      </c>
      <c r="K284">
        <f>_xlfn.XLOOKUP(Sheet1[[#This Row],[day_id]],calendar!A284,calendar!I284)</f>
        <v>1</v>
      </c>
    </row>
    <row r="285" spans="1:11" x14ac:dyDescent="0.2">
      <c r="A285" t="s">
        <v>368</v>
      </c>
      <c r="B285" t="s">
        <v>369</v>
      </c>
      <c r="C285" t="s">
        <v>285</v>
      </c>
      <c r="D285">
        <v>1</v>
      </c>
      <c r="E285" s="1">
        <f>_xlfn.XLOOKUP(Sheet1[[#This Row],[day_id]],calendar!A285,calendar!B285)</f>
        <v>40855</v>
      </c>
      <c r="F285" t="str">
        <f>_xlfn.XLOOKUP(Sheet1[[#This Row],[day_id]],calendar!A285,calendar!C285)</f>
        <v>Tuesday</v>
      </c>
      <c r="G285">
        <f>_xlfn.XLOOKUP(Sheet1[[#This Row],[day_id]],calendar!A285,calendar!E285)</f>
        <v>11</v>
      </c>
      <c r="H285">
        <f>_xlfn.XLOOKUP(Sheet1[[#This Row],[day_id]],calendar!A285,calendar!F285)</f>
        <v>2011</v>
      </c>
      <c r="I285" t="str">
        <f>_xlfn.XLOOKUP(Sheet1[[#This Row],[day_id]],calendar!A285,calendar!J285)</f>
        <v>No Event</v>
      </c>
      <c r="J285" t="str">
        <f>_xlfn.XLOOKUP(Sheet1[[#This Row],[day_id]],calendar!A285,calendar!K285)</f>
        <v>No Event Type</v>
      </c>
      <c r="K285">
        <f>_xlfn.XLOOKUP(Sheet1[[#This Row],[day_id]],calendar!A285,calendar!I285)</f>
        <v>1</v>
      </c>
    </row>
    <row r="286" spans="1:11" x14ac:dyDescent="0.2">
      <c r="A286" t="s">
        <v>368</v>
      </c>
      <c r="B286" t="s">
        <v>369</v>
      </c>
      <c r="C286" t="s">
        <v>286</v>
      </c>
      <c r="D286">
        <v>0</v>
      </c>
      <c r="E286" s="1">
        <f>_xlfn.XLOOKUP(Sheet1[[#This Row],[day_id]],calendar!A286,calendar!B286)</f>
        <v>40856</v>
      </c>
      <c r="F286" t="str">
        <f>_xlfn.XLOOKUP(Sheet1[[#This Row],[day_id]],calendar!A286,calendar!C286)</f>
        <v>Wednesday</v>
      </c>
      <c r="G286">
        <f>_xlfn.XLOOKUP(Sheet1[[#This Row],[day_id]],calendar!A286,calendar!E286)</f>
        <v>11</v>
      </c>
      <c r="H286">
        <f>_xlfn.XLOOKUP(Sheet1[[#This Row],[day_id]],calendar!A286,calendar!F286)</f>
        <v>2011</v>
      </c>
      <c r="I286" t="str">
        <f>_xlfn.XLOOKUP(Sheet1[[#This Row],[day_id]],calendar!A286,calendar!J286)</f>
        <v>No Event</v>
      </c>
      <c r="J286" t="str">
        <f>_xlfn.XLOOKUP(Sheet1[[#This Row],[day_id]],calendar!A286,calendar!K286)</f>
        <v>No Event Type</v>
      </c>
      <c r="K286">
        <f>_xlfn.XLOOKUP(Sheet1[[#This Row],[day_id]],calendar!A286,calendar!I286)</f>
        <v>1</v>
      </c>
    </row>
    <row r="287" spans="1:11" x14ac:dyDescent="0.2">
      <c r="A287" t="s">
        <v>368</v>
      </c>
      <c r="B287" t="s">
        <v>369</v>
      </c>
      <c r="C287" t="s">
        <v>287</v>
      </c>
      <c r="D287">
        <v>5</v>
      </c>
      <c r="E287" s="1">
        <f>_xlfn.XLOOKUP(Sheet1[[#This Row],[day_id]],calendar!A287,calendar!B287)</f>
        <v>40857</v>
      </c>
      <c r="F287" t="str">
        <f>_xlfn.XLOOKUP(Sheet1[[#This Row],[day_id]],calendar!A287,calendar!C287)</f>
        <v>Thursday</v>
      </c>
      <c r="G287">
        <f>_xlfn.XLOOKUP(Sheet1[[#This Row],[day_id]],calendar!A287,calendar!E287)</f>
        <v>11</v>
      </c>
      <c r="H287">
        <f>_xlfn.XLOOKUP(Sheet1[[#This Row],[day_id]],calendar!A287,calendar!F287)</f>
        <v>2011</v>
      </c>
      <c r="I287" t="str">
        <f>_xlfn.XLOOKUP(Sheet1[[#This Row],[day_id]],calendar!A287,calendar!J287)</f>
        <v>No Event</v>
      </c>
      <c r="J287" t="str">
        <f>_xlfn.XLOOKUP(Sheet1[[#This Row],[day_id]],calendar!A287,calendar!K287)</f>
        <v>No Event Type</v>
      </c>
      <c r="K287">
        <f>_xlfn.XLOOKUP(Sheet1[[#This Row],[day_id]],calendar!A287,calendar!I287)</f>
        <v>1</v>
      </c>
    </row>
    <row r="288" spans="1:11" x14ac:dyDescent="0.2">
      <c r="A288" t="s">
        <v>368</v>
      </c>
      <c r="B288" t="s">
        <v>369</v>
      </c>
      <c r="C288" t="s">
        <v>288</v>
      </c>
      <c r="D288">
        <v>2</v>
      </c>
      <c r="E288" s="1">
        <f>_xlfn.XLOOKUP(Sheet1[[#This Row],[day_id]],calendar!A288,calendar!B288)</f>
        <v>40858</v>
      </c>
      <c r="F288" t="str">
        <f>_xlfn.XLOOKUP(Sheet1[[#This Row],[day_id]],calendar!A288,calendar!C288)</f>
        <v>Friday</v>
      </c>
      <c r="G288">
        <f>_xlfn.XLOOKUP(Sheet1[[#This Row],[day_id]],calendar!A288,calendar!E288)</f>
        <v>11</v>
      </c>
      <c r="H288">
        <f>_xlfn.XLOOKUP(Sheet1[[#This Row],[day_id]],calendar!A288,calendar!F288)</f>
        <v>2011</v>
      </c>
      <c r="I288" t="str">
        <f>_xlfn.XLOOKUP(Sheet1[[#This Row],[day_id]],calendar!A288,calendar!J288)</f>
        <v>VeteransDay</v>
      </c>
      <c r="J288" t="str">
        <f>_xlfn.XLOOKUP(Sheet1[[#This Row],[day_id]],calendar!A288,calendar!K288)</f>
        <v>National</v>
      </c>
      <c r="K288">
        <f>_xlfn.XLOOKUP(Sheet1[[#This Row],[day_id]],calendar!A288,calendar!I288)</f>
        <v>0</v>
      </c>
    </row>
    <row r="289" spans="1:11" x14ac:dyDescent="0.2">
      <c r="A289" t="s">
        <v>368</v>
      </c>
      <c r="B289" t="s">
        <v>369</v>
      </c>
      <c r="C289" t="s">
        <v>289</v>
      </c>
      <c r="D289">
        <v>3</v>
      </c>
      <c r="E289" s="1">
        <f>_xlfn.XLOOKUP(Sheet1[[#This Row],[day_id]],calendar!A289,calendar!B289)</f>
        <v>40859</v>
      </c>
      <c r="F289" t="str">
        <f>_xlfn.XLOOKUP(Sheet1[[#This Row],[day_id]],calendar!A289,calendar!C289)</f>
        <v>Saturday</v>
      </c>
      <c r="G289">
        <f>_xlfn.XLOOKUP(Sheet1[[#This Row],[day_id]],calendar!A289,calendar!E289)</f>
        <v>11</v>
      </c>
      <c r="H289">
        <f>_xlfn.XLOOKUP(Sheet1[[#This Row],[day_id]],calendar!A289,calendar!F289)</f>
        <v>2011</v>
      </c>
      <c r="I289" t="str">
        <f>_xlfn.XLOOKUP(Sheet1[[#This Row],[day_id]],calendar!A289,calendar!J289)</f>
        <v>No Event</v>
      </c>
      <c r="J289" t="str">
        <f>_xlfn.XLOOKUP(Sheet1[[#This Row],[day_id]],calendar!A289,calendar!K289)</f>
        <v>No Event Type</v>
      </c>
      <c r="K289">
        <f>_xlfn.XLOOKUP(Sheet1[[#This Row],[day_id]],calendar!A289,calendar!I289)</f>
        <v>0</v>
      </c>
    </row>
    <row r="290" spans="1:11" x14ac:dyDescent="0.2">
      <c r="A290" t="s">
        <v>368</v>
      </c>
      <c r="B290" t="s">
        <v>369</v>
      </c>
      <c r="C290" t="s">
        <v>290</v>
      </c>
      <c r="D290">
        <v>0</v>
      </c>
      <c r="E290" s="1">
        <f>_xlfn.XLOOKUP(Sheet1[[#This Row],[day_id]],calendar!A290,calendar!B290)</f>
        <v>40860</v>
      </c>
      <c r="F290" t="str">
        <f>_xlfn.XLOOKUP(Sheet1[[#This Row],[day_id]],calendar!A290,calendar!C290)</f>
        <v>Sunday</v>
      </c>
      <c r="G290">
        <f>_xlfn.XLOOKUP(Sheet1[[#This Row],[day_id]],calendar!A290,calendar!E290)</f>
        <v>11</v>
      </c>
      <c r="H290">
        <f>_xlfn.XLOOKUP(Sheet1[[#This Row],[day_id]],calendar!A290,calendar!F290)</f>
        <v>2011</v>
      </c>
      <c r="I290" t="str">
        <f>_xlfn.XLOOKUP(Sheet1[[#This Row],[day_id]],calendar!A290,calendar!J290)</f>
        <v>No Event</v>
      </c>
      <c r="J290" t="str">
        <f>_xlfn.XLOOKUP(Sheet1[[#This Row],[day_id]],calendar!A290,calendar!K290)</f>
        <v>No Event Type</v>
      </c>
      <c r="K290">
        <f>_xlfn.XLOOKUP(Sheet1[[#This Row],[day_id]],calendar!A290,calendar!I290)</f>
        <v>0</v>
      </c>
    </row>
    <row r="291" spans="1:11" x14ac:dyDescent="0.2">
      <c r="A291" t="s">
        <v>368</v>
      </c>
      <c r="B291" t="s">
        <v>369</v>
      </c>
      <c r="C291" t="s">
        <v>291</v>
      </c>
      <c r="D291">
        <v>2</v>
      </c>
      <c r="E291" s="1">
        <f>_xlfn.XLOOKUP(Sheet1[[#This Row],[day_id]],calendar!A291,calendar!B291)</f>
        <v>40861</v>
      </c>
      <c r="F291" t="str">
        <f>_xlfn.XLOOKUP(Sheet1[[#This Row],[day_id]],calendar!A291,calendar!C291)</f>
        <v>Monday</v>
      </c>
      <c r="G291">
        <f>_xlfn.XLOOKUP(Sheet1[[#This Row],[day_id]],calendar!A291,calendar!E291)</f>
        <v>11</v>
      </c>
      <c r="H291">
        <f>_xlfn.XLOOKUP(Sheet1[[#This Row],[day_id]],calendar!A291,calendar!F291)</f>
        <v>2011</v>
      </c>
      <c r="I291" t="str">
        <f>_xlfn.XLOOKUP(Sheet1[[#This Row],[day_id]],calendar!A291,calendar!J291)</f>
        <v>No Event</v>
      </c>
      <c r="J291" t="str">
        <f>_xlfn.XLOOKUP(Sheet1[[#This Row],[day_id]],calendar!A291,calendar!K291)</f>
        <v>No Event Type</v>
      </c>
      <c r="K291">
        <f>_xlfn.XLOOKUP(Sheet1[[#This Row],[day_id]],calendar!A291,calendar!I291)</f>
        <v>0</v>
      </c>
    </row>
    <row r="292" spans="1:11" x14ac:dyDescent="0.2">
      <c r="A292" t="s">
        <v>368</v>
      </c>
      <c r="B292" t="s">
        <v>369</v>
      </c>
      <c r="C292" t="s">
        <v>292</v>
      </c>
      <c r="D292">
        <v>2</v>
      </c>
      <c r="E292" s="1">
        <f>_xlfn.XLOOKUP(Sheet1[[#This Row],[day_id]],calendar!A292,calendar!B292)</f>
        <v>40862</v>
      </c>
      <c r="F292" t="str">
        <f>_xlfn.XLOOKUP(Sheet1[[#This Row],[day_id]],calendar!A292,calendar!C292)</f>
        <v>Tuesday</v>
      </c>
      <c r="G292">
        <f>_xlfn.XLOOKUP(Sheet1[[#This Row],[day_id]],calendar!A292,calendar!E292)</f>
        <v>11</v>
      </c>
      <c r="H292">
        <f>_xlfn.XLOOKUP(Sheet1[[#This Row],[day_id]],calendar!A292,calendar!F292)</f>
        <v>2011</v>
      </c>
      <c r="I292" t="str">
        <f>_xlfn.XLOOKUP(Sheet1[[#This Row],[day_id]],calendar!A292,calendar!J292)</f>
        <v>No Event</v>
      </c>
      <c r="J292" t="str">
        <f>_xlfn.XLOOKUP(Sheet1[[#This Row],[day_id]],calendar!A292,calendar!K292)</f>
        <v>No Event Type</v>
      </c>
      <c r="K292">
        <f>_xlfn.XLOOKUP(Sheet1[[#This Row],[day_id]],calendar!A292,calendar!I292)</f>
        <v>0</v>
      </c>
    </row>
    <row r="293" spans="1:11" x14ac:dyDescent="0.2">
      <c r="A293" t="s">
        <v>368</v>
      </c>
      <c r="B293" t="s">
        <v>369</v>
      </c>
      <c r="C293" t="s">
        <v>293</v>
      </c>
      <c r="D293">
        <v>0</v>
      </c>
      <c r="E293" s="1">
        <f>_xlfn.XLOOKUP(Sheet1[[#This Row],[day_id]],calendar!A293,calendar!B293)</f>
        <v>40863</v>
      </c>
      <c r="F293" t="str">
        <f>_xlfn.XLOOKUP(Sheet1[[#This Row],[day_id]],calendar!A293,calendar!C293)</f>
        <v>Wednesday</v>
      </c>
      <c r="G293">
        <f>_xlfn.XLOOKUP(Sheet1[[#This Row],[day_id]],calendar!A293,calendar!E293)</f>
        <v>11</v>
      </c>
      <c r="H293">
        <f>_xlfn.XLOOKUP(Sheet1[[#This Row],[day_id]],calendar!A293,calendar!F293)</f>
        <v>2011</v>
      </c>
      <c r="I293" t="str">
        <f>_xlfn.XLOOKUP(Sheet1[[#This Row],[day_id]],calendar!A293,calendar!J293)</f>
        <v>No Event</v>
      </c>
      <c r="J293" t="str">
        <f>_xlfn.XLOOKUP(Sheet1[[#This Row],[day_id]],calendar!A293,calendar!K293)</f>
        <v>No Event Type</v>
      </c>
      <c r="K293">
        <f>_xlfn.XLOOKUP(Sheet1[[#This Row],[day_id]],calendar!A293,calendar!I293)</f>
        <v>0</v>
      </c>
    </row>
    <row r="294" spans="1:11" x14ac:dyDescent="0.2">
      <c r="A294" t="s">
        <v>368</v>
      </c>
      <c r="B294" t="s">
        <v>369</v>
      </c>
      <c r="C294" t="s">
        <v>294</v>
      </c>
      <c r="D294">
        <v>1</v>
      </c>
      <c r="E294" s="1">
        <f>_xlfn.XLOOKUP(Sheet1[[#This Row],[day_id]],calendar!A294,calendar!B294)</f>
        <v>40864</v>
      </c>
      <c r="F294" t="str">
        <f>_xlfn.XLOOKUP(Sheet1[[#This Row],[day_id]],calendar!A294,calendar!C294)</f>
        <v>Thursday</v>
      </c>
      <c r="G294">
        <f>_xlfn.XLOOKUP(Sheet1[[#This Row],[day_id]],calendar!A294,calendar!E294)</f>
        <v>11</v>
      </c>
      <c r="H294">
        <f>_xlfn.XLOOKUP(Sheet1[[#This Row],[day_id]],calendar!A294,calendar!F294)</f>
        <v>2011</v>
      </c>
      <c r="I294" t="str">
        <f>_xlfn.XLOOKUP(Sheet1[[#This Row],[day_id]],calendar!A294,calendar!J294)</f>
        <v>No Event</v>
      </c>
      <c r="J294" t="str">
        <f>_xlfn.XLOOKUP(Sheet1[[#This Row],[day_id]],calendar!A294,calendar!K294)</f>
        <v>No Event Type</v>
      </c>
      <c r="K294">
        <f>_xlfn.XLOOKUP(Sheet1[[#This Row],[day_id]],calendar!A294,calendar!I294)</f>
        <v>0</v>
      </c>
    </row>
    <row r="295" spans="1:11" x14ac:dyDescent="0.2">
      <c r="A295" t="s">
        <v>368</v>
      </c>
      <c r="B295" t="s">
        <v>369</v>
      </c>
      <c r="C295" t="s">
        <v>295</v>
      </c>
      <c r="D295">
        <v>3</v>
      </c>
      <c r="E295" s="1">
        <f>_xlfn.XLOOKUP(Sheet1[[#This Row],[day_id]],calendar!A295,calendar!B295)</f>
        <v>40865</v>
      </c>
      <c r="F295" t="str">
        <f>_xlfn.XLOOKUP(Sheet1[[#This Row],[day_id]],calendar!A295,calendar!C295)</f>
        <v>Friday</v>
      </c>
      <c r="G295">
        <f>_xlfn.XLOOKUP(Sheet1[[#This Row],[day_id]],calendar!A295,calendar!E295)</f>
        <v>11</v>
      </c>
      <c r="H295">
        <f>_xlfn.XLOOKUP(Sheet1[[#This Row],[day_id]],calendar!A295,calendar!F295)</f>
        <v>2011</v>
      </c>
      <c r="I295" t="str">
        <f>_xlfn.XLOOKUP(Sheet1[[#This Row],[day_id]],calendar!A295,calendar!J295)</f>
        <v>No Event</v>
      </c>
      <c r="J295" t="str">
        <f>_xlfn.XLOOKUP(Sheet1[[#This Row],[day_id]],calendar!A295,calendar!K295)</f>
        <v>No Event Type</v>
      </c>
      <c r="K295">
        <f>_xlfn.XLOOKUP(Sheet1[[#This Row],[day_id]],calendar!A295,calendar!I295)</f>
        <v>0</v>
      </c>
    </row>
    <row r="296" spans="1:11" x14ac:dyDescent="0.2">
      <c r="A296" t="s">
        <v>368</v>
      </c>
      <c r="B296" t="s">
        <v>369</v>
      </c>
      <c r="C296" t="s">
        <v>296</v>
      </c>
      <c r="D296">
        <v>2</v>
      </c>
      <c r="E296" s="1">
        <f>_xlfn.XLOOKUP(Sheet1[[#This Row],[day_id]],calendar!A296,calendar!B296)</f>
        <v>40866</v>
      </c>
      <c r="F296" t="str">
        <f>_xlfn.XLOOKUP(Sheet1[[#This Row],[day_id]],calendar!A296,calendar!C296)</f>
        <v>Saturday</v>
      </c>
      <c r="G296">
        <f>_xlfn.XLOOKUP(Sheet1[[#This Row],[day_id]],calendar!A296,calendar!E296)</f>
        <v>11</v>
      </c>
      <c r="H296">
        <f>_xlfn.XLOOKUP(Sheet1[[#This Row],[day_id]],calendar!A296,calendar!F296)</f>
        <v>2011</v>
      </c>
      <c r="I296" t="str">
        <f>_xlfn.XLOOKUP(Sheet1[[#This Row],[day_id]],calendar!A296,calendar!J296)</f>
        <v>No Event</v>
      </c>
      <c r="J296" t="str">
        <f>_xlfn.XLOOKUP(Sheet1[[#This Row],[day_id]],calendar!A296,calendar!K296)</f>
        <v>No Event Type</v>
      </c>
      <c r="K296">
        <f>_xlfn.XLOOKUP(Sheet1[[#This Row],[day_id]],calendar!A296,calendar!I296)</f>
        <v>0</v>
      </c>
    </row>
    <row r="297" spans="1:11" x14ac:dyDescent="0.2">
      <c r="A297" t="s">
        <v>368</v>
      </c>
      <c r="B297" t="s">
        <v>369</v>
      </c>
      <c r="C297" t="s">
        <v>297</v>
      </c>
      <c r="D297">
        <v>2</v>
      </c>
      <c r="E297" s="1">
        <f>_xlfn.XLOOKUP(Sheet1[[#This Row],[day_id]],calendar!A297,calendar!B297)</f>
        <v>40867</v>
      </c>
      <c r="F297" t="str">
        <f>_xlfn.XLOOKUP(Sheet1[[#This Row],[day_id]],calendar!A297,calendar!C297)</f>
        <v>Sunday</v>
      </c>
      <c r="G297">
        <f>_xlfn.XLOOKUP(Sheet1[[#This Row],[day_id]],calendar!A297,calendar!E297)</f>
        <v>11</v>
      </c>
      <c r="H297">
        <f>_xlfn.XLOOKUP(Sheet1[[#This Row],[day_id]],calendar!A297,calendar!F297)</f>
        <v>2011</v>
      </c>
      <c r="I297" t="str">
        <f>_xlfn.XLOOKUP(Sheet1[[#This Row],[day_id]],calendar!A297,calendar!J297)</f>
        <v>No Event</v>
      </c>
      <c r="J297" t="str">
        <f>_xlfn.XLOOKUP(Sheet1[[#This Row],[day_id]],calendar!A297,calendar!K297)</f>
        <v>No Event Type</v>
      </c>
      <c r="K297">
        <f>_xlfn.XLOOKUP(Sheet1[[#This Row],[day_id]],calendar!A297,calendar!I297)</f>
        <v>0</v>
      </c>
    </row>
    <row r="298" spans="1:11" x14ac:dyDescent="0.2">
      <c r="A298" t="s">
        <v>368</v>
      </c>
      <c r="B298" t="s">
        <v>369</v>
      </c>
      <c r="C298" t="s">
        <v>298</v>
      </c>
      <c r="D298">
        <v>0</v>
      </c>
      <c r="E298" s="1">
        <f>_xlfn.XLOOKUP(Sheet1[[#This Row],[day_id]],calendar!A298,calendar!B298)</f>
        <v>40868</v>
      </c>
      <c r="F298" t="str">
        <f>_xlfn.XLOOKUP(Sheet1[[#This Row],[day_id]],calendar!A298,calendar!C298)</f>
        <v>Monday</v>
      </c>
      <c r="G298">
        <f>_xlfn.XLOOKUP(Sheet1[[#This Row],[day_id]],calendar!A298,calendar!E298)</f>
        <v>11</v>
      </c>
      <c r="H298">
        <f>_xlfn.XLOOKUP(Sheet1[[#This Row],[day_id]],calendar!A298,calendar!F298)</f>
        <v>2011</v>
      </c>
      <c r="I298" t="str">
        <f>_xlfn.XLOOKUP(Sheet1[[#This Row],[day_id]],calendar!A298,calendar!J298)</f>
        <v>No Event</v>
      </c>
      <c r="J298" t="str">
        <f>_xlfn.XLOOKUP(Sheet1[[#This Row],[day_id]],calendar!A298,calendar!K298)</f>
        <v>No Event Type</v>
      </c>
      <c r="K298">
        <f>_xlfn.XLOOKUP(Sheet1[[#This Row],[day_id]],calendar!A298,calendar!I298)</f>
        <v>0</v>
      </c>
    </row>
    <row r="299" spans="1:11" x14ac:dyDescent="0.2">
      <c r="A299" t="s">
        <v>368</v>
      </c>
      <c r="B299" t="s">
        <v>369</v>
      </c>
      <c r="C299" t="s">
        <v>299</v>
      </c>
      <c r="D299">
        <v>0</v>
      </c>
      <c r="E299" s="1">
        <f>_xlfn.XLOOKUP(Sheet1[[#This Row],[day_id]],calendar!A299,calendar!B299)</f>
        <v>40869</v>
      </c>
      <c r="F299" t="str">
        <f>_xlfn.XLOOKUP(Sheet1[[#This Row],[day_id]],calendar!A299,calendar!C299)</f>
        <v>Tuesday</v>
      </c>
      <c r="G299">
        <f>_xlfn.XLOOKUP(Sheet1[[#This Row],[day_id]],calendar!A299,calendar!E299)</f>
        <v>11</v>
      </c>
      <c r="H299">
        <f>_xlfn.XLOOKUP(Sheet1[[#This Row],[day_id]],calendar!A299,calendar!F299)</f>
        <v>2011</v>
      </c>
      <c r="I299" t="str">
        <f>_xlfn.XLOOKUP(Sheet1[[#This Row],[day_id]],calendar!A299,calendar!J299)</f>
        <v>No Event</v>
      </c>
      <c r="J299" t="str">
        <f>_xlfn.XLOOKUP(Sheet1[[#This Row],[day_id]],calendar!A299,calendar!K299)</f>
        <v>No Event Type</v>
      </c>
      <c r="K299">
        <f>_xlfn.XLOOKUP(Sheet1[[#This Row],[day_id]],calendar!A299,calendar!I299)</f>
        <v>0</v>
      </c>
    </row>
    <row r="300" spans="1:11" x14ac:dyDescent="0.2">
      <c r="A300" t="s">
        <v>368</v>
      </c>
      <c r="B300" t="s">
        <v>369</v>
      </c>
      <c r="C300" t="s">
        <v>300</v>
      </c>
      <c r="D300">
        <v>3</v>
      </c>
      <c r="E300" s="1">
        <f>_xlfn.XLOOKUP(Sheet1[[#This Row],[day_id]],calendar!A300,calendar!B300)</f>
        <v>40870</v>
      </c>
      <c r="F300" t="str">
        <f>_xlfn.XLOOKUP(Sheet1[[#This Row],[day_id]],calendar!A300,calendar!C300)</f>
        <v>Wednesday</v>
      </c>
      <c r="G300">
        <f>_xlfn.XLOOKUP(Sheet1[[#This Row],[day_id]],calendar!A300,calendar!E300)</f>
        <v>11</v>
      </c>
      <c r="H300">
        <f>_xlfn.XLOOKUP(Sheet1[[#This Row],[day_id]],calendar!A300,calendar!F300)</f>
        <v>2011</v>
      </c>
      <c r="I300" t="str">
        <f>_xlfn.XLOOKUP(Sheet1[[#This Row],[day_id]],calendar!A300,calendar!J300)</f>
        <v>No Event</v>
      </c>
      <c r="J300" t="str">
        <f>_xlfn.XLOOKUP(Sheet1[[#This Row],[day_id]],calendar!A300,calendar!K300)</f>
        <v>No Event Type</v>
      </c>
      <c r="K300">
        <f>_xlfn.XLOOKUP(Sheet1[[#This Row],[day_id]],calendar!A300,calendar!I300)</f>
        <v>0</v>
      </c>
    </row>
    <row r="301" spans="1:11" x14ac:dyDescent="0.2">
      <c r="A301" t="s">
        <v>368</v>
      </c>
      <c r="B301" t="s">
        <v>369</v>
      </c>
      <c r="C301" t="s">
        <v>301</v>
      </c>
      <c r="D301">
        <v>0</v>
      </c>
      <c r="E301" s="1">
        <f>_xlfn.XLOOKUP(Sheet1[[#This Row],[day_id]],calendar!A301,calendar!B301)</f>
        <v>40871</v>
      </c>
      <c r="F301" t="str">
        <f>_xlfn.XLOOKUP(Sheet1[[#This Row],[day_id]],calendar!A301,calendar!C301)</f>
        <v>Thursday</v>
      </c>
      <c r="G301">
        <f>_xlfn.XLOOKUP(Sheet1[[#This Row],[day_id]],calendar!A301,calendar!E301)</f>
        <v>11</v>
      </c>
      <c r="H301">
        <f>_xlfn.XLOOKUP(Sheet1[[#This Row],[day_id]],calendar!A301,calendar!F301)</f>
        <v>2011</v>
      </c>
      <c r="I301" t="str">
        <f>_xlfn.XLOOKUP(Sheet1[[#This Row],[day_id]],calendar!A301,calendar!J301)</f>
        <v>Thanksgiving</v>
      </c>
      <c r="J301" t="str">
        <f>_xlfn.XLOOKUP(Sheet1[[#This Row],[day_id]],calendar!A301,calendar!K301)</f>
        <v>National</v>
      </c>
      <c r="K301">
        <f>_xlfn.XLOOKUP(Sheet1[[#This Row],[day_id]],calendar!A301,calendar!I301)</f>
        <v>0</v>
      </c>
    </row>
    <row r="302" spans="1:11" x14ac:dyDescent="0.2">
      <c r="A302" t="s">
        <v>368</v>
      </c>
      <c r="B302" t="s">
        <v>369</v>
      </c>
      <c r="C302" t="s">
        <v>302</v>
      </c>
      <c r="D302">
        <v>1</v>
      </c>
      <c r="E302" s="1">
        <f>_xlfn.XLOOKUP(Sheet1[[#This Row],[day_id]],calendar!A302,calendar!B302)</f>
        <v>40872</v>
      </c>
      <c r="F302" t="str">
        <f>_xlfn.XLOOKUP(Sheet1[[#This Row],[day_id]],calendar!A302,calendar!C302)</f>
        <v>Friday</v>
      </c>
      <c r="G302">
        <f>_xlfn.XLOOKUP(Sheet1[[#This Row],[day_id]],calendar!A302,calendar!E302)</f>
        <v>11</v>
      </c>
      <c r="H302">
        <f>_xlfn.XLOOKUP(Sheet1[[#This Row],[day_id]],calendar!A302,calendar!F302)</f>
        <v>2011</v>
      </c>
      <c r="I302" t="str">
        <f>_xlfn.XLOOKUP(Sheet1[[#This Row],[day_id]],calendar!A302,calendar!J302)</f>
        <v>No Event</v>
      </c>
      <c r="J302" t="str">
        <f>_xlfn.XLOOKUP(Sheet1[[#This Row],[day_id]],calendar!A302,calendar!K302)</f>
        <v>No Event Type</v>
      </c>
      <c r="K302">
        <f>_xlfn.XLOOKUP(Sheet1[[#This Row],[day_id]],calendar!A302,calendar!I302)</f>
        <v>0</v>
      </c>
    </row>
    <row r="303" spans="1:11" x14ac:dyDescent="0.2">
      <c r="A303" t="s">
        <v>368</v>
      </c>
      <c r="B303" t="s">
        <v>369</v>
      </c>
      <c r="C303" t="s">
        <v>303</v>
      </c>
      <c r="D303">
        <v>27</v>
      </c>
      <c r="E303" s="1">
        <f>_xlfn.XLOOKUP(Sheet1[[#This Row],[day_id]],calendar!A303,calendar!B303)</f>
        <v>40873</v>
      </c>
      <c r="F303" t="str">
        <f>_xlfn.XLOOKUP(Sheet1[[#This Row],[day_id]],calendar!A303,calendar!C303)</f>
        <v>Saturday</v>
      </c>
      <c r="G303">
        <f>_xlfn.XLOOKUP(Sheet1[[#This Row],[day_id]],calendar!A303,calendar!E303)</f>
        <v>11</v>
      </c>
      <c r="H303">
        <f>_xlfn.XLOOKUP(Sheet1[[#This Row],[day_id]],calendar!A303,calendar!F303)</f>
        <v>2011</v>
      </c>
      <c r="I303" t="str">
        <f>_xlfn.XLOOKUP(Sheet1[[#This Row],[day_id]],calendar!A303,calendar!J303)</f>
        <v>No Event</v>
      </c>
      <c r="J303" t="str">
        <f>_xlfn.XLOOKUP(Sheet1[[#This Row],[day_id]],calendar!A303,calendar!K303)</f>
        <v>No Event Type</v>
      </c>
      <c r="K303">
        <f>_xlfn.XLOOKUP(Sheet1[[#This Row],[day_id]],calendar!A303,calendar!I303)</f>
        <v>0</v>
      </c>
    </row>
    <row r="304" spans="1:11" x14ac:dyDescent="0.2">
      <c r="A304" t="s">
        <v>368</v>
      </c>
      <c r="B304" t="s">
        <v>369</v>
      </c>
      <c r="C304" t="s">
        <v>304</v>
      </c>
      <c r="D304">
        <v>25</v>
      </c>
      <c r="E304" s="1">
        <f>_xlfn.XLOOKUP(Sheet1[[#This Row],[day_id]],calendar!A304,calendar!B304)</f>
        <v>40874</v>
      </c>
      <c r="F304" t="str">
        <f>_xlfn.XLOOKUP(Sheet1[[#This Row],[day_id]],calendar!A304,calendar!C304)</f>
        <v>Sunday</v>
      </c>
      <c r="G304">
        <f>_xlfn.XLOOKUP(Sheet1[[#This Row],[day_id]],calendar!A304,calendar!E304)</f>
        <v>11</v>
      </c>
      <c r="H304">
        <f>_xlfn.XLOOKUP(Sheet1[[#This Row],[day_id]],calendar!A304,calendar!F304)</f>
        <v>2011</v>
      </c>
      <c r="I304" t="str">
        <f>_xlfn.XLOOKUP(Sheet1[[#This Row],[day_id]],calendar!A304,calendar!J304)</f>
        <v>No Event</v>
      </c>
      <c r="J304" t="str">
        <f>_xlfn.XLOOKUP(Sheet1[[#This Row],[day_id]],calendar!A304,calendar!K304)</f>
        <v>No Event Type</v>
      </c>
      <c r="K304">
        <f>_xlfn.XLOOKUP(Sheet1[[#This Row],[day_id]],calendar!A304,calendar!I304)</f>
        <v>0</v>
      </c>
    </row>
    <row r="305" spans="1:11" x14ac:dyDescent="0.2">
      <c r="A305" t="s">
        <v>368</v>
      </c>
      <c r="B305" t="s">
        <v>369</v>
      </c>
      <c r="C305" t="s">
        <v>305</v>
      </c>
      <c r="D305">
        <v>13</v>
      </c>
      <c r="E305" s="1">
        <f>_xlfn.XLOOKUP(Sheet1[[#This Row],[day_id]],calendar!A305,calendar!B305)</f>
        <v>40875</v>
      </c>
      <c r="F305" t="str">
        <f>_xlfn.XLOOKUP(Sheet1[[#This Row],[day_id]],calendar!A305,calendar!C305)</f>
        <v>Monday</v>
      </c>
      <c r="G305">
        <f>_xlfn.XLOOKUP(Sheet1[[#This Row],[day_id]],calendar!A305,calendar!E305)</f>
        <v>11</v>
      </c>
      <c r="H305">
        <f>_xlfn.XLOOKUP(Sheet1[[#This Row],[day_id]],calendar!A305,calendar!F305)</f>
        <v>2011</v>
      </c>
      <c r="I305" t="str">
        <f>_xlfn.XLOOKUP(Sheet1[[#This Row],[day_id]],calendar!A305,calendar!J305)</f>
        <v>No Event</v>
      </c>
      <c r="J305" t="str">
        <f>_xlfn.XLOOKUP(Sheet1[[#This Row],[day_id]],calendar!A305,calendar!K305)</f>
        <v>No Event Type</v>
      </c>
      <c r="K305">
        <f>_xlfn.XLOOKUP(Sheet1[[#This Row],[day_id]],calendar!A305,calendar!I305)</f>
        <v>0</v>
      </c>
    </row>
    <row r="306" spans="1:11" x14ac:dyDescent="0.2">
      <c r="A306" t="s">
        <v>368</v>
      </c>
      <c r="B306" t="s">
        <v>369</v>
      </c>
      <c r="C306" t="s">
        <v>306</v>
      </c>
      <c r="D306">
        <v>20</v>
      </c>
      <c r="E306" s="1">
        <f>_xlfn.XLOOKUP(Sheet1[[#This Row],[day_id]],calendar!A306,calendar!B306)</f>
        <v>40876</v>
      </c>
      <c r="F306" t="str">
        <f>_xlfn.XLOOKUP(Sheet1[[#This Row],[day_id]],calendar!A306,calendar!C306)</f>
        <v>Tuesday</v>
      </c>
      <c r="G306">
        <f>_xlfn.XLOOKUP(Sheet1[[#This Row],[day_id]],calendar!A306,calendar!E306)</f>
        <v>11</v>
      </c>
      <c r="H306">
        <f>_xlfn.XLOOKUP(Sheet1[[#This Row],[day_id]],calendar!A306,calendar!F306)</f>
        <v>2011</v>
      </c>
      <c r="I306" t="str">
        <f>_xlfn.XLOOKUP(Sheet1[[#This Row],[day_id]],calendar!A306,calendar!J306)</f>
        <v>No Event</v>
      </c>
      <c r="J306" t="str">
        <f>_xlfn.XLOOKUP(Sheet1[[#This Row],[day_id]],calendar!A306,calendar!K306)</f>
        <v>No Event Type</v>
      </c>
      <c r="K306">
        <f>_xlfn.XLOOKUP(Sheet1[[#This Row],[day_id]],calendar!A306,calendar!I306)</f>
        <v>0</v>
      </c>
    </row>
    <row r="307" spans="1:11" x14ac:dyDescent="0.2">
      <c r="A307" t="s">
        <v>368</v>
      </c>
      <c r="B307" t="s">
        <v>369</v>
      </c>
      <c r="C307" t="s">
        <v>307</v>
      </c>
      <c r="D307">
        <v>4</v>
      </c>
      <c r="E307" s="1">
        <f>_xlfn.XLOOKUP(Sheet1[[#This Row],[day_id]],calendar!A307,calendar!B307)</f>
        <v>40877</v>
      </c>
      <c r="F307" t="str">
        <f>_xlfn.XLOOKUP(Sheet1[[#This Row],[day_id]],calendar!A307,calendar!C307)</f>
        <v>Wednesday</v>
      </c>
      <c r="G307">
        <f>_xlfn.XLOOKUP(Sheet1[[#This Row],[day_id]],calendar!A307,calendar!E307)</f>
        <v>11</v>
      </c>
      <c r="H307">
        <f>_xlfn.XLOOKUP(Sheet1[[#This Row],[day_id]],calendar!A307,calendar!F307)</f>
        <v>2011</v>
      </c>
      <c r="I307" t="str">
        <f>_xlfn.XLOOKUP(Sheet1[[#This Row],[day_id]],calendar!A307,calendar!J307)</f>
        <v>No Event</v>
      </c>
      <c r="J307" t="str">
        <f>_xlfn.XLOOKUP(Sheet1[[#This Row],[day_id]],calendar!A307,calendar!K307)</f>
        <v>No Event Type</v>
      </c>
      <c r="K307">
        <f>_xlfn.XLOOKUP(Sheet1[[#This Row],[day_id]],calendar!A307,calendar!I307)</f>
        <v>0</v>
      </c>
    </row>
    <row r="308" spans="1:11" x14ac:dyDescent="0.2">
      <c r="A308" t="s">
        <v>368</v>
      </c>
      <c r="B308" t="s">
        <v>369</v>
      </c>
      <c r="C308" t="s">
        <v>308</v>
      </c>
      <c r="D308">
        <v>10</v>
      </c>
      <c r="E308" s="1">
        <f>_xlfn.XLOOKUP(Sheet1[[#This Row],[day_id]],calendar!A308,calendar!B308)</f>
        <v>40878</v>
      </c>
      <c r="F308" t="str">
        <f>_xlfn.XLOOKUP(Sheet1[[#This Row],[day_id]],calendar!A308,calendar!C308)</f>
        <v>Thursday</v>
      </c>
      <c r="G308">
        <f>_xlfn.XLOOKUP(Sheet1[[#This Row],[day_id]],calendar!A308,calendar!E308)</f>
        <v>12</v>
      </c>
      <c r="H308">
        <f>_xlfn.XLOOKUP(Sheet1[[#This Row],[day_id]],calendar!A308,calendar!F308)</f>
        <v>2011</v>
      </c>
      <c r="I308" t="str">
        <f>_xlfn.XLOOKUP(Sheet1[[#This Row],[day_id]],calendar!A308,calendar!J308)</f>
        <v>No Event</v>
      </c>
      <c r="J308" t="str">
        <f>_xlfn.XLOOKUP(Sheet1[[#This Row],[day_id]],calendar!A308,calendar!K308)</f>
        <v>No Event Type</v>
      </c>
      <c r="K308">
        <f>_xlfn.XLOOKUP(Sheet1[[#This Row],[day_id]],calendar!A308,calendar!I308)</f>
        <v>1</v>
      </c>
    </row>
    <row r="309" spans="1:11" x14ac:dyDescent="0.2">
      <c r="A309" t="s">
        <v>368</v>
      </c>
      <c r="B309" t="s">
        <v>369</v>
      </c>
      <c r="C309" t="s">
        <v>309</v>
      </c>
      <c r="D309">
        <v>11</v>
      </c>
      <c r="E309" s="1">
        <f>_xlfn.XLOOKUP(Sheet1[[#This Row],[day_id]],calendar!A309,calendar!B309)</f>
        <v>40879</v>
      </c>
      <c r="F309" t="str">
        <f>_xlfn.XLOOKUP(Sheet1[[#This Row],[day_id]],calendar!A309,calendar!C309)</f>
        <v>Friday</v>
      </c>
      <c r="G309">
        <f>_xlfn.XLOOKUP(Sheet1[[#This Row],[day_id]],calendar!A309,calendar!E309)</f>
        <v>12</v>
      </c>
      <c r="H309">
        <f>_xlfn.XLOOKUP(Sheet1[[#This Row],[day_id]],calendar!A309,calendar!F309)</f>
        <v>2011</v>
      </c>
      <c r="I309" t="str">
        <f>_xlfn.XLOOKUP(Sheet1[[#This Row],[day_id]],calendar!A309,calendar!J309)</f>
        <v>No Event</v>
      </c>
      <c r="J309" t="str">
        <f>_xlfn.XLOOKUP(Sheet1[[#This Row],[day_id]],calendar!A309,calendar!K309)</f>
        <v>No Event Type</v>
      </c>
      <c r="K309">
        <f>_xlfn.XLOOKUP(Sheet1[[#This Row],[day_id]],calendar!A309,calendar!I309)</f>
        <v>1</v>
      </c>
    </row>
    <row r="310" spans="1:11" x14ac:dyDescent="0.2">
      <c r="A310" t="s">
        <v>368</v>
      </c>
      <c r="B310" t="s">
        <v>369</v>
      </c>
      <c r="C310" t="s">
        <v>310</v>
      </c>
      <c r="D310">
        <v>5</v>
      </c>
      <c r="E310" s="1">
        <f>_xlfn.XLOOKUP(Sheet1[[#This Row],[day_id]],calendar!A310,calendar!B310)</f>
        <v>40880</v>
      </c>
      <c r="F310" t="str">
        <f>_xlfn.XLOOKUP(Sheet1[[#This Row],[day_id]],calendar!A310,calendar!C310)</f>
        <v>Saturday</v>
      </c>
      <c r="G310">
        <f>_xlfn.XLOOKUP(Sheet1[[#This Row],[day_id]],calendar!A310,calendar!E310)</f>
        <v>12</v>
      </c>
      <c r="H310">
        <f>_xlfn.XLOOKUP(Sheet1[[#This Row],[day_id]],calendar!A310,calendar!F310)</f>
        <v>2011</v>
      </c>
      <c r="I310" t="str">
        <f>_xlfn.XLOOKUP(Sheet1[[#This Row],[day_id]],calendar!A310,calendar!J310)</f>
        <v>No Event</v>
      </c>
      <c r="J310" t="str">
        <f>_xlfn.XLOOKUP(Sheet1[[#This Row],[day_id]],calendar!A310,calendar!K310)</f>
        <v>No Event Type</v>
      </c>
      <c r="K310">
        <f>_xlfn.XLOOKUP(Sheet1[[#This Row],[day_id]],calendar!A310,calendar!I310)</f>
        <v>1</v>
      </c>
    </row>
    <row r="311" spans="1:11" x14ac:dyDescent="0.2">
      <c r="A311" t="s">
        <v>368</v>
      </c>
      <c r="B311" t="s">
        <v>369</v>
      </c>
      <c r="C311" t="s">
        <v>311</v>
      </c>
      <c r="D311">
        <v>9</v>
      </c>
      <c r="E311" s="1">
        <f>_xlfn.XLOOKUP(Sheet1[[#This Row],[day_id]],calendar!A311,calendar!B311)</f>
        <v>40881</v>
      </c>
      <c r="F311" t="str">
        <f>_xlfn.XLOOKUP(Sheet1[[#This Row],[day_id]],calendar!A311,calendar!C311)</f>
        <v>Sunday</v>
      </c>
      <c r="G311">
        <f>_xlfn.XLOOKUP(Sheet1[[#This Row],[day_id]],calendar!A311,calendar!E311)</f>
        <v>12</v>
      </c>
      <c r="H311">
        <f>_xlfn.XLOOKUP(Sheet1[[#This Row],[day_id]],calendar!A311,calendar!F311)</f>
        <v>2011</v>
      </c>
      <c r="I311" t="str">
        <f>_xlfn.XLOOKUP(Sheet1[[#This Row],[day_id]],calendar!A311,calendar!J311)</f>
        <v>No Event</v>
      </c>
      <c r="J311" t="str">
        <f>_xlfn.XLOOKUP(Sheet1[[#This Row],[day_id]],calendar!A311,calendar!K311)</f>
        <v>No Event Type</v>
      </c>
      <c r="K311">
        <f>_xlfn.XLOOKUP(Sheet1[[#This Row],[day_id]],calendar!A311,calendar!I311)</f>
        <v>1</v>
      </c>
    </row>
    <row r="312" spans="1:11" x14ac:dyDescent="0.2">
      <c r="A312" t="s">
        <v>368</v>
      </c>
      <c r="B312" t="s">
        <v>369</v>
      </c>
      <c r="C312" t="s">
        <v>312</v>
      </c>
      <c r="D312">
        <v>8</v>
      </c>
      <c r="E312" s="1">
        <f>_xlfn.XLOOKUP(Sheet1[[#This Row],[day_id]],calendar!A312,calendar!B312)</f>
        <v>40882</v>
      </c>
      <c r="F312" t="str">
        <f>_xlfn.XLOOKUP(Sheet1[[#This Row],[day_id]],calendar!A312,calendar!C312)</f>
        <v>Monday</v>
      </c>
      <c r="G312">
        <f>_xlfn.XLOOKUP(Sheet1[[#This Row],[day_id]],calendar!A312,calendar!E312)</f>
        <v>12</v>
      </c>
      <c r="H312">
        <f>_xlfn.XLOOKUP(Sheet1[[#This Row],[day_id]],calendar!A312,calendar!F312)</f>
        <v>2011</v>
      </c>
      <c r="I312" t="str">
        <f>_xlfn.XLOOKUP(Sheet1[[#This Row],[day_id]],calendar!A312,calendar!J312)</f>
        <v>No Event</v>
      </c>
      <c r="J312" t="str">
        <f>_xlfn.XLOOKUP(Sheet1[[#This Row],[day_id]],calendar!A312,calendar!K312)</f>
        <v>No Event Type</v>
      </c>
      <c r="K312">
        <f>_xlfn.XLOOKUP(Sheet1[[#This Row],[day_id]],calendar!A312,calendar!I312)</f>
        <v>1</v>
      </c>
    </row>
    <row r="313" spans="1:11" x14ac:dyDescent="0.2">
      <c r="A313" t="s">
        <v>368</v>
      </c>
      <c r="B313" t="s">
        <v>369</v>
      </c>
      <c r="C313" t="s">
        <v>313</v>
      </c>
      <c r="D313">
        <v>5</v>
      </c>
      <c r="E313" s="1">
        <f>_xlfn.XLOOKUP(Sheet1[[#This Row],[day_id]],calendar!A313,calendar!B313)</f>
        <v>40883</v>
      </c>
      <c r="F313" t="str">
        <f>_xlfn.XLOOKUP(Sheet1[[#This Row],[day_id]],calendar!A313,calendar!C313)</f>
        <v>Tuesday</v>
      </c>
      <c r="G313">
        <f>_xlfn.XLOOKUP(Sheet1[[#This Row],[day_id]],calendar!A313,calendar!E313)</f>
        <v>12</v>
      </c>
      <c r="H313">
        <f>_xlfn.XLOOKUP(Sheet1[[#This Row],[day_id]],calendar!A313,calendar!F313)</f>
        <v>2011</v>
      </c>
      <c r="I313" t="str">
        <f>_xlfn.XLOOKUP(Sheet1[[#This Row],[day_id]],calendar!A313,calendar!J313)</f>
        <v>No Event</v>
      </c>
      <c r="J313" t="str">
        <f>_xlfn.XLOOKUP(Sheet1[[#This Row],[day_id]],calendar!A313,calendar!K313)</f>
        <v>No Event Type</v>
      </c>
      <c r="K313">
        <f>_xlfn.XLOOKUP(Sheet1[[#This Row],[day_id]],calendar!A313,calendar!I313)</f>
        <v>1</v>
      </c>
    </row>
    <row r="314" spans="1:11" x14ac:dyDescent="0.2">
      <c r="A314" t="s">
        <v>368</v>
      </c>
      <c r="B314" t="s">
        <v>369</v>
      </c>
      <c r="C314" t="s">
        <v>314</v>
      </c>
      <c r="D314">
        <v>5</v>
      </c>
      <c r="E314" s="1">
        <f>_xlfn.XLOOKUP(Sheet1[[#This Row],[day_id]],calendar!A314,calendar!B314)</f>
        <v>40884</v>
      </c>
      <c r="F314" t="str">
        <f>_xlfn.XLOOKUP(Sheet1[[#This Row],[day_id]],calendar!A314,calendar!C314)</f>
        <v>Wednesday</v>
      </c>
      <c r="G314">
        <f>_xlfn.XLOOKUP(Sheet1[[#This Row],[day_id]],calendar!A314,calendar!E314)</f>
        <v>12</v>
      </c>
      <c r="H314">
        <f>_xlfn.XLOOKUP(Sheet1[[#This Row],[day_id]],calendar!A314,calendar!F314)</f>
        <v>2011</v>
      </c>
      <c r="I314" t="str">
        <f>_xlfn.XLOOKUP(Sheet1[[#This Row],[day_id]],calendar!A314,calendar!J314)</f>
        <v>No Event</v>
      </c>
      <c r="J314" t="str">
        <f>_xlfn.XLOOKUP(Sheet1[[#This Row],[day_id]],calendar!A314,calendar!K314)</f>
        <v>No Event Type</v>
      </c>
      <c r="K314">
        <f>_xlfn.XLOOKUP(Sheet1[[#This Row],[day_id]],calendar!A314,calendar!I314)</f>
        <v>1</v>
      </c>
    </row>
    <row r="315" spans="1:11" x14ac:dyDescent="0.2">
      <c r="A315" t="s">
        <v>368</v>
      </c>
      <c r="B315" t="s">
        <v>369</v>
      </c>
      <c r="C315" t="s">
        <v>315</v>
      </c>
      <c r="D315">
        <v>3</v>
      </c>
      <c r="E315" s="1">
        <f>_xlfn.XLOOKUP(Sheet1[[#This Row],[day_id]],calendar!A315,calendar!B315)</f>
        <v>40885</v>
      </c>
      <c r="F315" t="str">
        <f>_xlfn.XLOOKUP(Sheet1[[#This Row],[day_id]],calendar!A315,calendar!C315)</f>
        <v>Thursday</v>
      </c>
      <c r="G315">
        <f>_xlfn.XLOOKUP(Sheet1[[#This Row],[day_id]],calendar!A315,calendar!E315)</f>
        <v>12</v>
      </c>
      <c r="H315">
        <f>_xlfn.XLOOKUP(Sheet1[[#This Row],[day_id]],calendar!A315,calendar!F315)</f>
        <v>2011</v>
      </c>
      <c r="I315" t="str">
        <f>_xlfn.XLOOKUP(Sheet1[[#This Row],[day_id]],calendar!A315,calendar!J315)</f>
        <v>No Event</v>
      </c>
      <c r="J315" t="str">
        <f>_xlfn.XLOOKUP(Sheet1[[#This Row],[day_id]],calendar!A315,calendar!K315)</f>
        <v>No Event Type</v>
      </c>
      <c r="K315">
        <f>_xlfn.XLOOKUP(Sheet1[[#This Row],[day_id]],calendar!A315,calendar!I315)</f>
        <v>1</v>
      </c>
    </row>
    <row r="316" spans="1:11" x14ac:dyDescent="0.2">
      <c r="A316" t="s">
        <v>368</v>
      </c>
      <c r="B316" t="s">
        <v>369</v>
      </c>
      <c r="C316" t="s">
        <v>316</v>
      </c>
      <c r="D316">
        <v>20</v>
      </c>
      <c r="E316" s="1">
        <f>_xlfn.XLOOKUP(Sheet1[[#This Row],[day_id]],calendar!A316,calendar!B316)</f>
        <v>40886</v>
      </c>
      <c r="F316" t="str">
        <f>_xlfn.XLOOKUP(Sheet1[[#This Row],[day_id]],calendar!A316,calendar!C316)</f>
        <v>Friday</v>
      </c>
      <c r="G316">
        <f>_xlfn.XLOOKUP(Sheet1[[#This Row],[day_id]],calendar!A316,calendar!E316)</f>
        <v>12</v>
      </c>
      <c r="H316">
        <f>_xlfn.XLOOKUP(Sheet1[[#This Row],[day_id]],calendar!A316,calendar!F316)</f>
        <v>2011</v>
      </c>
      <c r="I316" t="str">
        <f>_xlfn.XLOOKUP(Sheet1[[#This Row],[day_id]],calendar!A316,calendar!J316)</f>
        <v>No Event</v>
      </c>
      <c r="J316" t="str">
        <f>_xlfn.XLOOKUP(Sheet1[[#This Row],[day_id]],calendar!A316,calendar!K316)</f>
        <v>No Event Type</v>
      </c>
      <c r="K316">
        <f>_xlfn.XLOOKUP(Sheet1[[#This Row],[day_id]],calendar!A316,calendar!I316)</f>
        <v>1</v>
      </c>
    </row>
    <row r="317" spans="1:11" x14ac:dyDescent="0.2">
      <c r="A317" t="s">
        <v>368</v>
      </c>
      <c r="B317" t="s">
        <v>369</v>
      </c>
      <c r="C317" t="s">
        <v>317</v>
      </c>
      <c r="D317">
        <v>14</v>
      </c>
      <c r="E317" s="1">
        <f>_xlfn.XLOOKUP(Sheet1[[#This Row],[day_id]],calendar!A317,calendar!B317)</f>
        <v>40887</v>
      </c>
      <c r="F317" t="str">
        <f>_xlfn.XLOOKUP(Sheet1[[#This Row],[day_id]],calendar!A317,calendar!C317)</f>
        <v>Saturday</v>
      </c>
      <c r="G317">
        <f>_xlfn.XLOOKUP(Sheet1[[#This Row],[day_id]],calendar!A317,calendar!E317)</f>
        <v>12</v>
      </c>
      <c r="H317">
        <f>_xlfn.XLOOKUP(Sheet1[[#This Row],[day_id]],calendar!A317,calendar!F317)</f>
        <v>2011</v>
      </c>
      <c r="I317" t="str">
        <f>_xlfn.XLOOKUP(Sheet1[[#This Row],[day_id]],calendar!A317,calendar!J317)</f>
        <v>No Event</v>
      </c>
      <c r="J317" t="str">
        <f>_xlfn.XLOOKUP(Sheet1[[#This Row],[day_id]],calendar!A317,calendar!K317)</f>
        <v>No Event Type</v>
      </c>
      <c r="K317">
        <f>_xlfn.XLOOKUP(Sheet1[[#This Row],[day_id]],calendar!A317,calendar!I317)</f>
        <v>1</v>
      </c>
    </row>
    <row r="318" spans="1:11" x14ac:dyDescent="0.2">
      <c r="A318" t="s">
        <v>368</v>
      </c>
      <c r="B318" t="s">
        <v>369</v>
      </c>
      <c r="C318" t="s">
        <v>318</v>
      </c>
      <c r="D318">
        <v>36</v>
      </c>
      <c r="E318" s="1">
        <f>_xlfn.XLOOKUP(Sheet1[[#This Row],[day_id]],calendar!A318,calendar!B318)</f>
        <v>40888</v>
      </c>
      <c r="F318" t="str">
        <f>_xlfn.XLOOKUP(Sheet1[[#This Row],[day_id]],calendar!A318,calendar!C318)</f>
        <v>Sunday</v>
      </c>
      <c r="G318">
        <f>_xlfn.XLOOKUP(Sheet1[[#This Row],[day_id]],calendar!A318,calendar!E318)</f>
        <v>12</v>
      </c>
      <c r="H318">
        <f>_xlfn.XLOOKUP(Sheet1[[#This Row],[day_id]],calendar!A318,calendar!F318)</f>
        <v>2011</v>
      </c>
      <c r="I318" t="str">
        <f>_xlfn.XLOOKUP(Sheet1[[#This Row],[day_id]],calendar!A318,calendar!J318)</f>
        <v>No Event</v>
      </c>
      <c r="J318" t="str">
        <f>_xlfn.XLOOKUP(Sheet1[[#This Row],[day_id]],calendar!A318,calendar!K318)</f>
        <v>No Event Type</v>
      </c>
      <c r="K318">
        <f>_xlfn.XLOOKUP(Sheet1[[#This Row],[day_id]],calendar!A318,calendar!I318)</f>
        <v>0</v>
      </c>
    </row>
    <row r="319" spans="1:11" x14ac:dyDescent="0.2">
      <c r="A319" t="s">
        <v>368</v>
      </c>
      <c r="B319" t="s">
        <v>369</v>
      </c>
      <c r="C319" t="s">
        <v>319</v>
      </c>
      <c r="D319">
        <v>6</v>
      </c>
      <c r="E319" s="1">
        <f>_xlfn.XLOOKUP(Sheet1[[#This Row],[day_id]],calendar!A319,calendar!B319)</f>
        <v>40889</v>
      </c>
      <c r="F319" t="str">
        <f>_xlfn.XLOOKUP(Sheet1[[#This Row],[day_id]],calendar!A319,calendar!C319)</f>
        <v>Monday</v>
      </c>
      <c r="G319">
        <f>_xlfn.XLOOKUP(Sheet1[[#This Row],[day_id]],calendar!A319,calendar!E319)</f>
        <v>12</v>
      </c>
      <c r="H319">
        <f>_xlfn.XLOOKUP(Sheet1[[#This Row],[day_id]],calendar!A319,calendar!F319)</f>
        <v>2011</v>
      </c>
      <c r="I319" t="str">
        <f>_xlfn.XLOOKUP(Sheet1[[#This Row],[day_id]],calendar!A319,calendar!J319)</f>
        <v>No Event</v>
      </c>
      <c r="J319" t="str">
        <f>_xlfn.XLOOKUP(Sheet1[[#This Row],[day_id]],calendar!A319,calendar!K319)</f>
        <v>No Event Type</v>
      </c>
      <c r="K319">
        <f>_xlfn.XLOOKUP(Sheet1[[#This Row],[day_id]],calendar!A319,calendar!I319)</f>
        <v>0</v>
      </c>
    </row>
    <row r="320" spans="1:11" x14ac:dyDescent="0.2">
      <c r="A320" t="s">
        <v>368</v>
      </c>
      <c r="B320" t="s">
        <v>369</v>
      </c>
      <c r="C320" t="s">
        <v>320</v>
      </c>
      <c r="D320">
        <v>6</v>
      </c>
      <c r="E320" s="1">
        <f>_xlfn.XLOOKUP(Sheet1[[#This Row],[day_id]],calendar!A320,calendar!B320)</f>
        <v>40890</v>
      </c>
      <c r="F320" t="str">
        <f>_xlfn.XLOOKUP(Sheet1[[#This Row],[day_id]],calendar!A320,calendar!C320)</f>
        <v>Tuesday</v>
      </c>
      <c r="G320">
        <f>_xlfn.XLOOKUP(Sheet1[[#This Row],[day_id]],calendar!A320,calendar!E320)</f>
        <v>12</v>
      </c>
      <c r="H320">
        <f>_xlfn.XLOOKUP(Sheet1[[#This Row],[day_id]],calendar!A320,calendar!F320)</f>
        <v>2011</v>
      </c>
      <c r="I320" t="str">
        <f>_xlfn.XLOOKUP(Sheet1[[#This Row],[day_id]],calendar!A320,calendar!J320)</f>
        <v>No Event</v>
      </c>
      <c r="J320" t="str">
        <f>_xlfn.XLOOKUP(Sheet1[[#This Row],[day_id]],calendar!A320,calendar!K320)</f>
        <v>No Event Type</v>
      </c>
      <c r="K320">
        <f>_xlfn.XLOOKUP(Sheet1[[#This Row],[day_id]],calendar!A320,calendar!I320)</f>
        <v>0</v>
      </c>
    </row>
    <row r="321" spans="1:11" x14ac:dyDescent="0.2">
      <c r="A321" t="s">
        <v>368</v>
      </c>
      <c r="B321" t="s">
        <v>369</v>
      </c>
      <c r="C321" t="s">
        <v>321</v>
      </c>
      <c r="D321">
        <v>4</v>
      </c>
      <c r="E321" s="1">
        <f>_xlfn.XLOOKUP(Sheet1[[#This Row],[day_id]],calendar!A321,calendar!B321)</f>
        <v>40891</v>
      </c>
      <c r="F321" t="str">
        <f>_xlfn.XLOOKUP(Sheet1[[#This Row],[day_id]],calendar!A321,calendar!C321)</f>
        <v>Wednesday</v>
      </c>
      <c r="G321">
        <f>_xlfn.XLOOKUP(Sheet1[[#This Row],[day_id]],calendar!A321,calendar!E321)</f>
        <v>12</v>
      </c>
      <c r="H321">
        <f>_xlfn.XLOOKUP(Sheet1[[#This Row],[day_id]],calendar!A321,calendar!F321)</f>
        <v>2011</v>
      </c>
      <c r="I321" t="str">
        <f>_xlfn.XLOOKUP(Sheet1[[#This Row],[day_id]],calendar!A321,calendar!J321)</f>
        <v>No Event</v>
      </c>
      <c r="J321" t="str">
        <f>_xlfn.XLOOKUP(Sheet1[[#This Row],[day_id]],calendar!A321,calendar!K321)</f>
        <v>No Event Type</v>
      </c>
      <c r="K321">
        <f>_xlfn.XLOOKUP(Sheet1[[#This Row],[day_id]],calendar!A321,calendar!I321)</f>
        <v>0</v>
      </c>
    </row>
    <row r="322" spans="1:11" x14ac:dyDescent="0.2">
      <c r="A322" t="s">
        <v>368</v>
      </c>
      <c r="B322" t="s">
        <v>369</v>
      </c>
      <c r="C322" t="s">
        <v>322</v>
      </c>
      <c r="D322">
        <v>1</v>
      </c>
      <c r="E322" s="1">
        <f>_xlfn.XLOOKUP(Sheet1[[#This Row],[day_id]],calendar!A322,calendar!B322)</f>
        <v>40892</v>
      </c>
      <c r="F322" t="str">
        <f>_xlfn.XLOOKUP(Sheet1[[#This Row],[day_id]],calendar!A322,calendar!C322)</f>
        <v>Thursday</v>
      </c>
      <c r="G322">
        <f>_xlfn.XLOOKUP(Sheet1[[#This Row],[day_id]],calendar!A322,calendar!E322)</f>
        <v>12</v>
      </c>
      <c r="H322">
        <f>_xlfn.XLOOKUP(Sheet1[[#This Row],[day_id]],calendar!A322,calendar!F322)</f>
        <v>2011</v>
      </c>
      <c r="I322" t="str">
        <f>_xlfn.XLOOKUP(Sheet1[[#This Row],[day_id]],calendar!A322,calendar!J322)</f>
        <v>No Event</v>
      </c>
      <c r="J322" t="str">
        <f>_xlfn.XLOOKUP(Sheet1[[#This Row],[day_id]],calendar!A322,calendar!K322)</f>
        <v>No Event Type</v>
      </c>
      <c r="K322">
        <f>_xlfn.XLOOKUP(Sheet1[[#This Row],[day_id]],calendar!A322,calendar!I322)</f>
        <v>0</v>
      </c>
    </row>
    <row r="323" spans="1:11" x14ac:dyDescent="0.2">
      <c r="A323" t="s">
        <v>368</v>
      </c>
      <c r="B323" t="s">
        <v>369</v>
      </c>
      <c r="C323" t="s">
        <v>323</v>
      </c>
      <c r="D323">
        <v>4</v>
      </c>
      <c r="E323" s="1">
        <f>_xlfn.XLOOKUP(Sheet1[[#This Row],[day_id]],calendar!A323,calendar!B323)</f>
        <v>40893</v>
      </c>
      <c r="F323" t="str">
        <f>_xlfn.XLOOKUP(Sheet1[[#This Row],[day_id]],calendar!A323,calendar!C323)</f>
        <v>Friday</v>
      </c>
      <c r="G323">
        <f>_xlfn.XLOOKUP(Sheet1[[#This Row],[day_id]],calendar!A323,calendar!E323)</f>
        <v>12</v>
      </c>
      <c r="H323">
        <f>_xlfn.XLOOKUP(Sheet1[[#This Row],[day_id]],calendar!A323,calendar!F323)</f>
        <v>2011</v>
      </c>
      <c r="I323" t="str">
        <f>_xlfn.XLOOKUP(Sheet1[[#This Row],[day_id]],calendar!A323,calendar!J323)</f>
        <v>No Event</v>
      </c>
      <c r="J323" t="str">
        <f>_xlfn.XLOOKUP(Sheet1[[#This Row],[day_id]],calendar!A323,calendar!K323)</f>
        <v>No Event Type</v>
      </c>
      <c r="K323">
        <f>_xlfn.XLOOKUP(Sheet1[[#This Row],[day_id]],calendar!A323,calendar!I323)</f>
        <v>0</v>
      </c>
    </row>
    <row r="324" spans="1:11" x14ac:dyDescent="0.2">
      <c r="A324" t="s">
        <v>368</v>
      </c>
      <c r="B324" t="s">
        <v>369</v>
      </c>
      <c r="C324" t="s">
        <v>324</v>
      </c>
      <c r="D324">
        <v>7</v>
      </c>
      <c r="E324" s="1">
        <f>_xlfn.XLOOKUP(Sheet1[[#This Row],[day_id]],calendar!A324,calendar!B324)</f>
        <v>40894</v>
      </c>
      <c r="F324" t="str">
        <f>_xlfn.XLOOKUP(Sheet1[[#This Row],[day_id]],calendar!A324,calendar!C324)</f>
        <v>Saturday</v>
      </c>
      <c r="G324">
        <f>_xlfn.XLOOKUP(Sheet1[[#This Row],[day_id]],calendar!A324,calendar!E324)</f>
        <v>12</v>
      </c>
      <c r="H324">
        <f>_xlfn.XLOOKUP(Sheet1[[#This Row],[day_id]],calendar!A324,calendar!F324)</f>
        <v>2011</v>
      </c>
      <c r="I324" t="str">
        <f>_xlfn.XLOOKUP(Sheet1[[#This Row],[day_id]],calendar!A324,calendar!J324)</f>
        <v>No Event</v>
      </c>
      <c r="J324" t="str">
        <f>_xlfn.XLOOKUP(Sheet1[[#This Row],[day_id]],calendar!A324,calendar!K324)</f>
        <v>No Event Type</v>
      </c>
      <c r="K324">
        <f>_xlfn.XLOOKUP(Sheet1[[#This Row],[day_id]],calendar!A324,calendar!I324)</f>
        <v>0</v>
      </c>
    </row>
    <row r="325" spans="1:11" x14ac:dyDescent="0.2">
      <c r="A325" t="s">
        <v>368</v>
      </c>
      <c r="B325" t="s">
        <v>369</v>
      </c>
      <c r="C325" t="s">
        <v>325</v>
      </c>
      <c r="D325">
        <v>2</v>
      </c>
      <c r="E325" s="1">
        <f>_xlfn.XLOOKUP(Sheet1[[#This Row],[day_id]],calendar!A325,calendar!B325)</f>
        <v>40895</v>
      </c>
      <c r="F325" t="str">
        <f>_xlfn.XLOOKUP(Sheet1[[#This Row],[day_id]],calendar!A325,calendar!C325)</f>
        <v>Sunday</v>
      </c>
      <c r="G325">
        <f>_xlfn.XLOOKUP(Sheet1[[#This Row],[day_id]],calendar!A325,calendar!E325)</f>
        <v>12</v>
      </c>
      <c r="H325">
        <f>_xlfn.XLOOKUP(Sheet1[[#This Row],[day_id]],calendar!A325,calendar!F325)</f>
        <v>2011</v>
      </c>
      <c r="I325" t="str">
        <f>_xlfn.XLOOKUP(Sheet1[[#This Row],[day_id]],calendar!A325,calendar!J325)</f>
        <v>No Event</v>
      </c>
      <c r="J325" t="str">
        <f>_xlfn.XLOOKUP(Sheet1[[#This Row],[day_id]],calendar!A325,calendar!K325)</f>
        <v>No Event Type</v>
      </c>
      <c r="K325">
        <f>_xlfn.XLOOKUP(Sheet1[[#This Row],[day_id]],calendar!A325,calendar!I325)</f>
        <v>0</v>
      </c>
    </row>
    <row r="326" spans="1:11" x14ac:dyDescent="0.2">
      <c r="A326" t="s">
        <v>368</v>
      </c>
      <c r="B326" t="s">
        <v>369</v>
      </c>
      <c r="C326" t="s">
        <v>326</v>
      </c>
      <c r="D326">
        <v>2</v>
      </c>
      <c r="E326" s="1">
        <f>_xlfn.XLOOKUP(Sheet1[[#This Row],[day_id]],calendar!A326,calendar!B326)</f>
        <v>40896</v>
      </c>
      <c r="F326" t="str">
        <f>_xlfn.XLOOKUP(Sheet1[[#This Row],[day_id]],calendar!A326,calendar!C326)</f>
        <v>Monday</v>
      </c>
      <c r="G326">
        <f>_xlfn.XLOOKUP(Sheet1[[#This Row],[day_id]],calendar!A326,calendar!E326)</f>
        <v>12</v>
      </c>
      <c r="H326">
        <f>_xlfn.XLOOKUP(Sheet1[[#This Row],[day_id]],calendar!A326,calendar!F326)</f>
        <v>2011</v>
      </c>
      <c r="I326" t="str">
        <f>_xlfn.XLOOKUP(Sheet1[[#This Row],[day_id]],calendar!A326,calendar!J326)</f>
        <v>No Event</v>
      </c>
      <c r="J326" t="str">
        <f>_xlfn.XLOOKUP(Sheet1[[#This Row],[day_id]],calendar!A326,calendar!K326)</f>
        <v>No Event Type</v>
      </c>
      <c r="K326">
        <f>_xlfn.XLOOKUP(Sheet1[[#This Row],[day_id]],calendar!A326,calendar!I326)</f>
        <v>0</v>
      </c>
    </row>
    <row r="327" spans="1:11" x14ac:dyDescent="0.2">
      <c r="A327" t="s">
        <v>368</v>
      </c>
      <c r="B327" t="s">
        <v>369</v>
      </c>
      <c r="C327" t="s">
        <v>327</v>
      </c>
      <c r="D327">
        <v>27</v>
      </c>
      <c r="E327" s="1">
        <f>_xlfn.XLOOKUP(Sheet1[[#This Row],[day_id]],calendar!A327,calendar!B327)</f>
        <v>40897</v>
      </c>
      <c r="F327" t="str">
        <f>_xlfn.XLOOKUP(Sheet1[[#This Row],[day_id]],calendar!A327,calendar!C327)</f>
        <v>Tuesday</v>
      </c>
      <c r="G327">
        <f>_xlfn.XLOOKUP(Sheet1[[#This Row],[day_id]],calendar!A327,calendar!E327)</f>
        <v>12</v>
      </c>
      <c r="H327">
        <f>_xlfn.XLOOKUP(Sheet1[[#This Row],[day_id]],calendar!A327,calendar!F327)</f>
        <v>2011</v>
      </c>
      <c r="I327" t="str">
        <f>_xlfn.XLOOKUP(Sheet1[[#This Row],[day_id]],calendar!A327,calendar!J327)</f>
        <v>No Event</v>
      </c>
      <c r="J327" t="str">
        <f>_xlfn.XLOOKUP(Sheet1[[#This Row],[day_id]],calendar!A327,calendar!K327)</f>
        <v>No Event Type</v>
      </c>
      <c r="K327">
        <f>_xlfn.XLOOKUP(Sheet1[[#This Row],[day_id]],calendar!A327,calendar!I327)</f>
        <v>0</v>
      </c>
    </row>
    <row r="328" spans="1:11" x14ac:dyDescent="0.2">
      <c r="A328" t="s">
        <v>368</v>
      </c>
      <c r="B328" t="s">
        <v>369</v>
      </c>
      <c r="C328" t="s">
        <v>328</v>
      </c>
      <c r="D328">
        <v>35</v>
      </c>
      <c r="E328" s="1">
        <f>_xlfn.XLOOKUP(Sheet1[[#This Row],[day_id]],calendar!A328,calendar!B328)</f>
        <v>40898</v>
      </c>
      <c r="F328" t="str">
        <f>_xlfn.XLOOKUP(Sheet1[[#This Row],[day_id]],calendar!A328,calendar!C328)</f>
        <v>Wednesday</v>
      </c>
      <c r="G328">
        <f>_xlfn.XLOOKUP(Sheet1[[#This Row],[day_id]],calendar!A328,calendar!E328)</f>
        <v>12</v>
      </c>
      <c r="H328">
        <f>_xlfn.XLOOKUP(Sheet1[[#This Row],[day_id]],calendar!A328,calendar!F328)</f>
        <v>2011</v>
      </c>
      <c r="I328" t="str">
        <f>_xlfn.XLOOKUP(Sheet1[[#This Row],[day_id]],calendar!A328,calendar!J328)</f>
        <v>No Event</v>
      </c>
      <c r="J328" t="str">
        <f>_xlfn.XLOOKUP(Sheet1[[#This Row],[day_id]],calendar!A328,calendar!K328)</f>
        <v>No Event Type</v>
      </c>
      <c r="K328">
        <f>_xlfn.XLOOKUP(Sheet1[[#This Row],[day_id]],calendar!A328,calendar!I328)</f>
        <v>0</v>
      </c>
    </row>
    <row r="329" spans="1:11" x14ac:dyDescent="0.2">
      <c r="A329" t="s">
        <v>368</v>
      </c>
      <c r="B329" t="s">
        <v>369</v>
      </c>
      <c r="C329" t="s">
        <v>329</v>
      </c>
      <c r="D329">
        <v>26</v>
      </c>
      <c r="E329" s="1">
        <f>_xlfn.XLOOKUP(Sheet1[[#This Row],[day_id]],calendar!A329,calendar!B329)</f>
        <v>40899</v>
      </c>
      <c r="F329" t="str">
        <f>_xlfn.XLOOKUP(Sheet1[[#This Row],[day_id]],calendar!A329,calendar!C329)</f>
        <v>Thursday</v>
      </c>
      <c r="G329">
        <f>_xlfn.XLOOKUP(Sheet1[[#This Row],[day_id]],calendar!A329,calendar!E329)</f>
        <v>12</v>
      </c>
      <c r="H329">
        <f>_xlfn.XLOOKUP(Sheet1[[#This Row],[day_id]],calendar!A329,calendar!F329)</f>
        <v>2011</v>
      </c>
      <c r="I329" t="str">
        <f>_xlfn.XLOOKUP(Sheet1[[#This Row],[day_id]],calendar!A329,calendar!J329)</f>
        <v>No Event</v>
      </c>
      <c r="J329" t="str">
        <f>_xlfn.XLOOKUP(Sheet1[[#This Row],[day_id]],calendar!A329,calendar!K329)</f>
        <v>No Event Type</v>
      </c>
      <c r="K329">
        <f>_xlfn.XLOOKUP(Sheet1[[#This Row],[day_id]],calendar!A329,calendar!I329)</f>
        <v>0</v>
      </c>
    </row>
    <row r="330" spans="1:11" x14ac:dyDescent="0.2">
      <c r="A330" t="s">
        <v>368</v>
      </c>
      <c r="B330" t="s">
        <v>369</v>
      </c>
      <c r="C330" t="s">
        <v>330</v>
      </c>
      <c r="D330">
        <v>13</v>
      </c>
      <c r="E330" s="1">
        <f>_xlfn.XLOOKUP(Sheet1[[#This Row],[day_id]],calendar!A330,calendar!B330)</f>
        <v>40900</v>
      </c>
      <c r="F330" t="str">
        <f>_xlfn.XLOOKUP(Sheet1[[#This Row],[day_id]],calendar!A330,calendar!C330)</f>
        <v>Friday</v>
      </c>
      <c r="G330">
        <f>_xlfn.XLOOKUP(Sheet1[[#This Row],[day_id]],calendar!A330,calendar!E330)</f>
        <v>12</v>
      </c>
      <c r="H330">
        <f>_xlfn.XLOOKUP(Sheet1[[#This Row],[day_id]],calendar!A330,calendar!F330)</f>
        <v>2011</v>
      </c>
      <c r="I330" t="str">
        <f>_xlfn.XLOOKUP(Sheet1[[#This Row],[day_id]],calendar!A330,calendar!J330)</f>
        <v>No Event</v>
      </c>
      <c r="J330" t="str">
        <f>_xlfn.XLOOKUP(Sheet1[[#This Row],[day_id]],calendar!A330,calendar!K330)</f>
        <v>No Event Type</v>
      </c>
      <c r="K330">
        <f>_xlfn.XLOOKUP(Sheet1[[#This Row],[day_id]],calendar!A330,calendar!I330)</f>
        <v>0</v>
      </c>
    </row>
    <row r="331" spans="1:11" x14ac:dyDescent="0.2">
      <c r="A331" t="s">
        <v>368</v>
      </c>
      <c r="B331" t="s">
        <v>369</v>
      </c>
      <c r="C331" t="s">
        <v>331</v>
      </c>
      <c r="D331">
        <v>12</v>
      </c>
      <c r="E331" s="1">
        <f>_xlfn.XLOOKUP(Sheet1[[#This Row],[day_id]],calendar!A331,calendar!B331)</f>
        <v>40901</v>
      </c>
      <c r="F331" t="str">
        <f>_xlfn.XLOOKUP(Sheet1[[#This Row],[day_id]],calendar!A331,calendar!C331)</f>
        <v>Saturday</v>
      </c>
      <c r="G331">
        <f>_xlfn.XLOOKUP(Sheet1[[#This Row],[day_id]],calendar!A331,calendar!E331)</f>
        <v>12</v>
      </c>
      <c r="H331">
        <f>_xlfn.XLOOKUP(Sheet1[[#This Row],[day_id]],calendar!A331,calendar!F331)</f>
        <v>2011</v>
      </c>
      <c r="I331" t="str">
        <f>_xlfn.XLOOKUP(Sheet1[[#This Row],[day_id]],calendar!A331,calendar!J331)</f>
        <v>No Event</v>
      </c>
      <c r="J331" t="str">
        <f>_xlfn.XLOOKUP(Sheet1[[#This Row],[day_id]],calendar!A331,calendar!K331)</f>
        <v>No Event Type</v>
      </c>
      <c r="K331">
        <f>_xlfn.XLOOKUP(Sheet1[[#This Row],[day_id]],calendar!A331,calendar!I331)</f>
        <v>0</v>
      </c>
    </row>
    <row r="332" spans="1:11" x14ac:dyDescent="0.2">
      <c r="A332" t="s">
        <v>368</v>
      </c>
      <c r="B332" t="s">
        <v>369</v>
      </c>
      <c r="C332" t="s">
        <v>332</v>
      </c>
      <c r="D332">
        <v>0</v>
      </c>
      <c r="E332" s="1">
        <f>_xlfn.XLOOKUP(Sheet1[[#This Row],[day_id]],calendar!A332,calendar!B332)</f>
        <v>40902</v>
      </c>
      <c r="F332" t="str">
        <f>_xlfn.XLOOKUP(Sheet1[[#This Row],[day_id]],calendar!A332,calendar!C332)</f>
        <v>Sunday</v>
      </c>
      <c r="G332">
        <f>_xlfn.XLOOKUP(Sheet1[[#This Row],[day_id]],calendar!A332,calendar!E332)</f>
        <v>12</v>
      </c>
      <c r="H332">
        <f>_xlfn.XLOOKUP(Sheet1[[#This Row],[day_id]],calendar!A332,calendar!F332)</f>
        <v>2011</v>
      </c>
      <c r="I332" t="str">
        <f>_xlfn.XLOOKUP(Sheet1[[#This Row],[day_id]],calendar!A332,calendar!J332)</f>
        <v>Christmas</v>
      </c>
      <c r="J332" t="str">
        <f>_xlfn.XLOOKUP(Sheet1[[#This Row],[day_id]],calendar!A332,calendar!K332)</f>
        <v>National</v>
      </c>
      <c r="K332">
        <f>_xlfn.XLOOKUP(Sheet1[[#This Row],[day_id]],calendar!A332,calendar!I332)</f>
        <v>0</v>
      </c>
    </row>
    <row r="333" spans="1:11" x14ac:dyDescent="0.2">
      <c r="A333" t="s">
        <v>368</v>
      </c>
      <c r="B333" t="s">
        <v>369</v>
      </c>
      <c r="C333" t="s">
        <v>333</v>
      </c>
      <c r="D333">
        <v>2</v>
      </c>
      <c r="E333" s="1">
        <f>_xlfn.XLOOKUP(Sheet1[[#This Row],[day_id]],calendar!A333,calendar!B333)</f>
        <v>40903</v>
      </c>
      <c r="F333" t="str">
        <f>_xlfn.XLOOKUP(Sheet1[[#This Row],[day_id]],calendar!A333,calendar!C333)</f>
        <v>Monday</v>
      </c>
      <c r="G333">
        <f>_xlfn.XLOOKUP(Sheet1[[#This Row],[day_id]],calendar!A333,calendar!E333)</f>
        <v>12</v>
      </c>
      <c r="H333">
        <f>_xlfn.XLOOKUP(Sheet1[[#This Row],[day_id]],calendar!A333,calendar!F333)</f>
        <v>2011</v>
      </c>
      <c r="I333" t="str">
        <f>_xlfn.XLOOKUP(Sheet1[[#This Row],[day_id]],calendar!A333,calendar!J333)</f>
        <v>No Event</v>
      </c>
      <c r="J333" t="str">
        <f>_xlfn.XLOOKUP(Sheet1[[#This Row],[day_id]],calendar!A333,calendar!K333)</f>
        <v>No Event Type</v>
      </c>
      <c r="K333">
        <f>_xlfn.XLOOKUP(Sheet1[[#This Row],[day_id]],calendar!A333,calendar!I333)</f>
        <v>0</v>
      </c>
    </row>
    <row r="334" spans="1:11" x14ac:dyDescent="0.2">
      <c r="A334" t="s">
        <v>368</v>
      </c>
      <c r="B334" t="s">
        <v>369</v>
      </c>
      <c r="C334" t="s">
        <v>334</v>
      </c>
      <c r="D334">
        <v>6</v>
      </c>
      <c r="E334" s="1">
        <f>_xlfn.XLOOKUP(Sheet1[[#This Row],[day_id]],calendar!A334,calendar!B334)</f>
        <v>40904</v>
      </c>
      <c r="F334" t="str">
        <f>_xlfn.XLOOKUP(Sheet1[[#This Row],[day_id]],calendar!A334,calendar!C334)</f>
        <v>Tuesday</v>
      </c>
      <c r="G334">
        <f>_xlfn.XLOOKUP(Sheet1[[#This Row],[day_id]],calendar!A334,calendar!E334)</f>
        <v>12</v>
      </c>
      <c r="H334">
        <f>_xlfn.XLOOKUP(Sheet1[[#This Row],[day_id]],calendar!A334,calendar!F334)</f>
        <v>2011</v>
      </c>
      <c r="I334" t="str">
        <f>_xlfn.XLOOKUP(Sheet1[[#This Row],[day_id]],calendar!A334,calendar!J334)</f>
        <v>No Event</v>
      </c>
      <c r="J334" t="str">
        <f>_xlfn.XLOOKUP(Sheet1[[#This Row],[day_id]],calendar!A334,calendar!K334)</f>
        <v>No Event Type</v>
      </c>
      <c r="K334">
        <f>_xlfn.XLOOKUP(Sheet1[[#This Row],[day_id]],calendar!A334,calendar!I334)</f>
        <v>0</v>
      </c>
    </row>
    <row r="335" spans="1:11" x14ac:dyDescent="0.2">
      <c r="A335" t="s">
        <v>368</v>
      </c>
      <c r="B335" t="s">
        <v>369</v>
      </c>
      <c r="C335" t="s">
        <v>335</v>
      </c>
      <c r="D335">
        <v>1</v>
      </c>
      <c r="E335" s="1">
        <f>_xlfn.XLOOKUP(Sheet1[[#This Row],[day_id]],calendar!A335,calendar!B335)</f>
        <v>40905</v>
      </c>
      <c r="F335" t="str">
        <f>_xlfn.XLOOKUP(Sheet1[[#This Row],[day_id]],calendar!A335,calendar!C335)</f>
        <v>Wednesday</v>
      </c>
      <c r="G335">
        <f>_xlfn.XLOOKUP(Sheet1[[#This Row],[day_id]],calendar!A335,calendar!E335)</f>
        <v>12</v>
      </c>
      <c r="H335">
        <f>_xlfn.XLOOKUP(Sheet1[[#This Row],[day_id]],calendar!A335,calendar!F335)</f>
        <v>2011</v>
      </c>
      <c r="I335" t="str">
        <f>_xlfn.XLOOKUP(Sheet1[[#This Row],[day_id]],calendar!A335,calendar!J335)</f>
        <v>Chanukah End</v>
      </c>
      <c r="J335" t="str">
        <f>_xlfn.XLOOKUP(Sheet1[[#This Row],[day_id]],calendar!A335,calendar!K335)</f>
        <v>Religious</v>
      </c>
      <c r="K335">
        <f>_xlfn.XLOOKUP(Sheet1[[#This Row],[day_id]],calendar!A335,calendar!I335)</f>
        <v>0</v>
      </c>
    </row>
    <row r="336" spans="1:11" x14ac:dyDescent="0.2">
      <c r="A336" t="s">
        <v>368</v>
      </c>
      <c r="B336" t="s">
        <v>369</v>
      </c>
      <c r="C336" t="s">
        <v>336</v>
      </c>
      <c r="D336">
        <v>4</v>
      </c>
      <c r="E336" s="1">
        <f>_xlfn.XLOOKUP(Sheet1[[#This Row],[day_id]],calendar!A336,calendar!B336)</f>
        <v>40906</v>
      </c>
      <c r="F336" t="str">
        <f>_xlfn.XLOOKUP(Sheet1[[#This Row],[day_id]],calendar!A336,calendar!C336)</f>
        <v>Thursday</v>
      </c>
      <c r="G336">
        <f>_xlfn.XLOOKUP(Sheet1[[#This Row],[day_id]],calendar!A336,calendar!E336)</f>
        <v>12</v>
      </c>
      <c r="H336">
        <f>_xlfn.XLOOKUP(Sheet1[[#This Row],[day_id]],calendar!A336,calendar!F336)</f>
        <v>2011</v>
      </c>
      <c r="I336" t="str">
        <f>_xlfn.XLOOKUP(Sheet1[[#This Row],[day_id]],calendar!A336,calendar!J336)</f>
        <v>No Event</v>
      </c>
      <c r="J336" t="str">
        <f>_xlfn.XLOOKUP(Sheet1[[#This Row],[day_id]],calendar!A336,calendar!K336)</f>
        <v>No Event Type</v>
      </c>
      <c r="K336">
        <f>_xlfn.XLOOKUP(Sheet1[[#This Row],[day_id]],calendar!A336,calendar!I336)</f>
        <v>0</v>
      </c>
    </row>
    <row r="337" spans="1:11" x14ac:dyDescent="0.2">
      <c r="A337" t="s">
        <v>368</v>
      </c>
      <c r="B337" t="s">
        <v>369</v>
      </c>
      <c r="C337" t="s">
        <v>337</v>
      </c>
      <c r="D337">
        <v>1</v>
      </c>
      <c r="E337" s="1">
        <f>_xlfn.XLOOKUP(Sheet1[[#This Row],[day_id]],calendar!A337,calendar!B337)</f>
        <v>40907</v>
      </c>
      <c r="F337" t="str">
        <f>_xlfn.XLOOKUP(Sheet1[[#This Row],[day_id]],calendar!A337,calendar!C337)</f>
        <v>Friday</v>
      </c>
      <c r="G337">
        <f>_xlfn.XLOOKUP(Sheet1[[#This Row],[day_id]],calendar!A337,calendar!E337)</f>
        <v>12</v>
      </c>
      <c r="H337">
        <f>_xlfn.XLOOKUP(Sheet1[[#This Row],[day_id]],calendar!A337,calendar!F337)</f>
        <v>2011</v>
      </c>
      <c r="I337" t="str">
        <f>_xlfn.XLOOKUP(Sheet1[[#This Row],[day_id]],calendar!A337,calendar!J337)</f>
        <v>No Event</v>
      </c>
      <c r="J337" t="str">
        <f>_xlfn.XLOOKUP(Sheet1[[#This Row],[day_id]],calendar!A337,calendar!K337)</f>
        <v>No Event Type</v>
      </c>
      <c r="K337">
        <f>_xlfn.XLOOKUP(Sheet1[[#This Row],[day_id]],calendar!A337,calendar!I337)</f>
        <v>0</v>
      </c>
    </row>
    <row r="338" spans="1:11" x14ac:dyDescent="0.2">
      <c r="A338" t="s">
        <v>368</v>
      </c>
      <c r="B338" t="s">
        <v>369</v>
      </c>
      <c r="C338" t="s">
        <v>338</v>
      </c>
      <c r="D338">
        <v>54</v>
      </c>
      <c r="E338" s="1">
        <f>_xlfn.XLOOKUP(Sheet1[[#This Row],[day_id]],calendar!A338,calendar!B338)</f>
        <v>40908</v>
      </c>
      <c r="F338" t="str">
        <f>_xlfn.XLOOKUP(Sheet1[[#This Row],[day_id]],calendar!A338,calendar!C338)</f>
        <v>Saturday</v>
      </c>
      <c r="G338">
        <f>_xlfn.XLOOKUP(Sheet1[[#This Row],[day_id]],calendar!A338,calendar!E338)</f>
        <v>12</v>
      </c>
      <c r="H338">
        <f>_xlfn.XLOOKUP(Sheet1[[#This Row],[day_id]],calendar!A338,calendar!F338)</f>
        <v>2011</v>
      </c>
      <c r="I338" t="str">
        <f>_xlfn.XLOOKUP(Sheet1[[#This Row],[day_id]],calendar!A338,calendar!J338)</f>
        <v>No Event</v>
      </c>
      <c r="J338" t="str">
        <f>_xlfn.XLOOKUP(Sheet1[[#This Row],[day_id]],calendar!A338,calendar!K338)</f>
        <v>No Event Type</v>
      </c>
      <c r="K338">
        <f>_xlfn.XLOOKUP(Sheet1[[#This Row],[day_id]],calendar!A338,calendar!I338)</f>
        <v>0</v>
      </c>
    </row>
    <row r="339" spans="1:11" x14ac:dyDescent="0.2">
      <c r="A339" t="s">
        <v>368</v>
      </c>
      <c r="B339" t="s">
        <v>369</v>
      </c>
      <c r="C339" t="s">
        <v>339</v>
      </c>
      <c r="D339">
        <v>33</v>
      </c>
      <c r="E339" s="1">
        <f>_xlfn.XLOOKUP(Sheet1[[#This Row],[day_id]],calendar!A339,calendar!B339)</f>
        <v>40909</v>
      </c>
      <c r="F339" t="str">
        <f>_xlfn.XLOOKUP(Sheet1[[#This Row],[day_id]],calendar!A339,calendar!C339)</f>
        <v>Sunday</v>
      </c>
      <c r="G339">
        <f>_xlfn.XLOOKUP(Sheet1[[#This Row],[day_id]],calendar!A339,calendar!E339)</f>
        <v>1</v>
      </c>
      <c r="H339">
        <f>_xlfn.XLOOKUP(Sheet1[[#This Row],[day_id]],calendar!A339,calendar!F339)</f>
        <v>2012</v>
      </c>
      <c r="I339" t="str">
        <f>_xlfn.XLOOKUP(Sheet1[[#This Row],[day_id]],calendar!A339,calendar!J339)</f>
        <v>NewYear</v>
      </c>
      <c r="J339" t="str">
        <f>_xlfn.XLOOKUP(Sheet1[[#This Row],[day_id]],calendar!A339,calendar!K339)</f>
        <v>National</v>
      </c>
      <c r="K339">
        <f>_xlfn.XLOOKUP(Sheet1[[#This Row],[day_id]],calendar!A339,calendar!I339)</f>
        <v>1</v>
      </c>
    </row>
    <row r="340" spans="1:11" x14ac:dyDescent="0.2">
      <c r="A340" t="s">
        <v>368</v>
      </c>
      <c r="B340" t="s">
        <v>369</v>
      </c>
      <c r="C340" t="s">
        <v>340</v>
      </c>
      <c r="D340">
        <v>41</v>
      </c>
      <c r="E340" s="1">
        <f>_xlfn.XLOOKUP(Sheet1[[#This Row],[day_id]],calendar!A340,calendar!B340)</f>
        <v>40910</v>
      </c>
      <c r="F340" t="str">
        <f>_xlfn.XLOOKUP(Sheet1[[#This Row],[day_id]],calendar!A340,calendar!C340)</f>
        <v>Monday</v>
      </c>
      <c r="G340">
        <f>_xlfn.XLOOKUP(Sheet1[[#This Row],[day_id]],calendar!A340,calendar!E340)</f>
        <v>1</v>
      </c>
      <c r="H340">
        <f>_xlfn.XLOOKUP(Sheet1[[#This Row],[day_id]],calendar!A340,calendar!F340)</f>
        <v>2012</v>
      </c>
      <c r="I340" t="str">
        <f>_xlfn.XLOOKUP(Sheet1[[#This Row],[day_id]],calendar!A340,calendar!J340)</f>
        <v>No Event</v>
      </c>
      <c r="J340" t="str">
        <f>_xlfn.XLOOKUP(Sheet1[[#This Row],[day_id]],calendar!A340,calendar!K340)</f>
        <v>No Event Type</v>
      </c>
      <c r="K340">
        <f>_xlfn.XLOOKUP(Sheet1[[#This Row],[day_id]],calendar!A340,calendar!I340)</f>
        <v>1</v>
      </c>
    </row>
    <row r="341" spans="1:11" x14ac:dyDescent="0.2">
      <c r="A341" t="s">
        <v>368</v>
      </c>
      <c r="B341" t="s">
        <v>369</v>
      </c>
      <c r="C341" t="s">
        <v>341</v>
      </c>
      <c r="D341">
        <v>38</v>
      </c>
      <c r="E341" s="1">
        <f>_xlfn.XLOOKUP(Sheet1[[#This Row],[day_id]],calendar!A341,calendar!B341)</f>
        <v>40911</v>
      </c>
      <c r="F341" t="str">
        <f>_xlfn.XLOOKUP(Sheet1[[#This Row],[day_id]],calendar!A341,calendar!C341)</f>
        <v>Tuesday</v>
      </c>
      <c r="G341">
        <f>_xlfn.XLOOKUP(Sheet1[[#This Row],[day_id]],calendar!A341,calendar!E341)</f>
        <v>1</v>
      </c>
      <c r="H341">
        <f>_xlfn.XLOOKUP(Sheet1[[#This Row],[day_id]],calendar!A341,calendar!F341)</f>
        <v>2012</v>
      </c>
      <c r="I341" t="str">
        <f>_xlfn.XLOOKUP(Sheet1[[#This Row],[day_id]],calendar!A341,calendar!J341)</f>
        <v>No Event</v>
      </c>
      <c r="J341" t="str">
        <f>_xlfn.XLOOKUP(Sheet1[[#This Row],[day_id]],calendar!A341,calendar!K341)</f>
        <v>No Event Type</v>
      </c>
      <c r="K341">
        <f>_xlfn.XLOOKUP(Sheet1[[#This Row],[day_id]],calendar!A341,calendar!I341)</f>
        <v>1</v>
      </c>
    </row>
    <row r="342" spans="1:11" x14ac:dyDescent="0.2">
      <c r="A342" t="s">
        <v>368</v>
      </c>
      <c r="B342" t="s">
        <v>369</v>
      </c>
      <c r="C342" t="s">
        <v>342</v>
      </c>
      <c r="D342">
        <v>25</v>
      </c>
      <c r="E342" s="1">
        <f>_xlfn.XLOOKUP(Sheet1[[#This Row],[day_id]],calendar!A342,calendar!B342)</f>
        <v>40912</v>
      </c>
      <c r="F342" t="str">
        <f>_xlfn.XLOOKUP(Sheet1[[#This Row],[day_id]],calendar!A342,calendar!C342)</f>
        <v>Wednesday</v>
      </c>
      <c r="G342">
        <f>_xlfn.XLOOKUP(Sheet1[[#This Row],[day_id]],calendar!A342,calendar!E342)</f>
        <v>1</v>
      </c>
      <c r="H342">
        <f>_xlfn.XLOOKUP(Sheet1[[#This Row],[day_id]],calendar!A342,calendar!F342)</f>
        <v>2012</v>
      </c>
      <c r="I342" t="str">
        <f>_xlfn.XLOOKUP(Sheet1[[#This Row],[day_id]],calendar!A342,calendar!J342)</f>
        <v>No Event</v>
      </c>
      <c r="J342" t="str">
        <f>_xlfn.XLOOKUP(Sheet1[[#This Row],[day_id]],calendar!A342,calendar!K342)</f>
        <v>No Event Type</v>
      </c>
      <c r="K342">
        <f>_xlfn.XLOOKUP(Sheet1[[#This Row],[day_id]],calendar!A342,calendar!I342)</f>
        <v>1</v>
      </c>
    </row>
    <row r="343" spans="1:11" x14ac:dyDescent="0.2">
      <c r="A343" t="s">
        <v>368</v>
      </c>
      <c r="B343" t="s">
        <v>369</v>
      </c>
      <c r="C343" t="s">
        <v>343</v>
      </c>
      <c r="D343">
        <v>13</v>
      </c>
      <c r="E343" s="1">
        <f>_xlfn.XLOOKUP(Sheet1[[#This Row],[day_id]],calendar!A343,calendar!B343)</f>
        <v>40913</v>
      </c>
      <c r="F343" t="str">
        <f>_xlfn.XLOOKUP(Sheet1[[#This Row],[day_id]],calendar!A343,calendar!C343)</f>
        <v>Thursday</v>
      </c>
      <c r="G343">
        <f>_xlfn.XLOOKUP(Sheet1[[#This Row],[day_id]],calendar!A343,calendar!E343)</f>
        <v>1</v>
      </c>
      <c r="H343">
        <f>_xlfn.XLOOKUP(Sheet1[[#This Row],[day_id]],calendar!A343,calendar!F343)</f>
        <v>2012</v>
      </c>
      <c r="I343" t="str">
        <f>_xlfn.XLOOKUP(Sheet1[[#This Row],[day_id]],calendar!A343,calendar!J343)</f>
        <v>No Event</v>
      </c>
      <c r="J343" t="str">
        <f>_xlfn.XLOOKUP(Sheet1[[#This Row],[day_id]],calendar!A343,calendar!K343)</f>
        <v>No Event Type</v>
      </c>
      <c r="K343">
        <f>_xlfn.XLOOKUP(Sheet1[[#This Row],[day_id]],calendar!A343,calendar!I343)</f>
        <v>1</v>
      </c>
    </row>
    <row r="344" spans="1:11" x14ac:dyDescent="0.2">
      <c r="A344" t="s">
        <v>368</v>
      </c>
      <c r="B344" t="s">
        <v>369</v>
      </c>
      <c r="C344" t="s">
        <v>344</v>
      </c>
      <c r="D344">
        <v>13</v>
      </c>
      <c r="E344" s="1">
        <f>_xlfn.XLOOKUP(Sheet1[[#This Row],[day_id]],calendar!A344,calendar!B344)</f>
        <v>40914</v>
      </c>
      <c r="F344" t="str">
        <f>_xlfn.XLOOKUP(Sheet1[[#This Row],[day_id]],calendar!A344,calendar!C344)</f>
        <v>Friday</v>
      </c>
      <c r="G344">
        <f>_xlfn.XLOOKUP(Sheet1[[#This Row],[day_id]],calendar!A344,calendar!E344)</f>
        <v>1</v>
      </c>
      <c r="H344">
        <f>_xlfn.XLOOKUP(Sheet1[[#This Row],[day_id]],calendar!A344,calendar!F344)</f>
        <v>2012</v>
      </c>
      <c r="I344" t="str">
        <f>_xlfn.XLOOKUP(Sheet1[[#This Row],[day_id]],calendar!A344,calendar!J344)</f>
        <v>No Event</v>
      </c>
      <c r="J344" t="str">
        <f>_xlfn.XLOOKUP(Sheet1[[#This Row],[day_id]],calendar!A344,calendar!K344)</f>
        <v>No Event Type</v>
      </c>
      <c r="K344">
        <f>_xlfn.XLOOKUP(Sheet1[[#This Row],[day_id]],calendar!A344,calendar!I344)</f>
        <v>1</v>
      </c>
    </row>
    <row r="345" spans="1:11" x14ac:dyDescent="0.2">
      <c r="A345" t="s">
        <v>368</v>
      </c>
      <c r="B345" t="s">
        <v>369</v>
      </c>
      <c r="C345" t="s">
        <v>345</v>
      </c>
      <c r="D345">
        <v>18</v>
      </c>
      <c r="E345" s="1">
        <f>_xlfn.XLOOKUP(Sheet1[[#This Row],[day_id]],calendar!A345,calendar!B345)</f>
        <v>40915</v>
      </c>
      <c r="F345" t="str">
        <f>_xlfn.XLOOKUP(Sheet1[[#This Row],[day_id]],calendar!A345,calendar!C345)</f>
        <v>Saturday</v>
      </c>
      <c r="G345">
        <f>_xlfn.XLOOKUP(Sheet1[[#This Row],[day_id]],calendar!A345,calendar!E345)</f>
        <v>1</v>
      </c>
      <c r="H345">
        <f>_xlfn.XLOOKUP(Sheet1[[#This Row],[day_id]],calendar!A345,calendar!F345)</f>
        <v>2012</v>
      </c>
      <c r="I345" t="str">
        <f>_xlfn.XLOOKUP(Sheet1[[#This Row],[day_id]],calendar!A345,calendar!J345)</f>
        <v>OrthodoxChristmas</v>
      </c>
      <c r="J345" t="str">
        <f>_xlfn.XLOOKUP(Sheet1[[#This Row],[day_id]],calendar!A345,calendar!K345)</f>
        <v>Religious</v>
      </c>
      <c r="K345">
        <f>_xlfn.XLOOKUP(Sheet1[[#This Row],[day_id]],calendar!A345,calendar!I345)</f>
        <v>1</v>
      </c>
    </row>
    <row r="346" spans="1:11" x14ac:dyDescent="0.2">
      <c r="A346" t="s">
        <v>368</v>
      </c>
      <c r="B346" t="s">
        <v>369</v>
      </c>
      <c r="C346" t="s">
        <v>346</v>
      </c>
      <c r="D346">
        <v>18</v>
      </c>
      <c r="E346" s="1">
        <f>_xlfn.XLOOKUP(Sheet1[[#This Row],[day_id]],calendar!A346,calendar!B346)</f>
        <v>40916</v>
      </c>
      <c r="F346" t="str">
        <f>_xlfn.XLOOKUP(Sheet1[[#This Row],[day_id]],calendar!A346,calendar!C346)</f>
        <v>Sunday</v>
      </c>
      <c r="G346">
        <f>_xlfn.XLOOKUP(Sheet1[[#This Row],[day_id]],calendar!A346,calendar!E346)</f>
        <v>1</v>
      </c>
      <c r="H346">
        <f>_xlfn.XLOOKUP(Sheet1[[#This Row],[day_id]],calendar!A346,calendar!F346)</f>
        <v>2012</v>
      </c>
      <c r="I346" t="str">
        <f>_xlfn.XLOOKUP(Sheet1[[#This Row],[day_id]],calendar!A346,calendar!J346)</f>
        <v>No Event</v>
      </c>
      <c r="J346" t="str">
        <f>_xlfn.XLOOKUP(Sheet1[[#This Row],[day_id]],calendar!A346,calendar!K346)</f>
        <v>No Event Type</v>
      </c>
      <c r="K346">
        <f>_xlfn.XLOOKUP(Sheet1[[#This Row],[day_id]],calendar!A346,calendar!I346)</f>
        <v>1</v>
      </c>
    </row>
    <row r="347" spans="1:11" x14ac:dyDescent="0.2">
      <c r="A347" t="s">
        <v>368</v>
      </c>
      <c r="B347" t="s">
        <v>369</v>
      </c>
      <c r="C347" t="s">
        <v>347</v>
      </c>
      <c r="D347">
        <v>20</v>
      </c>
      <c r="E347" s="1">
        <f>_xlfn.XLOOKUP(Sheet1[[#This Row],[day_id]],calendar!A347,calendar!B347)</f>
        <v>40917</v>
      </c>
      <c r="F347" t="str">
        <f>_xlfn.XLOOKUP(Sheet1[[#This Row],[day_id]],calendar!A347,calendar!C347)</f>
        <v>Monday</v>
      </c>
      <c r="G347">
        <f>_xlfn.XLOOKUP(Sheet1[[#This Row],[day_id]],calendar!A347,calendar!E347)</f>
        <v>1</v>
      </c>
      <c r="H347">
        <f>_xlfn.XLOOKUP(Sheet1[[#This Row],[day_id]],calendar!A347,calendar!F347)</f>
        <v>2012</v>
      </c>
      <c r="I347" t="str">
        <f>_xlfn.XLOOKUP(Sheet1[[#This Row],[day_id]],calendar!A347,calendar!J347)</f>
        <v>No Event</v>
      </c>
      <c r="J347" t="str">
        <f>_xlfn.XLOOKUP(Sheet1[[#This Row],[day_id]],calendar!A347,calendar!K347)</f>
        <v>No Event Type</v>
      </c>
      <c r="K347">
        <f>_xlfn.XLOOKUP(Sheet1[[#This Row],[day_id]],calendar!A347,calendar!I347)</f>
        <v>1</v>
      </c>
    </row>
    <row r="348" spans="1:11" x14ac:dyDescent="0.2">
      <c r="A348" t="s">
        <v>368</v>
      </c>
      <c r="B348" t="s">
        <v>369</v>
      </c>
      <c r="C348" t="s">
        <v>348</v>
      </c>
      <c r="D348">
        <v>14</v>
      </c>
      <c r="E348" s="1">
        <f>_xlfn.XLOOKUP(Sheet1[[#This Row],[day_id]],calendar!A348,calendar!B348)</f>
        <v>40918</v>
      </c>
      <c r="F348" t="str">
        <f>_xlfn.XLOOKUP(Sheet1[[#This Row],[day_id]],calendar!A348,calendar!C348)</f>
        <v>Tuesday</v>
      </c>
      <c r="G348">
        <f>_xlfn.XLOOKUP(Sheet1[[#This Row],[day_id]],calendar!A348,calendar!E348)</f>
        <v>1</v>
      </c>
      <c r="H348">
        <f>_xlfn.XLOOKUP(Sheet1[[#This Row],[day_id]],calendar!A348,calendar!F348)</f>
        <v>2012</v>
      </c>
      <c r="I348" t="str">
        <f>_xlfn.XLOOKUP(Sheet1[[#This Row],[day_id]],calendar!A348,calendar!J348)</f>
        <v>No Event</v>
      </c>
      <c r="J348" t="str">
        <f>_xlfn.XLOOKUP(Sheet1[[#This Row],[day_id]],calendar!A348,calendar!K348)</f>
        <v>No Event Type</v>
      </c>
      <c r="K348">
        <f>_xlfn.XLOOKUP(Sheet1[[#This Row],[day_id]],calendar!A348,calendar!I348)</f>
        <v>1</v>
      </c>
    </row>
    <row r="349" spans="1:11" x14ac:dyDescent="0.2">
      <c r="A349" t="s">
        <v>368</v>
      </c>
      <c r="B349" t="s">
        <v>369</v>
      </c>
      <c r="C349" t="s">
        <v>349</v>
      </c>
      <c r="D349">
        <v>23</v>
      </c>
      <c r="E349" s="1">
        <f>_xlfn.XLOOKUP(Sheet1[[#This Row],[day_id]],calendar!A349,calendar!B349)</f>
        <v>40919</v>
      </c>
      <c r="F349" t="str">
        <f>_xlfn.XLOOKUP(Sheet1[[#This Row],[day_id]],calendar!A349,calendar!C349)</f>
        <v>Wednesday</v>
      </c>
      <c r="G349">
        <f>_xlfn.XLOOKUP(Sheet1[[#This Row],[day_id]],calendar!A349,calendar!E349)</f>
        <v>1</v>
      </c>
      <c r="H349">
        <f>_xlfn.XLOOKUP(Sheet1[[#This Row],[day_id]],calendar!A349,calendar!F349)</f>
        <v>2012</v>
      </c>
      <c r="I349" t="str">
        <f>_xlfn.XLOOKUP(Sheet1[[#This Row],[day_id]],calendar!A349,calendar!J349)</f>
        <v>No Event</v>
      </c>
      <c r="J349" t="str">
        <f>_xlfn.XLOOKUP(Sheet1[[#This Row],[day_id]],calendar!A349,calendar!K349)</f>
        <v>No Event Type</v>
      </c>
      <c r="K349">
        <f>_xlfn.XLOOKUP(Sheet1[[#This Row],[day_id]],calendar!A349,calendar!I349)</f>
        <v>0</v>
      </c>
    </row>
    <row r="350" spans="1:11" x14ac:dyDescent="0.2">
      <c r="A350" t="s">
        <v>368</v>
      </c>
      <c r="B350" t="s">
        <v>369</v>
      </c>
      <c r="C350" t="s">
        <v>350</v>
      </c>
      <c r="D350">
        <v>19</v>
      </c>
      <c r="E350" s="1">
        <f>_xlfn.XLOOKUP(Sheet1[[#This Row],[day_id]],calendar!A350,calendar!B350)</f>
        <v>40920</v>
      </c>
      <c r="F350" t="str">
        <f>_xlfn.XLOOKUP(Sheet1[[#This Row],[day_id]],calendar!A350,calendar!C350)</f>
        <v>Thursday</v>
      </c>
      <c r="G350">
        <f>_xlfn.XLOOKUP(Sheet1[[#This Row],[day_id]],calendar!A350,calendar!E350)</f>
        <v>1</v>
      </c>
      <c r="H350">
        <f>_xlfn.XLOOKUP(Sheet1[[#This Row],[day_id]],calendar!A350,calendar!F350)</f>
        <v>2012</v>
      </c>
      <c r="I350" t="str">
        <f>_xlfn.XLOOKUP(Sheet1[[#This Row],[day_id]],calendar!A350,calendar!J350)</f>
        <v>No Event</v>
      </c>
      <c r="J350" t="str">
        <f>_xlfn.XLOOKUP(Sheet1[[#This Row],[day_id]],calendar!A350,calendar!K350)</f>
        <v>No Event Type</v>
      </c>
      <c r="K350">
        <f>_xlfn.XLOOKUP(Sheet1[[#This Row],[day_id]],calendar!A350,calendar!I350)</f>
        <v>0</v>
      </c>
    </row>
    <row r="351" spans="1:11" x14ac:dyDescent="0.2">
      <c r="A351" t="s">
        <v>368</v>
      </c>
      <c r="B351" t="s">
        <v>369</v>
      </c>
      <c r="C351" t="s">
        <v>351</v>
      </c>
      <c r="D351">
        <v>26</v>
      </c>
      <c r="E351" s="1">
        <f>_xlfn.XLOOKUP(Sheet1[[#This Row],[day_id]],calendar!A351,calendar!B351)</f>
        <v>40921</v>
      </c>
      <c r="F351" t="str">
        <f>_xlfn.XLOOKUP(Sheet1[[#This Row],[day_id]],calendar!A351,calendar!C351)</f>
        <v>Friday</v>
      </c>
      <c r="G351">
        <f>_xlfn.XLOOKUP(Sheet1[[#This Row],[day_id]],calendar!A351,calendar!E351)</f>
        <v>1</v>
      </c>
      <c r="H351">
        <f>_xlfn.XLOOKUP(Sheet1[[#This Row],[day_id]],calendar!A351,calendar!F351)</f>
        <v>2012</v>
      </c>
      <c r="I351" t="str">
        <f>_xlfn.XLOOKUP(Sheet1[[#This Row],[day_id]],calendar!A351,calendar!J351)</f>
        <v>No Event</v>
      </c>
      <c r="J351" t="str">
        <f>_xlfn.XLOOKUP(Sheet1[[#This Row],[day_id]],calendar!A351,calendar!K351)</f>
        <v>No Event Type</v>
      </c>
      <c r="K351">
        <f>_xlfn.XLOOKUP(Sheet1[[#This Row],[day_id]],calendar!A351,calendar!I351)</f>
        <v>0</v>
      </c>
    </row>
    <row r="352" spans="1:11" x14ac:dyDescent="0.2">
      <c r="A352" t="s">
        <v>368</v>
      </c>
      <c r="B352" t="s">
        <v>369</v>
      </c>
      <c r="C352" t="s">
        <v>352</v>
      </c>
      <c r="D352">
        <v>68</v>
      </c>
      <c r="E352" s="1">
        <f>_xlfn.XLOOKUP(Sheet1[[#This Row],[day_id]],calendar!A352,calendar!B352)</f>
        <v>40922</v>
      </c>
      <c r="F352" t="str">
        <f>_xlfn.XLOOKUP(Sheet1[[#This Row],[day_id]],calendar!A352,calendar!C352)</f>
        <v>Saturday</v>
      </c>
      <c r="G352">
        <f>_xlfn.XLOOKUP(Sheet1[[#This Row],[day_id]],calendar!A352,calendar!E352)</f>
        <v>1</v>
      </c>
      <c r="H352">
        <f>_xlfn.XLOOKUP(Sheet1[[#This Row],[day_id]],calendar!A352,calendar!F352)</f>
        <v>2012</v>
      </c>
      <c r="I352" t="str">
        <f>_xlfn.XLOOKUP(Sheet1[[#This Row],[day_id]],calendar!A352,calendar!J352)</f>
        <v>No Event</v>
      </c>
      <c r="J352" t="str">
        <f>_xlfn.XLOOKUP(Sheet1[[#This Row],[day_id]],calendar!A352,calendar!K352)</f>
        <v>No Event Type</v>
      </c>
      <c r="K352">
        <f>_xlfn.XLOOKUP(Sheet1[[#This Row],[day_id]],calendar!A352,calendar!I352)</f>
        <v>0</v>
      </c>
    </row>
    <row r="353" spans="1:11" x14ac:dyDescent="0.2">
      <c r="A353" t="s">
        <v>368</v>
      </c>
      <c r="B353" t="s">
        <v>369</v>
      </c>
      <c r="C353" t="s">
        <v>353</v>
      </c>
      <c r="D353">
        <v>28</v>
      </c>
      <c r="E353" s="1">
        <f>_xlfn.XLOOKUP(Sheet1[[#This Row],[day_id]],calendar!A353,calendar!B353)</f>
        <v>40923</v>
      </c>
      <c r="F353" t="str">
        <f>_xlfn.XLOOKUP(Sheet1[[#This Row],[day_id]],calendar!A353,calendar!C353)</f>
        <v>Sunday</v>
      </c>
      <c r="G353">
        <f>_xlfn.XLOOKUP(Sheet1[[#This Row],[day_id]],calendar!A353,calendar!E353)</f>
        <v>1</v>
      </c>
      <c r="H353">
        <f>_xlfn.XLOOKUP(Sheet1[[#This Row],[day_id]],calendar!A353,calendar!F353)</f>
        <v>2012</v>
      </c>
      <c r="I353" t="str">
        <f>_xlfn.XLOOKUP(Sheet1[[#This Row],[day_id]],calendar!A353,calendar!J353)</f>
        <v>No Event</v>
      </c>
      <c r="J353" t="str">
        <f>_xlfn.XLOOKUP(Sheet1[[#This Row],[day_id]],calendar!A353,calendar!K353)</f>
        <v>No Event Type</v>
      </c>
      <c r="K353">
        <f>_xlfn.XLOOKUP(Sheet1[[#This Row],[day_id]],calendar!A353,calendar!I353)</f>
        <v>0</v>
      </c>
    </row>
    <row r="354" spans="1:11" x14ac:dyDescent="0.2">
      <c r="A354" t="s">
        <v>368</v>
      </c>
      <c r="B354" t="s">
        <v>369</v>
      </c>
      <c r="C354" t="s">
        <v>354</v>
      </c>
      <c r="D354">
        <v>25</v>
      </c>
      <c r="E354" s="1">
        <f>_xlfn.XLOOKUP(Sheet1[[#This Row],[day_id]],calendar!A354,calendar!B354)</f>
        <v>40924</v>
      </c>
      <c r="F354" t="str">
        <f>_xlfn.XLOOKUP(Sheet1[[#This Row],[day_id]],calendar!A354,calendar!C354)</f>
        <v>Monday</v>
      </c>
      <c r="G354">
        <f>_xlfn.XLOOKUP(Sheet1[[#This Row],[day_id]],calendar!A354,calendar!E354)</f>
        <v>1</v>
      </c>
      <c r="H354">
        <f>_xlfn.XLOOKUP(Sheet1[[#This Row],[day_id]],calendar!A354,calendar!F354)</f>
        <v>2012</v>
      </c>
      <c r="I354" t="str">
        <f>_xlfn.XLOOKUP(Sheet1[[#This Row],[day_id]],calendar!A354,calendar!J354)</f>
        <v>MartinLutherKingDay</v>
      </c>
      <c r="J354" t="str">
        <f>_xlfn.XLOOKUP(Sheet1[[#This Row],[day_id]],calendar!A354,calendar!K354)</f>
        <v>National</v>
      </c>
      <c r="K354">
        <f>_xlfn.XLOOKUP(Sheet1[[#This Row],[day_id]],calendar!A354,calendar!I354)</f>
        <v>0</v>
      </c>
    </row>
    <row r="355" spans="1:11" x14ac:dyDescent="0.2">
      <c r="A355" t="s">
        <v>368</v>
      </c>
      <c r="B355" t="s">
        <v>369</v>
      </c>
      <c r="C355" t="s">
        <v>355</v>
      </c>
      <c r="D355">
        <v>14</v>
      </c>
      <c r="E355" s="1">
        <f>_xlfn.XLOOKUP(Sheet1[[#This Row],[day_id]],calendar!A355,calendar!B355)</f>
        <v>40925</v>
      </c>
      <c r="F355" t="str">
        <f>_xlfn.XLOOKUP(Sheet1[[#This Row],[day_id]],calendar!A355,calendar!C355)</f>
        <v>Tuesday</v>
      </c>
      <c r="G355">
        <f>_xlfn.XLOOKUP(Sheet1[[#This Row],[day_id]],calendar!A355,calendar!E355)</f>
        <v>1</v>
      </c>
      <c r="H355">
        <f>_xlfn.XLOOKUP(Sheet1[[#This Row],[day_id]],calendar!A355,calendar!F355)</f>
        <v>2012</v>
      </c>
      <c r="I355" t="str">
        <f>_xlfn.XLOOKUP(Sheet1[[#This Row],[day_id]],calendar!A355,calendar!J355)</f>
        <v>No Event</v>
      </c>
      <c r="J355" t="str">
        <f>_xlfn.XLOOKUP(Sheet1[[#This Row],[day_id]],calendar!A355,calendar!K355)</f>
        <v>No Event Type</v>
      </c>
      <c r="K355">
        <f>_xlfn.XLOOKUP(Sheet1[[#This Row],[day_id]],calendar!A355,calendar!I355)</f>
        <v>0</v>
      </c>
    </row>
    <row r="356" spans="1:11" x14ac:dyDescent="0.2">
      <c r="A356" t="s">
        <v>368</v>
      </c>
      <c r="B356" t="s">
        <v>369</v>
      </c>
      <c r="C356" t="s">
        <v>356</v>
      </c>
      <c r="D356">
        <v>24</v>
      </c>
      <c r="E356" s="1">
        <f>_xlfn.XLOOKUP(Sheet1[[#This Row],[day_id]],calendar!A356,calendar!B356)</f>
        <v>40926</v>
      </c>
      <c r="F356" t="str">
        <f>_xlfn.XLOOKUP(Sheet1[[#This Row],[day_id]],calendar!A356,calendar!C356)</f>
        <v>Wednesday</v>
      </c>
      <c r="G356">
        <f>_xlfn.XLOOKUP(Sheet1[[#This Row],[day_id]],calendar!A356,calendar!E356)</f>
        <v>1</v>
      </c>
      <c r="H356">
        <f>_xlfn.XLOOKUP(Sheet1[[#This Row],[day_id]],calendar!A356,calendar!F356)</f>
        <v>2012</v>
      </c>
      <c r="I356" t="str">
        <f>_xlfn.XLOOKUP(Sheet1[[#This Row],[day_id]],calendar!A356,calendar!J356)</f>
        <v>No Event</v>
      </c>
      <c r="J356" t="str">
        <f>_xlfn.XLOOKUP(Sheet1[[#This Row],[day_id]],calendar!A356,calendar!K356)</f>
        <v>No Event Type</v>
      </c>
      <c r="K356">
        <f>_xlfn.XLOOKUP(Sheet1[[#This Row],[day_id]],calendar!A356,calendar!I356)</f>
        <v>0</v>
      </c>
    </row>
    <row r="357" spans="1:11" x14ac:dyDescent="0.2">
      <c r="A357" t="s">
        <v>368</v>
      </c>
      <c r="B357" t="s">
        <v>369</v>
      </c>
      <c r="C357" t="s">
        <v>357</v>
      </c>
      <c r="D357">
        <v>14</v>
      </c>
      <c r="E357" s="1">
        <f>_xlfn.XLOOKUP(Sheet1[[#This Row],[day_id]],calendar!A357,calendar!B357)</f>
        <v>40927</v>
      </c>
      <c r="F357" t="str">
        <f>_xlfn.XLOOKUP(Sheet1[[#This Row],[day_id]],calendar!A357,calendar!C357)</f>
        <v>Thursday</v>
      </c>
      <c r="G357">
        <f>_xlfn.XLOOKUP(Sheet1[[#This Row],[day_id]],calendar!A357,calendar!E357)</f>
        <v>1</v>
      </c>
      <c r="H357">
        <f>_xlfn.XLOOKUP(Sheet1[[#This Row],[day_id]],calendar!A357,calendar!F357)</f>
        <v>2012</v>
      </c>
      <c r="I357" t="str">
        <f>_xlfn.XLOOKUP(Sheet1[[#This Row],[day_id]],calendar!A357,calendar!J357)</f>
        <v>No Event</v>
      </c>
      <c r="J357" t="str">
        <f>_xlfn.XLOOKUP(Sheet1[[#This Row],[day_id]],calendar!A357,calendar!K357)</f>
        <v>No Event Type</v>
      </c>
      <c r="K357">
        <f>_xlfn.XLOOKUP(Sheet1[[#This Row],[day_id]],calendar!A357,calendar!I357)</f>
        <v>0</v>
      </c>
    </row>
    <row r="358" spans="1:11" x14ac:dyDescent="0.2">
      <c r="A358" t="s">
        <v>368</v>
      </c>
      <c r="B358" t="s">
        <v>369</v>
      </c>
      <c r="C358" t="s">
        <v>358</v>
      </c>
      <c r="D358">
        <v>23</v>
      </c>
      <c r="E358" s="1">
        <f>_xlfn.XLOOKUP(Sheet1[[#This Row],[day_id]],calendar!A358,calendar!B358)</f>
        <v>40928</v>
      </c>
      <c r="F358" t="str">
        <f>_xlfn.XLOOKUP(Sheet1[[#This Row],[day_id]],calendar!A358,calendar!C358)</f>
        <v>Friday</v>
      </c>
      <c r="G358">
        <f>_xlfn.XLOOKUP(Sheet1[[#This Row],[day_id]],calendar!A358,calendar!E358)</f>
        <v>1</v>
      </c>
      <c r="H358">
        <f>_xlfn.XLOOKUP(Sheet1[[#This Row],[day_id]],calendar!A358,calendar!F358)</f>
        <v>2012</v>
      </c>
      <c r="I358" t="str">
        <f>_xlfn.XLOOKUP(Sheet1[[#This Row],[day_id]],calendar!A358,calendar!J358)</f>
        <v>No Event</v>
      </c>
      <c r="J358" t="str">
        <f>_xlfn.XLOOKUP(Sheet1[[#This Row],[day_id]],calendar!A358,calendar!K358)</f>
        <v>No Event Type</v>
      </c>
      <c r="K358">
        <f>_xlfn.XLOOKUP(Sheet1[[#This Row],[day_id]],calendar!A358,calendar!I358)</f>
        <v>0</v>
      </c>
    </row>
    <row r="359" spans="1:11" x14ac:dyDescent="0.2">
      <c r="A359" t="s">
        <v>368</v>
      </c>
      <c r="B359" t="s">
        <v>369</v>
      </c>
      <c r="C359" t="s">
        <v>359</v>
      </c>
      <c r="D359">
        <v>27</v>
      </c>
      <c r="E359" s="1">
        <f>_xlfn.XLOOKUP(Sheet1[[#This Row],[day_id]],calendar!A359,calendar!B359)</f>
        <v>40929</v>
      </c>
      <c r="F359" t="str">
        <f>_xlfn.XLOOKUP(Sheet1[[#This Row],[day_id]],calendar!A359,calendar!C359)</f>
        <v>Saturday</v>
      </c>
      <c r="G359">
        <f>_xlfn.XLOOKUP(Sheet1[[#This Row],[day_id]],calendar!A359,calendar!E359)</f>
        <v>1</v>
      </c>
      <c r="H359">
        <f>_xlfn.XLOOKUP(Sheet1[[#This Row],[day_id]],calendar!A359,calendar!F359)</f>
        <v>2012</v>
      </c>
      <c r="I359" t="str">
        <f>_xlfn.XLOOKUP(Sheet1[[#This Row],[day_id]],calendar!A359,calendar!J359)</f>
        <v>No Event</v>
      </c>
      <c r="J359" t="str">
        <f>_xlfn.XLOOKUP(Sheet1[[#This Row],[day_id]],calendar!A359,calendar!K359)</f>
        <v>No Event Type</v>
      </c>
      <c r="K359">
        <f>_xlfn.XLOOKUP(Sheet1[[#This Row],[day_id]],calendar!A359,calendar!I359)</f>
        <v>0</v>
      </c>
    </row>
    <row r="360" spans="1:11" x14ac:dyDescent="0.2">
      <c r="A360" t="s">
        <v>368</v>
      </c>
      <c r="B360" t="s">
        <v>369</v>
      </c>
      <c r="C360" t="s">
        <v>360</v>
      </c>
      <c r="D360">
        <v>41</v>
      </c>
      <c r="E360" s="1">
        <f>_xlfn.XLOOKUP(Sheet1[[#This Row],[day_id]],calendar!A360,calendar!B360)</f>
        <v>40930</v>
      </c>
      <c r="F360" t="str">
        <f>_xlfn.XLOOKUP(Sheet1[[#This Row],[day_id]],calendar!A360,calendar!C360)</f>
        <v>Sunday</v>
      </c>
      <c r="G360">
        <f>_xlfn.XLOOKUP(Sheet1[[#This Row],[day_id]],calendar!A360,calendar!E360)</f>
        <v>1</v>
      </c>
      <c r="H360">
        <f>_xlfn.XLOOKUP(Sheet1[[#This Row],[day_id]],calendar!A360,calendar!F360)</f>
        <v>2012</v>
      </c>
      <c r="I360" t="str">
        <f>_xlfn.XLOOKUP(Sheet1[[#This Row],[day_id]],calendar!A360,calendar!J360)</f>
        <v>No Event</v>
      </c>
      <c r="J360" t="str">
        <f>_xlfn.XLOOKUP(Sheet1[[#This Row],[day_id]],calendar!A360,calendar!K360)</f>
        <v>No Event Type</v>
      </c>
      <c r="K360">
        <f>_xlfn.XLOOKUP(Sheet1[[#This Row],[day_id]],calendar!A360,calendar!I360)</f>
        <v>0</v>
      </c>
    </row>
    <row r="361" spans="1:11" x14ac:dyDescent="0.2">
      <c r="A361" t="s">
        <v>368</v>
      </c>
      <c r="B361" t="s">
        <v>369</v>
      </c>
      <c r="C361" t="s">
        <v>361</v>
      </c>
      <c r="D361">
        <v>19</v>
      </c>
      <c r="E361" s="1">
        <f>_xlfn.XLOOKUP(Sheet1[[#This Row],[day_id]],calendar!A361,calendar!B361)</f>
        <v>40931</v>
      </c>
      <c r="F361" t="str">
        <f>_xlfn.XLOOKUP(Sheet1[[#This Row],[day_id]],calendar!A361,calendar!C361)</f>
        <v>Monday</v>
      </c>
      <c r="G361">
        <f>_xlfn.XLOOKUP(Sheet1[[#This Row],[day_id]],calendar!A361,calendar!E361)</f>
        <v>1</v>
      </c>
      <c r="H361">
        <f>_xlfn.XLOOKUP(Sheet1[[#This Row],[day_id]],calendar!A361,calendar!F361)</f>
        <v>2012</v>
      </c>
      <c r="I361" t="str">
        <f>_xlfn.XLOOKUP(Sheet1[[#This Row],[day_id]],calendar!A361,calendar!J361)</f>
        <v>No Event</v>
      </c>
      <c r="J361" t="str">
        <f>_xlfn.XLOOKUP(Sheet1[[#This Row],[day_id]],calendar!A361,calendar!K361)</f>
        <v>No Event Type</v>
      </c>
      <c r="K361">
        <f>_xlfn.XLOOKUP(Sheet1[[#This Row],[day_id]],calendar!A361,calendar!I361)</f>
        <v>0</v>
      </c>
    </row>
    <row r="362" spans="1:11" x14ac:dyDescent="0.2">
      <c r="A362" t="s">
        <v>368</v>
      </c>
      <c r="B362" t="s">
        <v>369</v>
      </c>
      <c r="C362" t="s">
        <v>362</v>
      </c>
      <c r="D362">
        <v>19</v>
      </c>
      <c r="E362" s="1">
        <f>_xlfn.XLOOKUP(Sheet1[[#This Row],[day_id]],calendar!A362,calendar!B362)</f>
        <v>40932</v>
      </c>
      <c r="F362" t="str">
        <f>_xlfn.XLOOKUP(Sheet1[[#This Row],[day_id]],calendar!A362,calendar!C362)</f>
        <v>Tuesday</v>
      </c>
      <c r="G362">
        <f>_xlfn.XLOOKUP(Sheet1[[#This Row],[day_id]],calendar!A362,calendar!E362)</f>
        <v>1</v>
      </c>
      <c r="H362">
        <f>_xlfn.XLOOKUP(Sheet1[[#This Row],[day_id]],calendar!A362,calendar!F362)</f>
        <v>2012</v>
      </c>
      <c r="I362" t="str">
        <f>_xlfn.XLOOKUP(Sheet1[[#This Row],[day_id]],calendar!A362,calendar!J362)</f>
        <v>No Event</v>
      </c>
      <c r="J362" t="str">
        <f>_xlfn.XLOOKUP(Sheet1[[#This Row],[day_id]],calendar!A362,calendar!K362)</f>
        <v>No Event Type</v>
      </c>
      <c r="K362">
        <f>_xlfn.XLOOKUP(Sheet1[[#This Row],[day_id]],calendar!A362,calendar!I362)</f>
        <v>0</v>
      </c>
    </row>
    <row r="363" spans="1:11" x14ac:dyDescent="0.2">
      <c r="A363" t="s">
        <v>368</v>
      </c>
      <c r="B363" t="s">
        <v>369</v>
      </c>
      <c r="C363" t="s">
        <v>363</v>
      </c>
      <c r="D363">
        <v>24</v>
      </c>
      <c r="E363" s="1">
        <f>_xlfn.XLOOKUP(Sheet1[[#This Row],[day_id]],calendar!A363,calendar!B363)</f>
        <v>40933</v>
      </c>
      <c r="F363" t="str">
        <f>_xlfn.XLOOKUP(Sheet1[[#This Row],[day_id]],calendar!A363,calendar!C363)</f>
        <v>Wednesday</v>
      </c>
      <c r="G363">
        <f>_xlfn.XLOOKUP(Sheet1[[#This Row],[day_id]],calendar!A363,calendar!E363)</f>
        <v>1</v>
      </c>
      <c r="H363">
        <f>_xlfn.XLOOKUP(Sheet1[[#This Row],[day_id]],calendar!A363,calendar!F363)</f>
        <v>2012</v>
      </c>
      <c r="I363" t="str">
        <f>_xlfn.XLOOKUP(Sheet1[[#This Row],[day_id]],calendar!A363,calendar!J363)</f>
        <v>No Event</v>
      </c>
      <c r="J363" t="str">
        <f>_xlfn.XLOOKUP(Sheet1[[#This Row],[day_id]],calendar!A363,calendar!K363)</f>
        <v>No Event Type</v>
      </c>
      <c r="K363">
        <f>_xlfn.XLOOKUP(Sheet1[[#This Row],[day_id]],calendar!A363,calendar!I363)</f>
        <v>0</v>
      </c>
    </row>
    <row r="364" spans="1:11" x14ac:dyDescent="0.2">
      <c r="A364" t="s">
        <v>368</v>
      </c>
      <c r="B364" t="s">
        <v>369</v>
      </c>
      <c r="C364" t="s">
        <v>364</v>
      </c>
      <c r="D364">
        <v>35</v>
      </c>
      <c r="E364" s="1">
        <f>_xlfn.XLOOKUP(Sheet1[[#This Row],[day_id]],calendar!A364,calendar!B364)</f>
        <v>40934</v>
      </c>
      <c r="F364" t="str">
        <f>_xlfn.XLOOKUP(Sheet1[[#This Row],[day_id]],calendar!A364,calendar!C364)</f>
        <v>Thursday</v>
      </c>
      <c r="G364">
        <f>_xlfn.XLOOKUP(Sheet1[[#This Row],[day_id]],calendar!A364,calendar!E364)</f>
        <v>1</v>
      </c>
      <c r="H364">
        <f>_xlfn.XLOOKUP(Sheet1[[#This Row],[day_id]],calendar!A364,calendar!F364)</f>
        <v>2012</v>
      </c>
      <c r="I364" t="str">
        <f>_xlfn.XLOOKUP(Sheet1[[#This Row],[day_id]],calendar!A364,calendar!J364)</f>
        <v>No Event</v>
      </c>
      <c r="J364" t="str">
        <f>_xlfn.XLOOKUP(Sheet1[[#This Row],[day_id]],calendar!A364,calendar!K364)</f>
        <v>No Event Type</v>
      </c>
      <c r="K364">
        <f>_xlfn.XLOOKUP(Sheet1[[#This Row],[day_id]],calendar!A364,calendar!I364)</f>
        <v>0</v>
      </c>
    </row>
    <row r="365" spans="1:11" x14ac:dyDescent="0.2">
      <c r="A365" t="s">
        <v>368</v>
      </c>
      <c r="B365" t="s">
        <v>369</v>
      </c>
      <c r="C365" t="s">
        <v>365</v>
      </c>
      <c r="D365">
        <v>37</v>
      </c>
      <c r="E365" s="1">
        <f>_xlfn.XLOOKUP(Sheet1[[#This Row],[day_id]],calendar!A365,calendar!B365)</f>
        <v>40935</v>
      </c>
      <c r="F365" t="str">
        <f>_xlfn.XLOOKUP(Sheet1[[#This Row],[day_id]],calendar!A365,calendar!C365)</f>
        <v>Friday</v>
      </c>
      <c r="G365">
        <f>_xlfn.XLOOKUP(Sheet1[[#This Row],[day_id]],calendar!A365,calendar!E365)</f>
        <v>1</v>
      </c>
      <c r="H365">
        <f>_xlfn.XLOOKUP(Sheet1[[#This Row],[day_id]],calendar!A365,calendar!F365)</f>
        <v>2012</v>
      </c>
      <c r="I365" t="str">
        <f>_xlfn.XLOOKUP(Sheet1[[#This Row],[day_id]],calendar!A365,calendar!J365)</f>
        <v>No Event</v>
      </c>
      <c r="J365" t="str">
        <f>_xlfn.XLOOKUP(Sheet1[[#This Row],[day_id]],calendar!A365,calendar!K365)</f>
        <v>No Event Type</v>
      </c>
      <c r="K365">
        <f>_xlfn.XLOOKUP(Sheet1[[#This Row],[day_id]],calendar!A365,calendar!I365)</f>
        <v>0</v>
      </c>
    </row>
    <row r="366" spans="1:11" x14ac:dyDescent="0.2">
      <c r="A366" t="s">
        <v>368</v>
      </c>
      <c r="B366" t="s">
        <v>369</v>
      </c>
      <c r="C366" t="s">
        <v>366</v>
      </c>
      <c r="D366">
        <v>55</v>
      </c>
      <c r="E366" s="1">
        <f>_xlfn.XLOOKUP(Sheet1[[#This Row],[day_id]],calendar!A366,calendar!B366)</f>
        <v>40936</v>
      </c>
      <c r="F366" t="str">
        <f>_xlfn.XLOOKUP(Sheet1[[#This Row],[day_id]],calendar!A366,calendar!C366)</f>
        <v>Saturday</v>
      </c>
      <c r="G366">
        <f>_xlfn.XLOOKUP(Sheet1[[#This Row],[day_id]],calendar!A366,calendar!E366)</f>
        <v>1</v>
      </c>
      <c r="H366">
        <f>_xlfn.XLOOKUP(Sheet1[[#This Row],[day_id]],calendar!A366,calendar!F366)</f>
        <v>2012</v>
      </c>
      <c r="I366" t="str">
        <f>_xlfn.XLOOKUP(Sheet1[[#This Row],[day_id]],calendar!A366,calendar!J366)</f>
        <v>No Event</v>
      </c>
      <c r="J366" t="str">
        <f>_xlfn.XLOOKUP(Sheet1[[#This Row],[day_id]],calendar!A366,calendar!K366)</f>
        <v>No Event Type</v>
      </c>
      <c r="K366">
        <f>_xlfn.XLOOKUP(Sheet1[[#This Row],[day_id]],calendar!A366,calendar!I366)</f>
        <v>0</v>
      </c>
    </row>
    <row r="367" spans="1:11" x14ac:dyDescent="0.2">
      <c r="A367" t="s">
        <v>370</v>
      </c>
      <c r="B367" t="s">
        <v>369</v>
      </c>
      <c r="C367" t="s">
        <v>2</v>
      </c>
      <c r="D367">
        <v>10</v>
      </c>
      <c r="E367" s="1">
        <f>_xlfn.XLOOKUP(Sheet1[[#This Row],[day_id]],calendar!A2,calendar!B2)</f>
        <v>40572</v>
      </c>
      <c r="F367" t="str">
        <f>_xlfn.XLOOKUP(Sheet1[[#This Row],[day_id]],calendar!A2,calendar!C2)</f>
        <v>Saturday</v>
      </c>
      <c r="G367">
        <f>_xlfn.XLOOKUP(Sheet1[[#This Row],[day_id]],calendar!A2,calendar!E2)</f>
        <v>1</v>
      </c>
      <c r="H367">
        <f>_xlfn.XLOOKUP(Sheet1[[#This Row],[day_id]],calendar!A2,calendar!F2)</f>
        <v>2011</v>
      </c>
      <c r="I367" t="str">
        <f>_xlfn.XLOOKUP(Sheet1[[#This Row],[day_id]],calendar!A2,calendar!J2)</f>
        <v>No Event</v>
      </c>
      <c r="J367" t="str">
        <f>_xlfn.XLOOKUP(Sheet1[[#This Row],[day_id]],calendar!A2,calendar!K2)</f>
        <v>No Event Type</v>
      </c>
      <c r="K367">
        <f>_xlfn.XLOOKUP(Sheet1[[#This Row],[day_id]],calendar!A2,calendar!I2)</f>
        <v>0</v>
      </c>
    </row>
    <row r="368" spans="1:11" x14ac:dyDescent="0.2">
      <c r="A368" t="s">
        <v>370</v>
      </c>
      <c r="B368" t="s">
        <v>369</v>
      </c>
      <c r="C368" t="s">
        <v>3</v>
      </c>
      <c r="D368">
        <v>15</v>
      </c>
      <c r="E368" s="1">
        <f>_xlfn.XLOOKUP(Sheet1[[#This Row],[day_id]],calendar!A3,calendar!B3)</f>
        <v>40573</v>
      </c>
      <c r="F368" t="str">
        <f>_xlfn.XLOOKUP(Sheet1[[#This Row],[day_id]],calendar!A3,calendar!C3)</f>
        <v>Sunday</v>
      </c>
      <c r="G368">
        <f>_xlfn.XLOOKUP(Sheet1[[#This Row],[day_id]],calendar!A3,calendar!E3)</f>
        <v>1</v>
      </c>
      <c r="H368">
        <f>_xlfn.XLOOKUP(Sheet1[[#This Row],[day_id]],calendar!A3,calendar!F3)</f>
        <v>2011</v>
      </c>
      <c r="I368" t="str">
        <f>_xlfn.XLOOKUP(Sheet1[[#This Row],[day_id]],calendar!A3,calendar!J3)</f>
        <v>No Event</v>
      </c>
      <c r="J368" t="str">
        <f>_xlfn.XLOOKUP(Sheet1[[#This Row],[day_id]],calendar!A3,calendar!K3)</f>
        <v>No Event Type</v>
      </c>
      <c r="K368">
        <f>_xlfn.XLOOKUP(Sheet1[[#This Row],[day_id]],calendar!A3,calendar!I3)</f>
        <v>0</v>
      </c>
    </row>
    <row r="369" spans="1:11" x14ac:dyDescent="0.2">
      <c r="A369" t="s">
        <v>370</v>
      </c>
      <c r="B369" t="s">
        <v>369</v>
      </c>
      <c r="C369" t="s">
        <v>4</v>
      </c>
      <c r="D369">
        <v>13</v>
      </c>
      <c r="E369" s="1">
        <f>_xlfn.XLOOKUP(Sheet1[[#This Row],[day_id]],calendar!A4,calendar!B4)</f>
        <v>40574</v>
      </c>
      <c r="F369" t="str">
        <f>_xlfn.XLOOKUP(Sheet1[[#This Row],[day_id]],calendar!A4,calendar!C4)</f>
        <v>Monday</v>
      </c>
      <c r="G369">
        <f>_xlfn.XLOOKUP(Sheet1[[#This Row],[day_id]],calendar!A4,calendar!E4)</f>
        <v>1</v>
      </c>
      <c r="H369">
        <f>_xlfn.XLOOKUP(Sheet1[[#This Row],[day_id]],calendar!A4,calendar!F4)</f>
        <v>2011</v>
      </c>
      <c r="I369" t="str">
        <f>_xlfn.XLOOKUP(Sheet1[[#This Row],[day_id]],calendar!A4,calendar!J4)</f>
        <v>No Event</v>
      </c>
      <c r="J369" t="str">
        <f>_xlfn.XLOOKUP(Sheet1[[#This Row],[day_id]],calendar!A4,calendar!K4)</f>
        <v>No Event Type</v>
      </c>
      <c r="K369">
        <f>_xlfn.XLOOKUP(Sheet1[[#This Row],[day_id]],calendar!A4,calendar!I4)</f>
        <v>0</v>
      </c>
    </row>
    <row r="370" spans="1:11" x14ac:dyDescent="0.2">
      <c r="A370" t="s">
        <v>370</v>
      </c>
      <c r="B370" t="s">
        <v>369</v>
      </c>
      <c r="C370" t="s">
        <v>5</v>
      </c>
      <c r="D370">
        <v>5</v>
      </c>
      <c r="E370" s="1">
        <f>_xlfn.XLOOKUP(Sheet1[[#This Row],[day_id]],calendar!A5,calendar!B5)</f>
        <v>40575</v>
      </c>
      <c r="F370" t="str">
        <f>_xlfn.XLOOKUP(Sheet1[[#This Row],[day_id]],calendar!A5,calendar!C5)</f>
        <v>Tuesday</v>
      </c>
      <c r="G370">
        <f>_xlfn.XLOOKUP(Sheet1[[#This Row],[day_id]],calendar!A5,calendar!E5)</f>
        <v>2</v>
      </c>
      <c r="H370">
        <f>_xlfn.XLOOKUP(Sheet1[[#This Row],[day_id]],calendar!A5,calendar!F5)</f>
        <v>2011</v>
      </c>
      <c r="I370" t="str">
        <f>_xlfn.XLOOKUP(Sheet1[[#This Row],[day_id]],calendar!A5,calendar!J5)</f>
        <v>No Event</v>
      </c>
      <c r="J370" t="str">
        <f>_xlfn.XLOOKUP(Sheet1[[#This Row],[day_id]],calendar!A5,calendar!K5)</f>
        <v>No Event Type</v>
      </c>
      <c r="K370">
        <f>_xlfn.XLOOKUP(Sheet1[[#This Row],[day_id]],calendar!A5,calendar!I5)</f>
        <v>1</v>
      </c>
    </row>
    <row r="371" spans="1:11" x14ac:dyDescent="0.2">
      <c r="A371" t="s">
        <v>370</v>
      </c>
      <c r="B371" t="s">
        <v>369</v>
      </c>
      <c r="C371" t="s">
        <v>6</v>
      </c>
      <c r="D371">
        <v>11</v>
      </c>
      <c r="E371" s="1">
        <f>_xlfn.XLOOKUP(Sheet1[[#This Row],[day_id]],calendar!A6,calendar!B6)</f>
        <v>40576</v>
      </c>
      <c r="F371" t="str">
        <f>_xlfn.XLOOKUP(Sheet1[[#This Row],[day_id]],calendar!A6,calendar!C6)</f>
        <v>Wednesday</v>
      </c>
      <c r="G371">
        <f>_xlfn.XLOOKUP(Sheet1[[#This Row],[day_id]],calendar!A6,calendar!E6)</f>
        <v>2</v>
      </c>
      <c r="H371">
        <f>_xlfn.XLOOKUP(Sheet1[[#This Row],[day_id]],calendar!A6,calendar!F6)</f>
        <v>2011</v>
      </c>
      <c r="I371" t="str">
        <f>_xlfn.XLOOKUP(Sheet1[[#This Row],[day_id]],calendar!A6,calendar!J6)</f>
        <v>No Event</v>
      </c>
      <c r="J371" t="str">
        <f>_xlfn.XLOOKUP(Sheet1[[#This Row],[day_id]],calendar!A6,calendar!K6)</f>
        <v>No Event Type</v>
      </c>
      <c r="K371">
        <f>_xlfn.XLOOKUP(Sheet1[[#This Row],[day_id]],calendar!A6,calendar!I6)</f>
        <v>1</v>
      </c>
    </row>
    <row r="372" spans="1:11" x14ac:dyDescent="0.2">
      <c r="A372" t="s">
        <v>370</v>
      </c>
      <c r="B372" t="s">
        <v>369</v>
      </c>
      <c r="C372" t="s">
        <v>7</v>
      </c>
      <c r="D372">
        <v>5</v>
      </c>
      <c r="E372" s="1">
        <f>_xlfn.XLOOKUP(Sheet1[[#This Row],[day_id]],calendar!A7,calendar!B7)</f>
        <v>40577</v>
      </c>
      <c r="F372" t="str">
        <f>_xlfn.XLOOKUP(Sheet1[[#This Row],[day_id]],calendar!A7,calendar!C7)</f>
        <v>Thursday</v>
      </c>
      <c r="G372">
        <f>_xlfn.XLOOKUP(Sheet1[[#This Row],[day_id]],calendar!A7,calendar!E7)</f>
        <v>2</v>
      </c>
      <c r="H372">
        <f>_xlfn.XLOOKUP(Sheet1[[#This Row],[day_id]],calendar!A7,calendar!F7)</f>
        <v>2011</v>
      </c>
      <c r="I372" t="str">
        <f>_xlfn.XLOOKUP(Sheet1[[#This Row],[day_id]],calendar!A7,calendar!J7)</f>
        <v>No Event</v>
      </c>
      <c r="J372" t="str">
        <f>_xlfn.XLOOKUP(Sheet1[[#This Row],[day_id]],calendar!A7,calendar!K7)</f>
        <v>No Event Type</v>
      </c>
      <c r="K372">
        <f>_xlfn.XLOOKUP(Sheet1[[#This Row],[day_id]],calendar!A7,calendar!I7)</f>
        <v>1</v>
      </c>
    </row>
    <row r="373" spans="1:11" x14ac:dyDescent="0.2">
      <c r="A373" t="s">
        <v>370</v>
      </c>
      <c r="B373" t="s">
        <v>369</v>
      </c>
      <c r="C373" t="s">
        <v>8</v>
      </c>
      <c r="D373">
        <v>7</v>
      </c>
      <c r="E373" s="1">
        <f>_xlfn.XLOOKUP(Sheet1[[#This Row],[day_id]],calendar!A8,calendar!B8)</f>
        <v>40578</v>
      </c>
      <c r="F373" t="str">
        <f>_xlfn.XLOOKUP(Sheet1[[#This Row],[day_id]],calendar!A8,calendar!C8)</f>
        <v>Friday</v>
      </c>
      <c r="G373">
        <f>_xlfn.XLOOKUP(Sheet1[[#This Row],[day_id]],calendar!A8,calendar!E8)</f>
        <v>2</v>
      </c>
      <c r="H373">
        <f>_xlfn.XLOOKUP(Sheet1[[#This Row],[day_id]],calendar!A8,calendar!F8)</f>
        <v>2011</v>
      </c>
      <c r="I373" t="str">
        <f>_xlfn.XLOOKUP(Sheet1[[#This Row],[day_id]],calendar!A8,calendar!J8)</f>
        <v>No Event</v>
      </c>
      <c r="J373" t="str">
        <f>_xlfn.XLOOKUP(Sheet1[[#This Row],[day_id]],calendar!A8,calendar!K8)</f>
        <v>No Event Type</v>
      </c>
      <c r="K373">
        <f>_xlfn.XLOOKUP(Sheet1[[#This Row],[day_id]],calendar!A8,calendar!I8)</f>
        <v>1</v>
      </c>
    </row>
    <row r="374" spans="1:11" x14ac:dyDescent="0.2">
      <c r="A374" t="s">
        <v>370</v>
      </c>
      <c r="B374" t="s">
        <v>369</v>
      </c>
      <c r="C374" t="s">
        <v>9</v>
      </c>
      <c r="D374">
        <v>21</v>
      </c>
      <c r="E374" s="1">
        <f>_xlfn.XLOOKUP(Sheet1[[#This Row],[day_id]],calendar!A9,calendar!B9)</f>
        <v>40579</v>
      </c>
      <c r="F374" t="str">
        <f>_xlfn.XLOOKUP(Sheet1[[#This Row],[day_id]],calendar!A9,calendar!C9)</f>
        <v>Saturday</v>
      </c>
      <c r="G374">
        <f>_xlfn.XLOOKUP(Sheet1[[#This Row],[day_id]],calendar!A9,calendar!E9)</f>
        <v>2</v>
      </c>
      <c r="H374">
        <f>_xlfn.XLOOKUP(Sheet1[[#This Row],[day_id]],calendar!A9,calendar!F9)</f>
        <v>2011</v>
      </c>
      <c r="I374" t="str">
        <f>_xlfn.XLOOKUP(Sheet1[[#This Row],[day_id]],calendar!A9,calendar!J9)</f>
        <v>No Event</v>
      </c>
      <c r="J374" t="str">
        <f>_xlfn.XLOOKUP(Sheet1[[#This Row],[day_id]],calendar!A9,calendar!K9)</f>
        <v>No Event Type</v>
      </c>
      <c r="K374">
        <f>_xlfn.XLOOKUP(Sheet1[[#This Row],[day_id]],calendar!A9,calendar!I9)</f>
        <v>1</v>
      </c>
    </row>
    <row r="375" spans="1:11" x14ac:dyDescent="0.2">
      <c r="A375" t="s">
        <v>370</v>
      </c>
      <c r="B375" t="s">
        <v>369</v>
      </c>
      <c r="C375" t="s">
        <v>10</v>
      </c>
      <c r="D375">
        <v>6</v>
      </c>
      <c r="E375" s="1">
        <f>_xlfn.XLOOKUP(Sheet1[[#This Row],[day_id]],calendar!A10,calendar!B10)</f>
        <v>40580</v>
      </c>
      <c r="F375" t="str">
        <f>_xlfn.XLOOKUP(Sheet1[[#This Row],[day_id]],calendar!A10,calendar!C10)</f>
        <v>Sunday</v>
      </c>
      <c r="G375">
        <f>_xlfn.XLOOKUP(Sheet1[[#This Row],[day_id]],calendar!A10,calendar!E10)</f>
        <v>2</v>
      </c>
      <c r="H375">
        <f>_xlfn.XLOOKUP(Sheet1[[#This Row],[day_id]],calendar!A10,calendar!F10)</f>
        <v>2011</v>
      </c>
      <c r="I375" t="str">
        <f>_xlfn.XLOOKUP(Sheet1[[#This Row],[day_id]],calendar!A10,calendar!J10)</f>
        <v>SuperBowl</v>
      </c>
      <c r="J375" t="str">
        <f>_xlfn.XLOOKUP(Sheet1[[#This Row],[day_id]],calendar!A10,calendar!K10)</f>
        <v>Sporting</v>
      </c>
      <c r="K375">
        <f>_xlfn.XLOOKUP(Sheet1[[#This Row],[day_id]],calendar!A10,calendar!I10)</f>
        <v>1</v>
      </c>
    </row>
    <row r="376" spans="1:11" x14ac:dyDescent="0.2">
      <c r="A376" t="s">
        <v>370</v>
      </c>
      <c r="B376" t="s">
        <v>369</v>
      </c>
      <c r="C376" t="s">
        <v>11</v>
      </c>
      <c r="D376">
        <v>6</v>
      </c>
      <c r="E376" s="1">
        <f>_xlfn.XLOOKUP(Sheet1[[#This Row],[day_id]],calendar!A11,calendar!B11)</f>
        <v>40581</v>
      </c>
      <c r="F376" t="str">
        <f>_xlfn.XLOOKUP(Sheet1[[#This Row],[day_id]],calendar!A11,calendar!C11)</f>
        <v>Monday</v>
      </c>
      <c r="G376">
        <f>_xlfn.XLOOKUP(Sheet1[[#This Row],[day_id]],calendar!A11,calendar!E11)</f>
        <v>2</v>
      </c>
      <c r="H376">
        <f>_xlfn.XLOOKUP(Sheet1[[#This Row],[day_id]],calendar!A11,calendar!F11)</f>
        <v>2011</v>
      </c>
      <c r="I376" t="str">
        <f>_xlfn.XLOOKUP(Sheet1[[#This Row],[day_id]],calendar!A11,calendar!J11)</f>
        <v>No Event</v>
      </c>
      <c r="J376" t="str">
        <f>_xlfn.XLOOKUP(Sheet1[[#This Row],[day_id]],calendar!A11,calendar!K11)</f>
        <v>No Event Type</v>
      </c>
      <c r="K376">
        <f>_xlfn.XLOOKUP(Sheet1[[#This Row],[day_id]],calendar!A11,calendar!I11)</f>
        <v>1</v>
      </c>
    </row>
    <row r="377" spans="1:11" x14ac:dyDescent="0.2">
      <c r="A377" t="s">
        <v>370</v>
      </c>
      <c r="B377" t="s">
        <v>369</v>
      </c>
      <c r="C377" t="s">
        <v>12</v>
      </c>
      <c r="D377">
        <v>5</v>
      </c>
      <c r="E377" s="1">
        <f>_xlfn.XLOOKUP(Sheet1[[#This Row],[day_id]],calendar!A12,calendar!B12)</f>
        <v>40582</v>
      </c>
      <c r="F377" t="str">
        <f>_xlfn.XLOOKUP(Sheet1[[#This Row],[day_id]],calendar!A12,calendar!C12)</f>
        <v>Tuesday</v>
      </c>
      <c r="G377">
        <f>_xlfn.XLOOKUP(Sheet1[[#This Row],[day_id]],calendar!A12,calendar!E12)</f>
        <v>2</v>
      </c>
      <c r="H377">
        <f>_xlfn.XLOOKUP(Sheet1[[#This Row],[day_id]],calendar!A12,calendar!F12)</f>
        <v>2011</v>
      </c>
      <c r="I377" t="str">
        <f>_xlfn.XLOOKUP(Sheet1[[#This Row],[day_id]],calendar!A12,calendar!J12)</f>
        <v>No Event</v>
      </c>
      <c r="J377" t="str">
        <f>_xlfn.XLOOKUP(Sheet1[[#This Row],[day_id]],calendar!A12,calendar!K12)</f>
        <v>No Event Type</v>
      </c>
      <c r="K377">
        <f>_xlfn.XLOOKUP(Sheet1[[#This Row],[day_id]],calendar!A12,calendar!I12)</f>
        <v>1</v>
      </c>
    </row>
    <row r="378" spans="1:11" x14ac:dyDescent="0.2">
      <c r="A378" t="s">
        <v>370</v>
      </c>
      <c r="B378" t="s">
        <v>369</v>
      </c>
      <c r="C378" t="s">
        <v>13</v>
      </c>
      <c r="D378">
        <v>6</v>
      </c>
      <c r="E378" s="1">
        <f>_xlfn.XLOOKUP(Sheet1[[#This Row],[day_id]],calendar!A13,calendar!B13)</f>
        <v>40583</v>
      </c>
      <c r="F378" t="str">
        <f>_xlfn.XLOOKUP(Sheet1[[#This Row],[day_id]],calendar!A13,calendar!C13)</f>
        <v>Wednesday</v>
      </c>
      <c r="G378">
        <f>_xlfn.XLOOKUP(Sheet1[[#This Row],[day_id]],calendar!A13,calendar!E13)</f>
        <v>2</v>
      </c>
      <c r="H378">
        <f>_xlfn.XLOOKUP(Sheet1[[#This Row],[day_id]],calendar!A13,calendar!F13)</f>
        <v>2011</v>
      </c>
      <c r="I378" t="str">
        <f>_xlfn.XLOOKUP(Sheet1[[#This Row],[day_id]],calendar!A13,calendar!J13)</f>
        <v>No Event</v>
      </c>
      <c r="J378" t="str">
        <f>_xlfn.XLOOKUP(Sheet1[[#This Row],[day_id]],calendar!A13,calendar!K13)</f>
        <v>No Event Type</v>
      </c>
      <c r="K378">
        <f>_xlfn.XLOOKUP(Sheet1[[#This Row],[day_id]],calendar!A13,calendar!I13)</f>
        <v>1</v>
      </c>
    </row>
    <row r="379" spans="1:11" x14ac:dyDescent="0.2">
      <c r="A379" t="s">
        <v>370</v>
      </c>
      <c r="B379" t="s">
        <v>369</v>
      </c>
      <c r="C379" t="s">
        <v>14</v>
      </c>
      <c r="D379">
        <v>14</v>
      </c>
      <c r="E379" s="1">
        <f>_xlfn.XLOOKUP(Sheet1[[#This Row],[day_id]],calendar!A14,calendar!B14)</f>
        <v>40584</v>
      </c>
      <c r="F379" t="str">
        <f>_xlfn.XLOOKUP(Sheet1[[#This Row],[day_id]],calendar!A14,calendar!C14)</f>
        <v>Thursday</v>
      </c>
      <c r="G379">
        <f>_xlfn.XLOOKUP(Sheet1[[#This Row],[day_id]],calendar!A14,calendar!E14)</f>
        <v>2</v>
      </c>
      <c r="H379">
        <f>_xlfn.XLOOKUP(Sheet1[[#This Row],[day_id]],calendar!A14,calendar!F14)</f>
        <v>2011</v>
      </c>
      <c r="I379" t="str">
        <f>_xlfn.XLOOKUP(Sheet1[[#This Row],[day_id]],calendar!A14,calendar!J14)</f>
        <v>No Event</v>
      </c>
      <c r="J379" t="str">
        <f>_xlfn.XLOOKUP(Sheet1[[#This Row],[day_id]],calendar!A14,calendar!K14)</f>
        <v>No Event Type</v>
      </c>
      <c r="K379">
        <f>_xlfn.XLOOKUP(Sheet1[[#This Row],[day_id]],calendar!A14,calendar!I14)</f>
        <v>1</v>
      </c>
    </row>
    <row r="380" spans="1:11" x14ac:dyDescent="0.2">
      <c r="A380" t="s">
        <v>370</v>
      </c>
      <c r="B380" t="s">
        <v>369</v>
      </c>
      <c r="C380" t="s">
        <v>15</v>
      </c>
      <c r="D380">
        <v>13</v>
      </c>
      <c r="E380" s="1">
        <f>_xlfn.XLOOKUP(Sheet1[[#This Row],[day_id]],calendar!A15,calendar!B15)</f>
        <v>40585</v>
      </c>
      <c r="F380" t="str">
        <f>_xlfn.XLOOKUP(Sheet1[[#This Row],[day_id]],calendar!A15,calendar!C15)</f>
        <v>Friday</v>
      </c>
      <c r="G380">
        <f>_xlfn.XLOOKUP(Sheet1[[#This Row],[day_id]],calendar!A15,calendar!E15)</f>
        <v>2</v>
      </c>
      <c r="H380">
        <f>_xlfn.XLOOKUP(Sheet1[[#This Row],[day_id]],calendar!A15,calendar!F15)</f>
        <v>2011</v>
      </c>
      <c r="I380" t="str">
        <f>_xlfn.XLOOKUP(Sheet1[[#This Row],[day_id]],calendar!A15,calendar!J15)</f>
        <v>No Event</v>
      </c>
      <c r="J380" t="str">
        <f>_xlfn.XLOOKUP(Sheet1[[#This Row],[day_id]],calendar!A15,calendar!K15)</f>
        <v>No Event Type</v>
      </c>
      <c r="K380">
        <f>_xlfn.XLOOKUP(Sheet1[[#This Row],[day_id]],calendar!A15,calendar!I15)</f>
        <v>0</v>
      </c>
    </row>
    <row r="381" spans="1:11" x14ac:dyDescent="0.2">
      <c r="A381" t="s">
        <v>370</v>
      </c>
      <c r="B381" t="s">
        <v>369</v>
      </c>
      <c r="C381" t="s">
        <v>16</v>
      </c>
      <c r="D381">
        <v>35</v>
      </c>
      <c r="E381" s="1">
        <f>_xlfn.XLOOKUP(Sheet1[[#This Row],[day_id]],calendar!A16,calendar!B16)</f>
        <v>40586</v>
      </c>
      <c r="F381" t="str">
        <f>_xlfn.XLOOKUP(Sheet1[[#This Row],[day_id]],calendar!A16,calendar!C16)</f>
        <v>Saturday</v>
      </c>
      <c r="G381">
        <f>_xlfn.XLOOKUP(Sheet1[[#This Row],[day_id]],calendar!A16,calendar!E16)</f>
        <v>2</v>
      </c>
      <c r="H381">
        <f>_xlfn.XLOOKUP(Sheet1[[#This Row],[day_id]],calendar!A16,calendar!F16)</f>
        <v>2011</v>
      </c>
      <c r="I381" t="str">
        <f>_xlfn.XLOOKUP(Sheet1[[#This Row],[day_id]],calendar!A16,calendar!J16)</f>
        <v>No Event</v>
      </c>
      <c r="J381" t="str">
        <f>_xlfn.XLOOKUP(Sheet1[[#This Row],[day_id]],calendar!A16,calendar!K16)</f>
        <v>No Event Type</v>
      </c>
      <c r="K381">
        <f>_xlfn.XLOOKUP(Sheet1[[#This Row],[day_id]],calendar!A16,calendar!I16)</f>
        <v>0</v>
      </c>
    </row>
    <row r="382" spans="1:11" x14ac:dyDescent="0.2">
      <c r="A382" t="s">
        <v>370</v>
      </c>
      <c r="B382" t="s">
        <v>369</v>
      </c>
      <c r="C382" t="s">
        <v>17</v>
      </c>
      <c r="D382">
        <v>25</v>
      </c>
      <c r="E382" s="1">
        <f>_xlfn.XLOOKUP(Sheet1[[#This Row],[day_id]],calendar!A17,calendar!B17)</f>
        <v>40587</v>
      </c>
      <c r="F382" t="str">
        <f>_xlfn.XLOOKUP(Sheet1[[#This Row],[day_id]],calendar!A17,calendar!C17)</f>
        <v>Sunday</v>
      </c>
      <c r="G382">
        <f>_xlfn.XLOOKUP(Sheet1[[#This Row],[day_id]],calendar!A17,calendar!E17)</f>
        <v>2</v>
      </c>
      <c r="H382">
        <f>_xlfn.XLOOKUP(Sheet1[[#This Row],[day_id]],calendar!A17,calendar!F17)</f>
        <v>2011</v>
      </c>
      <c r="I382" t="str">
        <f>_xlfn.XLOOKUP(Sheet1[[#This Row],[day_id]],calendar!A17,calendar!J17)</f>
        <v>No Event</v>
      </c>
      <c r="J382" t="str">
        <f>_xlfn.XLOOKUP(Sheet1[[#This Row],[day_id]],calendar!A17,calendar!K17)</f>
        <v>No Event Type</v>
      </c>
      <c r="K382">
        <f>_xlfn.XLOOKUP(Sheet1[[#This Row],[day_id]],calendar!A17,calendar!I17)</f>
        <v>0</v>
      </c>
    </row>
    <row r="383" spans="1:11" x14ac:dyDescent="0.2">
      <c r="A383" t="s">
        <v>370</v>
      </c>
      <c r="B383" t="s">
        <v>369</v>
      </c>
      <c r="C383" t="s">
        <v>18</v>
      </c>
      <c r="D383">
        <v>19</v>
      </c>
      <c r="E383" s="1">
        <f>_xlfn.XLOOKUP(Sheet1[[#This Row],[day_id]],calendar!A18,calendar!B18)</f>
        <v>40588</v>
      </c>
      <c r="F383" t="str">
        <f>_xlfn.XLOOKUP(Sheet1[[#This Row],[day_id]],calendar!A18,calendar!C18)</f>
        <v>Monday</v>
      </c>
      <c r="G383">
        <f>_xlfn.XLOOKUP(Sheet1[[#This Row],[day_id]],calendar!A18,calendar!E18)</f>
        <v>2</v>
      </c>
      <c r="H383">
        <f>_xlfn.XLOOKUP(Sheet1[[#This Row],[day_id]],calendar!A18,calendar!F18)</f>
        <v>2011</v>
      </c>
      <c r="I383" t="str">
        <f>_xlfn.XLOOKUP(Sheet1[[#This Row],[day_id]],calendar!A18,calendar!J18)</f>
        <v>ValentinesDay</v>
      </c>
      <c r="J383" t="str">
        <f>_xlfn.XLOOKUP(Sheet1[[#This Row],[day_id]],calendar!A18,calendar!K18)</f>
        <v>Cultural</v>
      </c>
      <c r="K383">
        <f>_xlfn.XLOOKUP(Sheet1[[#This Row],[day_id]],calendar!A18,calendar!I18)</f>
        <v>0</v>
      </c>
    </row>
    <row r="384" spans="1:11" x14ac:dyDescent="0.2">
      <c r="A384" t="s">
        <v>370</v>
      </c>
      <c r="B384" t="s">
        <v>369</v>
      </c>
      <c r="C384" t="s">
        <v>19</v>
      </c>
      <c r="D384">
        <v>4</v>
      </c>
      <c r="E384" s="1">
        <f>_xlfn.XLOOKUP(Sheet1[[#This Row],[day_id]],calendar!A19,calendar!B19)</f>
        <v>40589</v>
      </c>
      <c r="F384" t="str">
        <f>_xlfn.XLOOKUP(Sheet1[[#This Row],[day_id]],calendar!A19,calendar!C19)</f>
        <v>Tuesday</v>
      </c>
      <c r="G384">
        <f>_xlfn.XLOOKUP(Sheet1[[#This Row],[day_id]],calendar!A19,calendar!E19)</f>
        <v>2</v>
      </c>
      <c r="H384">
        <f>_xlfn.XLOOKUP(Sheet1[[#This Row],[day_id]],calendar!A19,calendar!F19)</f>
        <v>2011</v>
      </c>
      <c r="I384" t="str">
        <f>_xlfn.XLOOKUP(Sheet1[[#This Row],[day_id]],calendar!A19,calendar!J19)</f>
        <v>No Event</v>
      </c>
      <c r="J384" t="str">
        <f>_xlfn.XLOOKUP(Sheet1[[#This Row],[day_id]],calendar!A19,calendar!K19)</f>
        <v>No Event Type</v>
      </c>
      <c r="K384">
        <f>_xlfn.XLOOKUP(Sheet1[[#This Row],[day_id]],calendar!A19,calendar!I19)</f>
        <v>0</v>
      </c>
    </row>
    <row r="385" spans="1:11" x14ac:dyDescent="0.2">
      <c r="A385" t="s">
        <v>370</v>
      </c>
      <c r="B385" t="s">
        <v>369</v>
      </c>
      <c r="C385" t="s">
        <v>20</v>
      </c>
      <c r="D385">
        <v>8</v>
      </c>
      <c r="E385" s="1">
        <f>_xlfn.XLOOKUP(Sheet1[[#This Row],[day_id]],calendar!A20,calendar!B20)</f>
        <v>40590</v>
      </c>
      <c r="F385" t="str">
        <f>_xlfn.XLOOKUP(Sheet1[[#This Row],[day_id]],calendar!A20,calendar!C20)</f>
        <v>Wednesday</v>
      </c>
      <c r="G385">
        <f>_xlfn.XLOOKUP(Sheet1[[#This Row],[day_id]],calendar!A20,calendar!E20)</f>
        <v>2</v>
      </c>
      <c r="H385">
        <f>_xlfn.XLOOKUP(Sheet1[[#This Row],[day_id]],calendar!A20,calendar!F20)</f>
        <v>2011</v>
      </c>
      <c r="I385" t="str">
        <f>_xlfn.XLOOKUP(Sheet1[[#This Row],[day_id]],calendar!A20,calendar!J20)</f>
        <v>No Event</v>
      </c>
      <c r="J385" t="str">
        <f>_xlfn.XLOOKUP(Sheet1[[#This Row],[day_id]],calendar!A20,calendar!K20)</f>
        <v>No Event Type</v>
      </c>
      <c r="K385">
        <f>_xlfn.XLOOKUP(Sheet1[[#This Row],[day_id]],calendar!A20,calendar!I20)</f>
        <v>0</v>
      </c>
    </row>
    <row r="386" spans="1:11" x14ac:dyDescent="0.2">
      <c r="A386" t="s">
        <v>370</v>
      </c>
      <c r="B386" t="s">
        <v>369</v>
      </c>
      <c r="C386" t="s">
        <v>21</v>
      </c>
      <c r="D386">
        <v>10</v>
      </c>
      <c r="E386" s="1">
        <f>_xlfn.XLOOKUP(Sheet1[[#This Row],[day_id]],calendar!A21,calendar!B21)</f>
        <v>40591</v>
      </c>
      <c r="F386" t="str">
        <f>_xlfn.XLOOKUP(Sheet1[[#This Row],[day_id]],calendar!A21,calendar!C21)</f>
        <v>Thursday</v>
      </c>
      <c r="G386">
        <f>_xlfn.XLOOKUP(Sheet1[[#This Row],[day_id]],calendar!A21,calendar!E21)</f>
        <v>2</v>
      </c>
      <c r="H386">
        <f>_xlfn.XLOOKUP(Sheet1[[#This Row],[day_id]],calendar!A21,calendar!F21)</f>
        <v>2011</v>
      </c>
      <c r="I386" t="str">
        <f>_xlfn.XLOOKUP(Sheet1[[#This Row],[day_id]],calendar!A21,calendar!J21)</f>
        <v>No Event</v>
      </c>
      <c r="J386" t="str">
        <f>_xlfn.XLOOKUP(Sheet1[[#This Row],[day_id]],calendar!A21,calendar!K21)</f>
        <v>No Event Type</v>
      </c>
      <c r="K386">
        <f>_xlfn.XLOOKUP(Sheet1[[#This Row],[day_id]],calendar!A21,calendar!I21)</f>
        <v>0</v>
      </c>
    </row>
    <row r="387" spans="1:11" x14ac:dyDescent="0.2">
      <c r="A387" t="s">
        <v>370</v>
      </c>
      <c r="B387" t="s">
        <v>369</v>
      </c>
      <c r="C387" t="s">
        <v>22</v>
      </c>
      <c r="D387">
        <v>6</v>
      </c>
      <c r="E387" s="1">
        <f>_xlfn.XLOOKUP(Sheet1[[#This Row],[day_id]],calendar!A22,calendar!B22)</f>
        <v>40592</v>
      </c>
      <c r="F387" t="str">
        <f>_xlfn.XLOOKUP(Sheet1[[#This Row],[day_id]],calendar!A22,calendar!C22)</f>
        <v>Friday</v>
      </c>
      <c r="G387">
        <f>_xlfn.XLOOKUP(Sheet1[[#This Row],[day_id]],calendar!A22,calendar!E22)</f>
        <v>2</v>
      </c>
      <c r="H387">
        <f>_xlfn.XLOOKUP(Sheet1[[#This Row],[day_id]],calendar!A22,calendar!F22)</f>
        <v>2011</v>
      </c>
      <c r="I387" t="str">
        <f>_xlfn.XLOOKUP(Sheet1[[#This Row],[day_id]],calendar!A22,calendar!J22)</f>
        <v>No Event</v>
      </c>
      <c r="J387" t="str">
        <f>_xlfn.XLOOKUP(Sheet1[[#This Row],[day_id]],calendar!A22,calendar!K22)</f>
        <v>No Event Type</v>
      </c>
      <c r="K387">
        <f>_xlfn.XLOOKUP(Sheet1[[#This Row],[day_id]],calendar!A22,calendar!I22)</f>
        <v>0</v>
      </c>
    </row>
    <row r="388" spans="1:11" x14ac:dyDescent="0.2">
      <c r="A388" t="s">
        <v>370</v>
      </c>
      <c r="B388" t="s">
        <v>369</v>
      </c>
      <c r="C388" t="s">
        <v>23</v>
      </c>
      <c r="D388">
        <v>25</v>
      </c>
      <c r="E388" s="1">
        <f>_xlfn.XLOOKUP(Sheet1[[#This Row],[day_id]],calendar!A23,calendar!B23)</f>
        <v>40593</v>
      </c>
      <c r="F388" t="str">
        <f>_xlfn.XLOOKUP(Sheet1[[#This Row],[day_id]],calendar!A23,calendar!C23)</f>
        <v>Saturday</v>
      </c>
      <c r="G388">
        <f>_xlfn.XLOOKUP(Sheet1[[#This Row],[day_id]],calendar!A23,calendar!E23)</f>
        <v>2</v>
      </c>
      <c r="H388">
        <f>_xlfn.XLOOKUP(Sheet1[[#This Row],[day_id]],calendar!A23,calendar!F23)</f>
        <v>2011</v>
      </c>
      <c r="I388" t="str">
        <f>_xlfn.XLOOKUP(Sheet1[[#This Row],[day_id]],calendar!A23,calendar!J23)</f>
        <v>No Event</v>
      </c>
      <c r="J388" t="str">
        <f>_xlfn.XLOOKUP(Sheet1[[#This Row],[day_id]],calendar!A23,calendar!K23)</f>
        <v>No Event Type</v>
      </c>
      <c r="K388">
        <f>_xlfn.XLOOKUP(Sheet1[[#This Row],[day_id]],calendar!A23,calendar!I23)</f>
        <v>0</v>
      </c>
    </row>
    <row r="389" spans="1:11" x14ac:dyDescent="0.2">
      <c r="A389" t="s">
        <v>370</v>
      </c>
      <c r="B389" t="s">
        <v>369</v>
      </c>
      <c r="C389" t="s">
        <v>24</v>
      </c>
      <c r="D389">
        <v>24</v>
      </c>
      <c r="E389" s="1">
        <f>_xlfn.XLOOKUP(Sheet1[[#This Row],[day_id]],calendar!A24,calendar!B24)</f>
        <v>40594</v>
      </c>
      <c r="F389" t="str">
        <f>_xlfn.XLOOKUP(Sheet1[[#This Row],[day_id]],calendar!A24,calendar!C24)</f>
        <v>Sunday</v>
      </c>
      <c r="G389">
        <f>_xlfn.XLOOKUP(Sheet1[[#This Row],[day_id]],calendar!A24,calendar!E24)</f>
        <v>2</v>
      </c>
      <c r="H389">
        <f>_xlfn.XLOOKUP(Sheet1[[#This Row],[day_id]],calendar!A24,calendar!F24)</f>
        <v>2011</v>
      </c>
      <c r="I389" t="str">
        <f>_xlfn.XLOOKUP(Sheet1[[#This Row],[day_id]],calendar!A24,calendar!J24)</f>
        <v>No Event</v>
      </c>
      <c r="J389" t="str">
        <f>_xlfn.XLOOKUP(Sheet1[[#This Row],[day_id]],calendar!A24,calendar!K24)</f>
        <v>No Event Type</v>
      </c>
      <c r="K389">
        <f>_xlfn.XLOOKUP(Sheet1[[#This Row],[day_id]],calendar!A24,calendar!I24)</f>
        <v>0</v>
      </c>
    </row>
    <row r="390" spans="1:11" x14ac:dyDescent="0.2">
      <c r="A390" t="s">
        <v>370</v>
      </c>
      <c r="B390" t="s">
        <v>369</v>
      </c>
      <c r="C390" t="s">
        <v>25</v>
      </c>
      <c r="D390">
        <v>7</v>
      </c>
      <c r="E390" s="1">
        <f>_xlfn.XLOOKUP(Sheet1[[#This Row],[day_id]],calendar!A25,calendar!B25)</f>
        <v>40595</v>
      </c>
      <c r="F390" t="str">
        <f>_xlfn.XLOOKUP(Sheet1[[#This Row],[day_id]],calendar!A25,calendar!C25)</f>
        <v>Monday</v>
      </c>
      <c r="G390">
        <f>_xlfn.XLOOKUP(Sheet1[[#This Row],[day_id]],calendar!A25,calendar!E25)</f>
        <v>2</v>
      </c>
      <c r="H390">
        <f>_xlfn.XLOOKUP(Sheet1[[#This Row],[day_id]],calendar!A25,calendar!F25)</f>
        <v>2011</v>
      </c>
      <c r="I390" t="str">
        <f>_xlfn.XLOOKUP(Sheet1[[#This Row],[day_id]],calendar!A25,calendar!J25)</f>
        <v>PresidentsDay</v>
      </c>
      <c r="J390" t="str">
        <f>_xlfn.XLOOKUP(Sheet1[[#This Row],[day_id]],calendar!A25,calendar!K25)</f>
        <v>National</v>
      </c>
      <c r="K390">
        <f>_xlfn.XLOOKUP(Sheet1[[#This Row],[day_id]],calendar!A25,calendar!I25)</f>
        <v>0</v>
      </c>
    </row>
    <row r="391" spans="1:11" x14ac:dyDescent="0.2">
      <c r="A391" t="s">
        <v>370</v>
      </c>
      <c r="B391" t="s">
        <v>369</v>
      </c>
      <c r="C391" t="s">
        <v>26</v>
      </c>
      <c r="D391">
        <v>10</v>
      </c>
      <c r="E391" s="1">
        <f>_xlfn.XLOOKUP(Sheet1[[#This Row],[day_id]],calendar!A26,calendar!B26)</f>
        <v>40596</v>
      </c>
      <c r="F391" t="str">
        <f>_xlfn.XLOOKUP(Sheet1[[#This Row],[day_id]],calendar!A26,calendar!C26)</f>
        <v>Tuesday</v>
      </c>
      <c r="G391">
        <f>_xlfn.XLOOKUP(Sheet1[[#This Row],[day_id]],calendar!A26,calendar!E26)</f>
        <v>2</v>
      </c>
      <c r="H391">
        <f>_xlfn.XLOOKUP(Sheet1[[#This Row],[day_id]],calendar!A26,calendar!F26)</f>
        <v>2011</v>
      </c>
      <c r="I391" t="str">
        <f>_xlfn.XLOOKUP(Sheet1[[#This Row],[day_id]],calendar!A26,calendar!J26)</f>
        <v>No Event</v>
      </c>
      <c r="J391" t="str">
        <f>_xlfn.XLOOKUP(Sheet1[[#This Row],[day_id]],calendar!A26,calendar!K26)</f>
        <v>No Event Type</v>
      </c>
      <c r="K391">
        <f>_xlfn.XLOOKUP(Sheet1[[#This Row],[day_id]],calendar!A26,calendar!I26)</f>
        <v>0</v>
      </c>
    </row>
    <row r="392" spans="1:11" x14ac:dyDescent="0.2">
      <c r="A392" t="s">
        <v>370</v>
      </c>
      <c r="B392" t="s">
        <v>369</v>
      </c>
      <c r="C392" t="s">
        <v>27</v>
      </c>
      <c r="D392">
        <v>6</v>
      </c>
      <c r="E392" s="1">
        <f>_xlfn.XLOOKUP(Sheet1[[#This Row],[day_id]],calendar!A27,calendar!B27)</f>
        <v>40597</v>
      </c>
      <c r="F392" t="str">
        <f>_xlfn.XLOOKUP(Sheet1[[#This Row],[day_id]],calendar!A27,calendar!C27)</f>
        <v>Wednesday</v>
      </c>
      <c r="G392">
        <f>_xlfn.XLOOKUP(Sheet1[[#This Row],[day_id]],calendar!A27,calendar!E27)</f>
        <v>2</v>
      </c>
      <c r="H392">
        <f>_xlfn.XLOOKUP(Sheet1[[#This Row],[day_id]],calendar!A27,calendar!F27)</f>
        <v>2011</v>
      </c>
      <c r="I392" t="str">
        <f>_xlfn.XLOOKUP(Sheet1[[#This Row],[day_id]],calendar!A27,calendar!J27)</f>
        <v>No Event</v>
      </c>
      <c r="J392" t="str">
        <f>_xlfn.XLOOKUP(Sheet1[[#This Row],[day_id]],calendar!A27,calendar!K27)</f>
        <v>No Event Type</v>
      </c>
      <c r="K392">
        <f>_xlfn.XLOOKUP(Sheet1[[#This Row],[day_id]],calendar!A27,calendar!I27)</f>
        <v>0</v>
      </c>
    </row>
    <row r="393" spans="1:11" x14ac:dyDescent="0.2">
      <c r="A393" t="s">
        <v>370</v>
      </c>
      <c r="B393" t="s">
        <v>369</v>
      </c>
      <c r="C393" t="s">
        <v>28</v>
      </c>
      <c r="D393">
        <v>14</v>
      </c>
      <c r="E393" s="1">
        <f>_xlfn.XLOOKUP(Sheet1[[#This Row],[day_id]],calendar!A28,calendar!B28)</f>
        <v>40598</v>
      </c>
      <c r="F393" t="str">
        <f>_xlfn.XLOOKUP(Sheet1[[#This Row],[day_id]],calendar!A28,calendar!C28)</f>
        <v>Thursday</v>
      </c>
      <c r="G393">
        <f>_xlfn.XLOOKUP(Sheet1[[#This Row],[day_id]],calendar!A28,calendar!E28)</f>
        <v>2</v>
      </c>
      <c r="H393">
        <f>_xlfn.XLOOKUP(Sheet1[[#This Row],[day_id]],calendar!A28,calendar!F28)</f>
        <v>2011</v>
      </c>
      <c r="I393" t="str">
        <f>_xlfn.XLOOKUP(Sheet1[[#This Row],[day_id]],calendar!A28,calendar!J28)</f>
        <v>No Event</v>
      </c>
      <c r="J393" t="str">
        <f>_xlfn.XLOOKUP(Sheet1[[#This Row],[day_id]],calendar!A28,calendar!K28)</f>
        <v>No Event Type</v>
      </c>
      <c r="K393">
        <f>_xlfn.XLOOKUP(Sheet1[[#This Row],[day_id]],calendar!A28,calendar!I28)</f>
        <v>0</v>
      </c>
    </row>
    <row r="394" spans="1:11" x14ac:dyDescent="0.2">
      <c r="A394" t="s">
        <v>370</v>
      </c>
      <c r="B394" t="s">
        <v>369</v>
      </c>
      <c r="C394" t="s">
        <v>29</v>
      </c>
      <c r="D394">
        <v>27</v>
      </c>
      <c r="E394" s="1">
        <f>_xlfn.XLOOKUP(Sheet1[[#This Row],[day_id]],calendar!A29,calendar!B29)</f>
        <v>40599</v>
      </c>
      <c r="F394" t="str">
        <f>_xlfn.XLOOKUP(Sheet1[[#This Row],[day_id]],calendar!A29,calendar!C29)</f>
        <v>Friday</v>
      </c>
      <c r="G394">
        <f>_xlfn.XLOOKUP(Sheet1[[#This Row],[day_id]],calendar!A29,calendar!E29)</f>
        <v>2</v>
      </c>
      <c r="H394">
        <f>_xlfn.XLOOKUP(Sheet1[[#This Row],[day_id]],calendar!A29,calendar!F29)</f>
        <v>2011</v>
      </c>
      <c r="I394" t="str">
        <f>_xlfn.XLOOKUP(Sheet1[[#This Row],[day_id]],calendar!A29,calendar!J29)</f>
        <v>No Event</v>
      </c>
      <c r="J394" t="str">
        <f>_xlfn.XLOOKUP(Sheet1[[#This Row],[day_id]],calendar!A29,calendar!K29)</f>
        <v>No Event Type</v>
      </c>
      <c r="K394">
        <f>_xlfn.XLOOKUP(Sheet1[[#This Row],[day_id]],calendar!A29,calendar!I29)</f>
        <v>0</v>
      </c>
    </row>
    <row r="395" spans="1:11" x14ac:dyDescent="0.2">
      <c r="A395" t="s">
        <v>370</v>
      </c>
      <c r="B395" t="s">
        <v>369</v>
      </c>
      <c r="C395" t="s">
        <v>30</v>
      </c>
      <c r="D395">
        <v>24</v>
      </c>
      <c r="E395" s="1">
        <f>_xlfn.XLOOKUP(Sheet1[[#This Row],[day_id]],calendar!A30,calendar!B30)</f>
        <v>40600</v>
      </c>
      <c r="F395" t="str">
        <f>_xlfn.XLOOKUP(Sheet1[[#This Row],[day_id]],calendar!A30,calendar!C30)</f>
        <v>Saturday</v>
      </c>
      <c r="G395">
        <f>_xlfn.XLOOKUP(Sheet1[[#This Row],[day_id]],calendar!A30,calendar!E30)</f>
        <v>2</v>
      </c>
      <c r="H395">
        <f>_xlfn.XLOOKUP(Sheet1[[#This Row],[day_id]],calendar!A30,calendar!F30)</f>
        <v>2011</v>
      </c>
      <c r="I395" t="str">
        <f>_xlfn.XLOOKUP(Sheet1[[#This Row],[day_id]],calendar!A30,calendar!J30)</f>
        <v>No Event</v>
      </c>
      <c r="J395" t="str">
        <f>_xlfn.XLOOKUP(Sheet1[[#This Row],[day_id]],calendar!A30,calendar!K30)</f>
        <v>No Event Type</v>
      </c>
      <c r="K395">
        <f>_xlfn.XLOOKUP(Sheet1[[#This Row],[day_id]],calendar!A30,calendar!I30)</f>
        <v>0</v>
      </c>
    </row>
    <row r="396" spans="1:11" x14ac:dyDescent="0.2">
      <c r="A396" t="s">
        <v>370</v>
      </c>
      <c r="B396" t="s">
        <v>369</v>
      </c>
      <c r="C396" t="s">
        <v>31</v>
      </c>
      <c r="D396">
        <v>8</v>
      </c>
      <c r="E396" s="1">
        <f>_xlfn.XLOOKUP(Sheet1[[#This Row],[day_id]],calendar!A31,calendar!B31)</f>
        <v>40601</v>
      </c>
      <c r="F396" t="str">
        <f>_xlfn.XLOOKUP(Sheet1[[#This Row],[day_id]],calendar!A31,calendar!C31)</f>
        <v>Sunday</v>
      </c>
      <c r="G396">
        <f>_xlfn.XLOOKUP(Sheet1[[#This Row],[day_id]],calendar!A31,calendar!E31)</f>
        <v>2</v>
      </c>
      <c r="H396">
        <f>_xlfn.XLOOKUP(Sheet1[[#This Row],[day_id]],calendar!A31,calendar!F31)</f>
        <v>2011</v>
      </c>
      <c r="I396" t="str">
        <f>_xlfn.XLOOKUP(Sheet1[[#This Row],[day_id]],calendar!A31,calendar!J31)</f>
        <v>No Event</v>
      </c>
      <c r="J396" t="str">
        <f>_xlfn.XLOOKUP(Sheet1[[#This Row],[day_id]],calendar!A31,calendar!K31)</f>
        <v>No Event Type</v>
      </c>
      <c r="K396">
        <f>_xlfn.XLOOKUP(Sheet1[[#This Row],[day_id]],calendar!A31,calendar!I31)</f>
        <v>0</v>
      </c>
    </row>
    <row r="397" spans="1:11" x14ac:dyDescent="0.2">
      <c r="A397" t="s">
        <v>370</v>
      </c>
      <c r="B397" t="s">
        <v>369</v>
      </c>
      <c r="C397" t="s">
        <v>32</v>
      </c>
      <c r="D397">
        <v>3</v>
      </c>
      <c r="E397" s="1">
        <f>_xlfn.XLOOKUP(Sheet1[[#This Row],[day_id]],calendar!A32,calendar!B32)</f>
        <v>40602</v>
      </c>
      <c r="F397" t="str">
        <f>_xlfn.XLOOKUP(Sheet1[[#This Row],[day_id]],calendar!A32,calendar!C32)</f>
        <v>Monday</v>
      </c>
      <c r="G397">
        <f>_xlfn.XLOOKUP(Sheet1[[#This Row],[day_id]],calendar!A32,calendar!E32)</f>
        <v>2</v>
      </c>
      <c r="H397">
        <f>_xlfn.XLOOKUP(Sheet1[[#This Row],[day_id]],calendar!A32,calendar!F32)</f>
        <v>2011</v>
      </c>
      <c r="I397" t="str">
        <f>_xlfn.XLOOKUP(Sheet1[[#This Row],[day_id]],calendar!A32,calendar!J32)</f>
        <v>No Event</v>
      </c>
      <c r="J397" t="str">
        <f>_xlfn.XLOOKUP(Sheet1[[#This Row],[day_id]],calendar!A32,calendar!K32)</f>
        <v>No Event Type</v>
      </c>
      <c r="K397">
        <f>_xlfn.XLOOKUP(Sheet1[[#This Row],[day_id]],calendar!A32,calendar!I32)</f>
        <v>0</v>
      </c>
    </row>
    <row r="398" spans="1:11" x14ac:dyDescent="0.2">
      <c r="A398" t="s">
        <v>370</v>
      </c>
      <c r="B398" t="s">
        <v>369</v>
      </c>
      <c r="C398" t="s">
        <v>33</v>
      </c>
      <c r="D398">
        <v>4</v>
      </c>
      <c r="E398" s="1">
        <f>_xlfn.XLOOKUP(Sheet1[[#This Row],[day_id]],calendar!A33,calendar!B33)</f>
        <v>40603</v>
      </c>
      <c r="F398" t="str">
        <f>_xlfn.XLOOKUP(Sheet1[[#This Row],[day_id]],calendar!A33,calendar!C33)</f>
        <v>Tuesday</v>
      </c>
      <c r="G398">
        <f>_xlfn.XLOOKUP(Sheet1[[#This Row],[day_id]],calendar!A33,calendar!E33)</f>
        <v>3</v>
      </c>
      <c r="H398">
        <f>_xlfn.XLOOKUP(Sheet1[[#This Row],[day_id]],calendar!A33,calendar!F33)</f>
        <v>2011</v>
      </c>
      <c r="I398" t="str">
        <f>_xlfn.XLOOKUP(Sheet1[[#This Row],[day_id]],calendar!A33,calendar!J33)</f>
        <v>No Event</v>
      </c>
      <c r="J398" t="str">
        <f>_xlfn.XLOOKUP(Sheet1[[#This Row],[day_id]],calendar!A33,calendar!K33)</f>
        <v>No Event Type</v>
      </c>
      <c r="K398">
        <f>_xlfn.XLOOKUP(Sheet1[[#This Row],[day_id]],calendar!A33,calendar!I33)</f>
        <v>1</v>
      </c>
    </row>
    <row r="399" spans="1:11" x14ac:dyDescent="0.2">
      <c r="A399" t="s">
        <v>370</v>
      </c>
      <c r="B399" t="s">
        <v>369</v>
      </c>
      <c r="C399" t="s">
        <v>34</v>
      </c>
      <c r="D399">
        <v>3</v>
      </c>
      <c r="E399" s="1">
        <f>_xlfn.XLOOKUP(Sheet1[[#This Row],[day_id]],calendar!A34,calendar!B34)</f>
        <v>40604</v>
      </c>
      <c r="F399" t="str">
        <f>_xlfn.XLOOKUP(Sheet1[[#This Row],[day_id]],calendar!A34,calendar!C34)</f>
        <v>Wednesday</v>
      </c>
      <c r="G399">
        <f>_xlfn.XLOOKUP(Sheet1[[#This Row],[day_id]],calendar!A34,calendar!E34)</f>
        <v>3</v>
      </c>
      <c r="H399">
        <f>_xlfn.XLOOKUP(Sheet1[[#This Row],[day_id]],calendar!A34,calendar!F34)</f>
        <v>2011</v>
      </c>
      <c r="I399" t="str">
        <f>_xlfn.XLOOKUP(Sheet1[[#This Row],[day_id]],calendar!A34,calendar!J34)</f>
        <v>No Event</v>
      </c>
      <c r="J399" t="str">
        <f>_xlfn.XLOOKUP(Sheet1[[#This Row],[day_id]],calendar!A34,calendar!K34)</f>
        <v>No Event Type</v>
      </c>
      <c r="K399">
        <f>_xlfn.XLOOKUP(Sheet1[[#This Row],[day_id]],calendar!A34,calendar!I34)</f>
        <v>1</v>
      </c>
    </row>
    <row r="400" spans="1:11" x14ac:dyDescent="0.2">
      <c r="A400" t="s">
        <v>370</v>
      </c>
      <c r="B400" t="s">
        <v>369</v>
      </c>
      <c r="C400" t="s">
        <v>35</v>
      </c>
      <c r="D400">
        <v>6</v>
      </c>
      <c r="E400" s="1">
        <f>_xlfn.XLOOKUP(Sheet1[[#This Row],[day_id]],calendar!A35,calendar!B35)</f>
        <v>40605</v>
      </c>
      <c r="F400" t="str">
        <f>_xlfn.XLOOKUP(Sheet1[[#This Row],[day_id]],calendar!A35,calendar!C35)</f>
        <v>Thursday</v>
      </c>
      <c r="G400">
        <f>_xlfn.XLOOKUP(Sheet1[[#This Row],[day_id]],calendar!A35,calendar!E35)</f>
        <v>3</v>
      </c>
      <c r="H400">
        <f>_xlfn.XLOOKUP(Sheet1[[#This Row],[day_id]],calendar!A35,calendar!F35)</f>
        <v>2011</v>
      </c>
      <c r="I400" t="str">
        <f>_xlfn.XLOOKUP(Sheet1[[#This Row],[day_id]],calendar!A35,calendar!J35)</f>
        <v>No Event</v>
      </c>
      <c r="J400" t="str">
        <f>_xlfn.XLOOKUP(Sheet1[[#This Row],[day_id]],calendar!A35,calendar!K35)</f>
        <v>No Event Type</v>
      </c>
      <c r="K400">
        <f>_xlfn.XLOOKUP(Sheet1[[#This Row],[day_id]],calendar!A35,calendar!I35)</f>
        <v>1</v>
      </c>
    </row>
    <row r="401" spans="1:11" x14ac:dyDescent="0.2">
      <c r="A401" t="s">
        <v>370</v>
      </c>
      <c r="B401" t="s">
        <v>369</v>
      </c>
      <c r="C401" t="s">
        <v>36</v>
      </c>
      <c r="D401">
        <v>1</v>
      </c>
      <c r="E401" s="1">
        <f>_xlfn.XLOOKUP(Sheet1[[#This Row],[day_id]],calendar!A36,calendar!B36)</f>
        <v>40606</v>
      </c>
      <c r="F401" t="str">
        <f>_xlfn.XLOOKUP(Sheet1[[#This Row],[day_id]],calendar!A36,calendar!C36)</f>
        <v>Friday</v>
      </c>
      <c r="G401">
        <f>_xlfn.XLOOKUP(Sheet1[[#This Row],[day_id]],calendar!A36,calendar!E36)</f>
        <v>3</v>
      </c>
      <c r="H401">
        <f>_xlfn.XLOOKUP(Sheet1[[#This Row],[day_id]],calendar!A36,calendar!F36)</f>
        <v>2011</v>
      </c>
      <c r="I401" t="str">
        <f>_xlfn.XLOOKUP(Sheet1[[#This Row],[day_id]],calendar!A36,calendar!J36)</f>
        <v>No Event</v>
      </c>
      <c r="J401" t="str">
        <f>_xlfn.XLOOKUP(Sheet1[[#This Row],[day_id]],calendar!A36,calendar!K36)</f>
        <v>No Event Type</v>
      </c>
      <c r="K401">
        <f>_xlfn.XLOOKUP(Sheet1[[#This Row],[day_id]],calendar!A36,calendar!I36)</f>
        <v>1</v>
      </c>
    </row>
    <row r="402" spans="1:11" x14ac:dyDescent="0.2">
      <c r="A402" t="s">
        <v>370</v>
      </c>
      <c r="B402" t="s">
        <v>369</v>
      </c>
      <c r="C402" t="s">
        <v>37</v>
      </c>
      <c r="D402">
        <v>1</v>
      </c>
      <c r="E402" s="1">
        <f>_xlfn.XLOOKUP(Sheet1[[#This Row],[day_id]],calendar!A37,calendar!B37)</f>
        <v>40607</v>
      </c>
      <c r="F402" t="str">
        <f>_xlfn.XLOOKUP(Sheet1[[#This Row],[day_id]],calendar!A37,calendar!C37)</f>
        <v>Saturday</v>
      </c>
      <c r="G402">
        <f>_xlfn.XLOOKUP(Sheet1[[#This Row],[day_id]],calendar!A37,calendar!E37)</f>
        <v>3</v>
      </c>
      <c r="H402">
        <f>_xlfn.XLOOKUP(Sheet1[[#This Row],[day_id]],calendar!A37,calendar!F37)</f>
        <v>2011</v>
      </c>
      <c r="I402" t="str">
        <f>_xlfn.XLOOKUP(Sheet1[[#This Row],[day_id]],calendar!A37,calendar!J37)</f>
        <v>No Event</v>
      </c>
      <c r="J402" t="str">
        <f>_xlfn.XLOOKUP(Sheet1[[#This Row],[day_id]],calendar!A37,calendar!K37)</f>
        <v>No Event Type</v>
      </c>
      <c r="K402">
        <f>_xlfn.XLOOKUP(Sheet1[[#This Row],[day_id]],calendar!A37,calendar!I37)</f>
        <v>1</v>
      </c>
    </row>
    <row r="403" spans="1:11" x14ac:dyDescent="0.2">
      <c r="A403" t="s">
        <v>370</v>
      </c>
      <c r="B403" t="s">
        <v>369</v>
      </c>
      <c r="C403" t="s">
        <v>38</v>
      </c>
      <c r="D403">
        <v>1</v>
      </c>
      <c r="E403" s="1">
        <f>_xlfn.XLOOKUP(Sheet1[[#This Row],[day_id]],calendar!A38,calendar!B38)</f>
        <v>40608</v>
      </c>
      <c r="F403" t="str">
        <f>_xlfn.XLOOKUP(Sheet1[[#This Row],[day_id]],calendar!A38,calendar!C38)</f>
        <v>Sunday</v>
      </c>
      <c r="G403">
        <f>_xlfn.XLOOKUP(Sheet1[[#This Row],[day_id]],calendar!A38,calendar!E38)</f>
        <v>3</v>
      </c>
      <c r="H403">
        <f>_xlfn.XLOOKUP(Sheet1[[#This Row],[day_id]],calendar!A38,calendar!F38)</f>
        <v>2011</v>
      </c>
      <c r="I403" t="str">
        <f>_xlfn.XLOOKUP(Sheet1[[#This Row],[day_id]],calendar!A38,calendar!J38)</f>
        <v>No Event</v>
      </c>
      <c r="J403" t="str">
        <f>_xlfn.XLOOKUP(Sheet1[[#This Row],[day_id]],calendar!A38,calendar!K38)</f>
        <v>No Event Type</v>
      </c>
      <c r="K403">
        <f>_xlfn.XLOOKUP(Sheet1[[#This Row],[day_id]],calendar!A38,calendar!I38)</f>
        <v>1</v>
      </c>
    </row>
    <row r="404" spans="1:11" x14ac:dyDescent="0.2">
      <c r="A404" t="s">
        <v>370</v>
      </c>
      <c r="B404" t="s">
        <v>369</v>
      </c>
      <c r="C404" t="s">
        <v>39</v>
      </c>
      <c r="D404">
        <v>0</v>
      </c>
      <c r="E404" s="1">
        <f>_xlfn.XLOOKUP(Sheet1[[#This Row],[day_id]],calendar!A39,calendar!B39)</f>
        <v>40609</v>
      </c>
      <c r="F404" t="str">
        <f>_xlfn.XLOOKUP(Sheet1[[#This Row],[day_id]],calendar!A39,calendar!C39)</f>
        <v>Monday</v>
      </c>
      <c r="G404">
        <f>_xlfn.XLOOKUP(Sheet1[[#This Row],[day_id]],calendar!A39,calendar!E39)</f>
        <v>3</v>
      </c>
      <c r="H404">
        <f>_xlfn.XLOOKUP(Sheet1[[#This Row],[day_id]],calendar!A39,calendar!F39)</f>
        <v>2011</v>
      </c>
      <c r="I404" t="str">
        <f>_xlfn.XLOOKUP(Sheet1[[#This Row],[day_id]],calendar!A39,calendar!J39)</f>
        <v>No Event</v>
      </c>
      <c r="J404" t="str">
        <f>_xlfn.XLOOKUP(Sheet1[[#This Row],[day_id]],calendar!A39,calendar!K39)</f>
        <v>No Event Type</v>
      </c>
      <c r="K404">
        <f>_xlfn.XLOOKUP(Sheet1[[#This Row],[day_id]],calendar!A39,calendar!I39)</f>
        <v>1</v>
      </c>
    </row>
    <row r="405" spans="1:11" x14ac:dyDescent="0.2">
      <c r="A405" t="s">
        <v>370</v>
      </c>
      <c r="B405" t="s">
        <v>369</v>
      </c>
      <c r="C405" t="s">
        <v>40</v>
      </c>
      <c r="D405">
        <v>31</v>
      </c>
      <c r="E405" s="1">
        <f>_xlfn.XLOOKUP(Sheet1[[#This Row],[day_id]],calendar!A40,calendar!B40)</f>
        <v>40610</v>
      </c>
      <c r="F405" t="str">
        <f>_xlfn.XLOOKUP(Sheet1[[#This Row],[day_id]],calendar!A40,calendar!C40)</f>
        <v>Tuesday</v>
      </c>
      <c r="G405">
        <f>_xlfn.XLOOKUP(Sheet1[[#This Row],[day_id]],calendar!A40,calendar!E40)</f>
        <v>3</v>
      </c>
      <c r="H405">
        <f>_xlfn.XLOOKUP(Sheet1[[#This Row],[day_id]],calendar!A40,calendar!F40)</f>
        <v>2011</v>
      </c>
      <c r="I405" t="str">
        <f>_xlfn.XLOOKUP(Sheet1[[#This Row],[day_id]],calendar!A40,calendar!J40)</f>
        <v>No Event</v>
      </c>
      <c r="J405" t="str">
        <f>_xlfn.XLOOKUP(Sheet1[[#This Row],[day_id]],calendar!A40,calendar!K40)</f>
        <v>No Event Type</v>
      </c>
      <c r="K405">
        <f>_xlfn.XLOOKUP(Sheet1[[#This Row],[day_id]],calendar!A40,calendar!I40)</f>
        <v>1</v>
      </c>
    </row>
    <row r="406" spans="1:11" x14ac:dyDescent="0.2">
      <c r="A406" t="s">
        <v>370</v>
      </c>
      <c r="B406" t="s">
        <v>369</v>
      </c>
      <c r="C406" t="s">
        <v>41</v>
      </c>
      <c r="D406">
        <v>25</v>
      </c>
      <c r="E406" s="1">
        <f>_xlfn.XLOOKUP(Sheet1[[#This Row],[day_id]],calendar!A41,calendar!B41)</f>
        <v>40611</v>
      </c>
      <c r="F406" t="str">
        <f>_xlfn.XLOOKUP(Sheet1[[#This Row],[day_id]],calendar!A41,calendar!C41)</f>
        <v>Wednesday</v>
      </c>
      <c r="G406">
        <f>_xlfn.XLOOKUP(Sheet1[[#This Row],[day_id]],calendar!A41,calendar!E41)</f>
        <v>3</v>
      </c>
      <c r="H406">
        <f>_xlfn.XLOOKUP(Sheet1[[#This Row],[day_id]],calendar!A41,calendar!F41)</f>
        <v>2011</v>
      </c>
      <c r="I406" t="str">
        <f>_xlfn.XLOOKUP(Sheet1[[#This Row],[day_id]],calendar!A41,calendar!J41)</f>
        <v>LentStart</v>
      </c>
      <c r="J406" t="str">
        <f>_xlfn.XLOOKUP(Sheet1[[#This Row],[day_id]],calendar!A41,calendar!K41)</f>
        <v>Religious</v>
      </c>
      <c r="K406">
        <f>_xlfn.XLOOKUP(Sheet1[[#This Row],[day_id]],calendar!A41,calendar!I41)</f>
        <v>1</v>
      </c>
    </row>
    <row r="407" spans="1:11" x14ac:dyDescent="0.2">
      <c r="A407" t="s">
        <v>370</v>
      </c>
      <c r="B407" t="s">
        <v>369</v>
      </c>
      <c r="C407" t="s">
        <v>42</v>
      </c>
      <c r="D407">
        <v>19</v>
      </c>
      <c r="E407" s="1">
        <f>_xlfn.XLOOKUP(Sheet1[[#This Row],[day_id]],calendar!A42,calendar!B42)</f>
        <v>40612</v>
      </c>
      <c r="F407" t="str">
        <f>_xlfn.XLOOKUP(Sheet1[[#This Row],[day_id]],calendar!A42,calendar!C42)</f>
        <v>Thursday</v>
      </c>
      <c r="G407">
        <f>_xlfn.XLOOKUP(Sheet1[[#This Row],[day_id]],calendar!A42,calendar!E42)</f>
        <v>3</v>
      </c>
      <c r="H407">
        <f>_xlfn.XLOOKUP(Sheet1[[#This Row],[day_id]],calendar!A42,calendar!F42)</f>
        <v>2011</v>
      </c>
      <c r="I407" t="str">
        <f>_xlfn.XLOOKUP(Sheet1[[#This Row],[day_id]],calendar!A42,calendar!J42)</f>
        <v>No Event</v>
      </c>
      <c r="J407" t="str">
        <f>_xlfn.XLOOKUP(Sheet1[[#This Row],[day_id]],calendar!A42,calendar!K42)</f>
        <v>No Event Type</v>
      </c>
      <c r="K407">
        <f>_xlfn.XLOOKUP(Sheet1[[#This Row],[day_id]],calendar!A42,calendar!I42)</f>
        <v>1</v>
      </c>
    </row>
    <row r="408" spans="1:11" x14ac:dyDescent="0.2">
      <c r="A408" t="s">
        <v>370</v>
      </c>
      <c r="B408" t="s">
        <v>369</v>
      </c>
      <c r="C408" t="s">
        <v>43</v>
      </c>
      <c r="D408">
        <v>27</v>
      </c>
      <c r="E408" s="1">
        <f>_xlfn.XLOOKUP(Sheet1[[#This Row],[day_id]],calendar!A43,calendar!B43)</f>
        <v>40613</v>
      </c>
      <c r="F408" t="str">
        <f>_xlfn.XLOOKUP(Sheet1[[#This Row],[day_id]],calendar!A43,calendar!C43)</f>
        <v>Friday</v>
      </c>
      <c r="G408">
        <f>_xlfn.XLOOKUP(Sheet1[[#This Row],[day_id]],calendar!A43,calendar!E43)</f>
        <v>3</v>
      </c>
      <c r="H408">
        <f>_xlfn.XLOOKUP(Sheet1[[#This Row],[day_id]],calendar!A43,calendar!F43)</f>
        <v>2011</v>
      </c>
      <c r="I408" t="str">
        <f>_xlfn.XLOOKUP(Sheet1[[#This Row],[day_id]],calendar!A43,calendar!J43)</f>
        <v>No Event</v>
      </c>
      <c r="J408" t="str">
        <f>_xlfn.XLOOKUP(Sheet1[[#This Row],[day_id]],calendar!A43,calendar!K43)</f>
        <v>No Event Type</v>
      </c>
      <c r="K408">
        <f>_xlfn.XLOOKUP(Sheet1[[#This Row],[day_id]],calendar!A43,calendar!I43)</f>
        <v>0</v>
      </c>
    </row>
    <row r="409" spans="1:11" x14ac:dyDescent="0.2">
      <c r="A409" t="s">
        <v>370</v>
      </c>
      <c r="B409" t="s">
        <v>369</v>
      </c>
      <c r="C409" t="s">
        <v>44</v>
      </c>
      <c r="D409">
        <v>34</v>
      </c>
      <c r="E409" s="1">
        <f>_xlfn.XLOOKUP(Sheet1[[#This Row],[day_id]],calendar!A44,calendar!B44)</f>
        <v>40614</v>
      </c>
      <c r="F409" t="str">
        <f>_xlfn.XLOOKUP(Sheet1[[#This Row],[day_id]],calendar!A44,calendar!C44)</f>
        <v>Saturday</v>
      </c>
      <c r="G409">
        <f>_xlfn.XLOOKUP(Sheet1[[#This Row],[day_id]],calendar!A44,calendar!E44)</f>
        <v>3</v>
      </c>
      <c r="H409">
        <f>_xlfn.XLOOKUP(Sheet1[[#This Row],[day_id]],calendar!A44,calendar!F44)</f>
        <v>2011</v>
      </c>
      <c r="I409" t="str">
        <f>_xlfn.XLOOKUP(Sheet1[[#This Row],[day_id]],calendar!A44,calendar!J44)</f>
        <v>No Event</v>
      </c>
      <c r="J409" t="str">
        <f>_xlfn.XLOOKUP(Sheet1[[#This Row],[day_id]],calendar!A44,calendar!K44)</f>
        <v>No Event Type</v>
      </c>
      <c r="K409">
        <f>_xlfn.XLOOKUP(Sheet1[[#This Row],[day_id]],calendar!A44,calendar!I44)</f>
        <v>0</v>
      </c>
    </row>
    <row r="410" spans="1:11" x14ac:dyDescent="0.2">
      <c r="A410" t="s">
        <v>370</v>
      </c>
      <c r="B410" t="s">
        <v>369</v>
      </c>
      <c r="C410" t="s">
        <v>45</v>
      </c>
      <c r="D410">
        <v>32</v>
      </c>
      <c r="E410" s="1">
        <f>_xlfn.XLOOKUP(Sheet1[[#This Row],[day_id]],calendar!A45,calendar!B45)</f>
        <v>40615</v>
      </c>
      <c r="F410" t="str">
        <f>_xlfn.XLOOKUP(Sheet1[[#This Row],[day_id]],calendar!A45,calendar!C45)</f>
        <v>Sunday</v>
      </c>
      <c r="G410">
        <f>_xlfn.XLOOKUP(Sheet1[[#This Row],[day_id]],calendar!A45,calendar!E45)</f>
        <v>3</v>
      </c>
      <c r="H410">
        <f>_xlfn.XLOOKUP(Sheet1[[#This Row],[day_id]],calendar!A45,calendar!F45)</f>
        <v>2011</v>
      </c>
      <c r="I410" t="str">
        <f>_xlfn.XLOOKUP(Sheet1[[#This Row],[day_id]],calendar!A45,calendar!J45)</f>
        <v>No Event</v>
      </c>
      <c r="J410" t="str">
        <f>_xlfn.XLOOKUP(Sheet1[[#This Row],[day_id]],calendar!A45,calendar!K45)</f>
        <v>No Event Type</v>
      </c>
      <c r="K410">
        <f>_xlfn.XLOOKUP(Sheet1[[#This Row],[day_id]],calendar!A45,calendar!I45)</f>
        <v>0</v>
      </c>
    </row>
    <row r="411" spans="1:11" x14ac:dyDescent="0.2">
      <c r="A411" t="s">
        <v>370</v>
      </c>
      <c r="B411" t="s">
        <v>369</v>
      </c>
      <c r="C411" t="s">
        <v>46</v>
      </c>
      <c r="D411">
        <v>12</v>
      </c>
      <c r="E411" s="1">
        <f>_xlfn.XLOOKUP(Sheet1[[#This Row],[day_id]],calendar!A46,calendar!B46)</f>
        <v>40616</v>
      </c>
      <c r="F411" t="str">
        <f>_xlfn.XLOOKUP(Sheet1[[#This Row],[day_id]],calendar!A46,calendar!C46)</f>
        <v>Monday</v>
      </c>
      <c r="G411">
        <f>_xlfn.XLOOKUP(Sheet1[[#This Row],[day_id]],calendar!A46,calendar!E46)</f>
        <v>3</v>
      </c>
      <c r="H411">
        <f>_xlfn.XLOOKUP(Sheet1[[#This Row],[day_id]],calendar!A46,calendar!F46)</f>
        <v>2011</v>
      </c>
      <c r="I411" t="str">
        <f>_xlfn.XLOOKUP(Sheet1[[#This Row],[day_id]],calendar!A46,calendar!J46)</f>
        <v>No Event</v>
      </c>
      <c r="J411" t="str">
        <f>_xlfn.XLOOKUP(Sheet1[[#This Row],[day_id]],calendar!A46,calendar!K46)</f>
        <v>No Event Type</v>
      </c>
      <c r="K411">
        <f>_xlfn.XLOOKUP(Sheet1[[#This Row],[day_id]],calendar!A46,calendar!I46)</f>
        <v>0</v>
      </c>
    </row>
    <row r="412" spans="1:11" x14ac:dyDescent="0.2">
      <c r="A412" t="s">
        <v>370</v>
      </c>
      <c r="B412" t="s">
        <v>369</v>
      </c>
      <c r="C412" t="s">
        <v>47</v>
      </c>
      <c r="D412">
        <v>20</v>
      </c>
      <c r="E412" s="1">
        <f>_xlfn.XLOOKUP(Sheet1[[#This Row],[day_id]],calendar!A47,calendar!B47)</f>
        <v>40617</v>
      </c>
      <c r="F412" t="str">
        <f>_xlfn.XLOOKUP(Sheet1[[#This Row],[day_id]],calendar!A47,calendar!C47)</f>
        <v>Tuesday</v>
      </c>
      <c r="G412">
        <f>_xlfn.XLOOKUP(Sheet1[[#This Row],[day_id]],calendar!A47,calendar!E47)</f>
        <v>3</v>
      </c>
      <c r="H412">
        <f>_xlfn.XLOOKUP(Sheet1[[#This Row],[day_id]],calendar!A47,calendar!F47)</f>
        <v>2011</v>
      </c>
      <c r="I412" t="str">
        <f>_xlfn.XLOOKUP(Sheet1[[#This Row],[day_id]],calendar!A47,calendar!J47)</f>
        <v>No Event</v>
      </c>
      <c r="J412" t="str">
        <f>_xlfn.XLOOKUP(Sheet1[[#This Row],[day_id]],calendar!A47,calendar!K47)</f>
        <v>No Event Type</v>
      </c>
      <c r="K412">
        <f>_xlfn.XLOOKUP(Sheet1[[#This Row],[day_id]],calendar!A47,calendar!I47)</f>
        <v>0</v>
      </c>
    </row>
    <row r="413" spans="1:11" x14ac:dyDescent="0.2">
      <c r="A413" t="s">
        <v>370</v>
      </c>
      <c r="B413" t="s">
        <v>369</v>
      </c>
      <c r="C413" t="s">
        <v>48</v>
      </c>
      <c r="D413">
        <v>14</v>
      </c>
      <c r="E413" s="1">
        <f>_xlfn.XLOOKUP(Sheet1[[#This Row],[day_id]],calendar!A48,calendar!B48)</f>
        <v>40618</v>
      </c>
      <c r="F413" t="str">
        <f>_xlfn.XLOOKUP(Sheet1[[#This Row],[day_id]],calendar!A48,calendar!C48)</f>
        <v>Wednesday</v>
      </c>
      <c r="G413">
        <f>_xlfn.XLOOKUP(Sheet1[[#This Row],[day_id]],calendar!A48,calendar!E48)</f>
        <v>3</v>
      </c>
      <c r="H413">
        <f>_xlfn.XLOOKUP(Sheet1[[#This Row],[day_id]],calendar!A48,calendar!F48)</f>
        <v>2011</v>
      </c>
      <c r="I413" t="str">
        <f>_xlfn.XLOOKUP(Sheet1[[#This Row],[day_id]],calendar!A48,calendar!J48)</f>
        <v>LentWeek2</v>
      </c>
      <c r="J413" t="str">
        <f>_xlfn.XLOOKUP(Sheet1[[#This Row],[day_id]],calendar!A48,calendar!K48)</f>
        <v>Religious</v>
      </c>
      <c r="K413">
        <f>_xlfn.XLOOKUP(Sheet1[[#This Row],[day_id]],calendar!A48,calendar!I48)</f>
        <v>0</v>
      </c>
    </row>
    <row r="414" spans="1:11" x14ac:dyDescent="0.2">
      <c r="A414" t="s">
        <v>370</v>
      </c>
      <c r="B414" t="s">
        <v>369</v>
      </c>
      <c r="C414" t="s">
        <v>49</v>
      </c>
      <c r="D414">
        <v>8</v>
      </c>
      <c r="E414" s="1">
        <f>_xlfn.XLOOKUP(Sheet1[[#This Row],[day_id]],calendar!A49,calendar!B49)</f>
        <v>40619</v>
      </c>
      <c r="F414" t="str">
        <f>_xlfn.XLOOKUP(Sheet1[[#This Row],[day_id]],calendar!A49,calendar!C49)</f>
        <v>Thursday</v>
      </c>
      <c r="G414">
        <f>_xlfn.XLOOKUP(Sheet1[[#This Row],[day_id]],calendar!A49,calendar!E49)</f>
        <v>3</v>
      </c>
      <c r="H414">
        <f>_xlfn.XLOOKUP(Sheet1[[#This Row],[day_id]],calendar!A49,calendar!F49)</f>
        <v>2011</v>
      </c>
      <c r="I414" t="str">
        <f>_xlfn.XLOOKUP(Sheet1[[#This Row],[day_id]],calendar!A49,calendar!J49)</f>
        <v>StPatricksDay</v>
      </c>
      <c r="J414" t="str">
        <f>_xlfn.XLOOKUP(Sheet1[[#This Row],[day_id]],calendar!A49,calendar!K49)</f>
        <v>Cultural</v>
      </c>
      <c r="K414">
        <f>_xlfn.XLOOKUP(Sheet1[[#This Row],[day_id]],calendar!A49,calendar!I49)</f>
        <v>0</v>
      </c>
    </row>
    <row r="415" spans="1:11" x14ac:dyDescent="0.2">
      <c r="A415" t="s">
        <v>370</v>
      </c>
      <c r="B415" t="s">
        <v>369</v>
      </c>
      <c r="C415" t="s">
        <v>50</v>
      </c>
      <c r="D415">
        <v>33</v>
      </c>
      <c r="E415" s="1">
        <f>_xlfn.XLOOKUP(Sheet1[[#This Row],[day_id]],calendar!A50,calendar!B50)</f>
        <v>40620</v>
      </c>
      <c r="F415" t="str">
        <f>_xlfn.XLOOKUP(Sheet1[[#This Row],[day_id]],calendar!A50,calendar!C50)</f>
        <v>Friday</v>
      </c>
      <c r="G415">
        <f>_xlfn.XLOOKUP(Sheet1[[#This Row],[day_id]],calendar!A50,calendar!E50)</f>
        <v>3</v>
      </c>
      <c r="H415">
        <f>_xlfn.XLOOKUP(Sheet1[[#This Row],[day_id]],calendar!A50,calendar!F50)</f>
        <v>2011</v>
      </c>
      <c r="I415" t="str">
        <f>_xlfn.XLOOKUP(Sheet1[[#This Row],[day_id]],calendar!A50,calendar!J50)</f>
        <v>No Event</v>
      </c>
      <c r="J415" t="str">
        <f>_xlfn.XLOOKUP(Sheet1[[#This Row],[day_id]],calendar!A50,calendar!K50)</f>
        <v>No Event Type</v>
      </c>
      <c r="K415">
        <f>_xlfn.XLOOKUP(Sheet1[[#This Row],[day_id]],calendar!A50,calendar!I50)</f>
        <v>0</v>
      </c>
    </row>
    <row r="416" spans="1:11" x14ac:dyDescent="0.2">
      <c r="A416" t="s">
        <v>370</v>
      </c>
      <c r="B416" t="s">
        <v>369</v>
      </c>
      <c r="C416" t="s">
        <v>51</v>
      </c>
      <c r="D416">
        <v>41</v>
      </c>
      <c r="E416" s="1">
        <f>_xlfn.XLOOKUP(Sheet1[[#This Row],[day_id]],calendar!A51,calendar!B51)</f>
        <v>40621</v>
      </c>
      <c r="F416" t="str">
        <f>_xlfn.XLOOKUP(Sheet1[[#This Row],[day_id]],calendar!A51,calendar!C51)</f>
        <v>Saturday</v>
      </c>
      <c r="G416">
        <f>_xlfn.XLOOKUP(Sheet1[[#This Row],[day_id]],calendar!A51,calendar!E51)</f>
        <v>3</v>
      </c>
      <c r="H416">
        <f>_xlfn.XLOOKUP(Sheet1[[#This Row],[day_id]],calendar!A51,calendar!F51)</f>
        <v>2011</v>
      </c>
      <c r="I416" t="str">
        <f>_xlfn.XLOOKUP(Sheet1[[#This Row],[day_id]],calendar!A51,calendar!J51)</f>
        <v>No Event</v>
      </c>
      <c r="J416" t="str">
        <f>_xlfn.XLOOKUP(Sheet1[[#This Row],[day_id]],calendar!A51,calendar!K51)</f>
        <v>No Event Type</v>
      </c>
      <c r="K416">
        <f>_xlfn.XLOOKUP(Sheet1[[#This Row],[day_id]],calendar!A51,calendar!I51)</f>
        <v>0</v>
      </c>
    </row>
    <row r="417" spans="1:11" x14ac:dyDescent="0.2">
      <c r="A417" t="s">
        <v>370</v>
      </c>
      <c r="B417" t="s">
        <v>369</v>
      </c>
      <c r="C417" t="s">
        <v>52</v>
      </c>
      <c r="D417">
        <v>14</v>
      </c>
      <c r="E417" s="1">
        <f>_xlfn.XLOOKUP(Sheet1[[#This Row],[day_id]],calendar!A52,calendar!B52)</f>
        <v>40622</v>
      </c>
      <c r="F417" t="str">
        <f>_xlfn.XLOOKUP(Sheet1[[#This Row],[day_id]],calendar!A52,calendar!C52)</f>
        <v>Sunday</v>
      </c>
      <c r="G417">
        <f>_xlfn.XLOOKUP(Sheet1[[#This Row],[day_id]],calendar!A52,calendar!E52)</f>
        <v>3</v>
      </c>
      <c r="H417">
        <f>_xlfn.XLOOKUP(Sheet1[[#This Row],[day_id]],calendar!A52,calendar!F52)</f>
        <v>2011</v>
      </c>
      <c r="I417" t="str">
        <f>_xlfn.XLOOKUP(Sheet1[[#This Row],[day_id]],calendar!A52,calendar!J52)</f>
        <v>Purim End</v>
      </c>
      <c r="J417" t="str">
        <f>_xlfn.XLOOKUP(Sheet1[[#This Row],[day_id]],calendar!A52,calendar!K52)</f>
        <v>Religious</v>
      </c>
      <c r="K417">
        <f>_xlfn.XLOOKUP(Sheet1[[#This Row],[day_id]],calendar!A52,calendar!I52)</f>
        <v>0</v>
      </c>
    </row>
    <row r="418" spans="1:11" x14ac:dyDescent="0.2">
      <c r="A418" t="s">
        <v>370</v>
      </c>
      <c r="B418" t="s">
        <v>369</v>
      </c>
      <c r="C418" t="s">
        <v>53</v>
      </c>
      <c r="D418">
        <v>18</v>
      </c>
      <c r="E418" s="1">
        <f>_xlfn.XLOOKUP(Sheet1[[#This Row],[day_id]],calendar!A53,calendar!B53)</f>
        <v>40623</v>
      </c>
      <c r="F418" t="str">
        <f>_xlfn.XLOOKUP(Sheet1[[#This Row],[day_id]],calendar!A53,calendar!C53)</f>
        <v>Monday</v>
      </c>
      <c r="G418">
        <f>_xlfn.XLOOKUP(Sheet1[[#This Row],[day_id]],calendar!A53,calendar!E53)</f>
        <v>3</v>
      </c>
      <c r="H418">
        <f>_xlfn.XLOOKUP(Sheet1[[#This Row],[day_id]],calendar!A53,calendar!F53)</f>
        <v>2011</v>
      </c>
      <c r="I418" t="str">
        <f>_xlfn.XLOOKUP(Sheet1[[#This Row],[day_id]],calendar!A53,calendar!J53)</f>
        <v>No Event</v>
      </c>
      <c r="J418" t="str">
        <f>_xlfn.XLOOKUP(Sheet1[[#This Row],[day_id]],calendar!A53,calendar!K53)</f>
        <v>No Event Type</v>
      </c>
      <c r="K418">
        <f>_xlfn.XLOOKUP(Sheet1[[#This Row],[day_id]],calendar!A53,calendar!I53)</f>
        <v>0</v>
      </c>
    </row>
    <row r="419" spans="1:11" x14ac:dyDescent="0.2">
      <c r="A419" t="s">
        <v>370</v>
      </c>
      <c r="B419" t="s">
        <v>369</v>
      </c>
      <c r="C419" t="s">
        <v>54</v>
      </c>
      <c r="D419">
        <v>15</v>
      </c>
      <c r="E419" s="1">
        <f>_xlfn.XLOOKUP(Sheet1[[#This Row],[day_id]],calendar!A54,calendar!B54)</f>
        <v>40624</v>
      </c>
      <c r="F419" t="str">
        <f>_xlfn.XLOOKUP(Sheet1[[#This Row],[day_id]],calendar!A54,calendar!C54)</f>
        <v>Tuesday</v>
      </c>
      <c r="G419">
        <f>_xlfn.XLOOKUP(Sheet1[[#This Row],[day_id]],calendar!A54,calendar!E54)</f>
        <v>3</v>
      </c>
      <c r="H419">
        <f>_xlfn.XLOOKUP(Sheet1[[#This Row],[day_id]],calendar!A54,calendar!F54)</f>
        <v>2011</v>
      </c>
      <c r="I419" t="str">
        <f>_xlfn.XLOOKUP(Sheet1[[#This Row],[day_id]],calendar!A54,calendar!J54)</f>
        <v>No Event</v>
      </c>
      <c r="J419" t="str">
        <f>_xlfn.XLOOKUP(Sheet1[[#This Row],[day_id]],calendar!A54,calendar!K54)</f>
        <v>No Event Type</v>
      </c>
      <c r="K419">
        <f>_xlfn.XLOOKUP(Sheet1[[#This Row],[day_id]],calendar!A54,calendar!I54)</f>
        <v>0</v>
      </c>
    </row>
    <row r="420" spans="1:11" x14ac:dyDescent="0.2">
      <c r="A420" t="s">
        <v>370</v>
      </c>
      <c r="B420" t="s">
        <v>369</v>
      </c>
      <c r="C420" t="s">
        <v>55</v>
      </c>
      <c r="D420">
        <v>7</v>
      </c>
      <c r="E420" s="1">
        <f>_xlfn.XLOOKUP(Sheet1[[#This Row],[day_id]],calendar!A55,calendar!B55)</f>
        <v>40625</v>
      </c>
      <c r="F420" t="str">
        <f>_xlfn.XLOOKUP(Sheet1[[#This Row],[day_id]],calendar!A55,calendar!C55)</f>
        <v>Wednesday</v>
      </c>
      <c r="G420">
        <f>_xlfn.XLOOKUP(Sheet1[[#This Row],[day_id]],calendar!A55,calendar!E55)</f>
        <v>3</v>
      </c>
      <c r="H420">
        <f>_xlfn.XLOOKUP(Sheet1[[#This Row],[day_id]],calendar!A55,calendar!F55)</f>
        <v>2011</v>
      </c>
      <c r="I420" t="str">
        <f>_xlfn.XLOOKUP(Sheet1[[#This Row],[day_id]],calendar!A55,calendar!J55)</f>
        <v>No Event</v>
      </c>
      <c r="J420" t="str">
        <f>_xlfn.XLOOKUP(Sheet1[[#This Row],[day_id]],calendar!A55,calendar!K55)</f>
        <v>No Event Type</v>
      </c>
      <c r="K420">
        <f>_xlfn.XLOOKUP(Sheet1[[#This Row],[day_id]],calendar!A55,calendar!I55)</f>
        <v>0</v>
      </c>
    </row>
    <row r="421" spans="1:11" x14ac:dyDescent="0.2">
      <c r="A421" t="s">
        <v>370</v>
      </c>
      <c r="B421" t="s">
        <v>369</v>
      </c>
      <c r="C421" t="s">
        <v>56</v>
      </c>
      <c r="D421">
        <v>15</v>
      </c>
      <c r="E421" s="1">
        <f>_xlfn.XLOOKUP(Sheet1[[#This Row],[day_id]],calendar!A56,calendar!B56)</f>
        <v>40626</v>
      </c>
      <c r="F421" t="str">
        <f>_xlfn.XLOOKUP(Sheet1[[#This Row],[day_id]],calendar!A56,calendar!C56)</f>
        <v>Thursday</v>
      </c>
      <c r="G421">
        <f>_xlfn.XLOOKUP(Sheet1[[#This Row],[day_id]],calendar!A56,calendar!E56)</f>
        <v>3</v>
      </c>
      <c r="H421">
        <f>_xlfn.XLOOKUP(Sheet1[[#This Row],[day_id]],calendar!A56,calendar!F56)</f>
        <v>2011</v>
      </c>
      <c r="I421" t="str">
        <f>_xlfn.XLOOKUP(Sheet1[[#This Row],[day_id]],calendar!A56,calendar!J56)</f>
        <v>No Event</v>
      </c>
      <c r="J421" t="str">
        <f>_xlfn.XLOOKUP(Sheet1[[#This Row],[day_id]],calendar!A56,calendar!K56)</f>
        <v>No Event Type</v>
      </c>
      <c r="K421">
        <f>_xlfn.XLOOKUP(Sheet1[[#This Row],[day_id]],calendar!A56,calendar!I56)</f>
        <v>0</v>
      </c>
    </row>
    <row r="422" spans="1:11" x14ac:dyDescent="0.2">
      <c r="A422" t="s">
        <v>370</v>
      </c>
      <c r="B422" t="s">
        <v>369</v>
      </c>
      <c r="C422" t="s">
        <v>57</v>
      </c>
      <c r="D422">
        <v>18</v>
      </c>
      <c r="E422" s="1">
        <f>_xlfn.XLOOKUP(Sheet1[[#This Row],[day_id]],calendar!A57,calendar!B57)</f>
        <v>40627</v>
      </c>
      <c r="F422" t="str">
        <f>_xlfn.XLOOKUP(Sheet1[[#This Row],[day_id]],calendar!A57,calendar!C57)</f>
        <v>Friday</v>
      </c>
      <c r="G422">
        <f>_xlfn.XLOOKUP(Sheet1[[#This Row],[day_id]],calendar!A57,calendar!E57)</f>
        <v>3</v>
      </c>
      <c r="H422">
        <f>_xlfn.XLOOKUP(Sheet1[[#This Row],[day_id]],calendar!A57,calendar!F57)</f>
        <v>2011</v>
      </c>
      <c r="I422" t="str">
        <f>_xlfn.XLOOKUP(Sheet1[[#This Row],[day_id]],calendar!A57,calendar!J57)</f>
        <v>No Event</v>
      </c>
      <c r="J422" t="str">
        <f>_xlfn.XLOOKUP(Sheet1[[#This Row],[day_id]],calendar!A57,calendar!K57)</f>
        <v>No Event Type</v>
      </c>
      <c r="K422">
        <f>_xlfn.XLOOKUP(Sheet1[[#This Row],[day_id]],calendar!A57,calendar!I57)</f>
        <v>0</v>
      </c>
    </row>
    <row r="423" spans="1:11" x14ac:dyDescent="0.2">
      <c r="A423" t="s">
        <v>370</v>
      </c>
      <c r="B423" t="s">
        <v>369</v>
      </c>
      <c r="C423" t="s">
        <v>58</v>
      </c>
      <c r="D423">
        <v>20</v>
      </c>
      <c r="E423" s="1">
        <f>_xlfn.XLOOKUP(Sheet1[[#This Row],[day_id]],calendar!A58,calendar!B58)</f>
        <v>40628</v>
      </c>
      <c r="F423" t="str">
        <f>_xlfn.XLOOKUP(Sheet1[[#This Row],[day_id]],calendar!A58,calendar!C58)</f>
        <v>Saturday</v>
      </c>
      <c r="G423">
        <f>_xlfn.XLOOKUP(Sheet1[[#This Row],[day_id]],calendar!A58,calendar!E58)</f>
        <v>3</v>
      </c>
      <c r="H423">
        <f>_xlfn.XLOOKUP(Sheet1[[#This Row],[day_id]],calendar!A58,calendar!F58)</f>
        <v>2011</v>
      </c>
      <c r="I423" t="str">
        <f>_xlfn.XLOOKUP(Sheet1[[#This Row],[day_id]],calendar!A58,calendar!J58)</f>
        <v>No Event</v>
      </c>
      <c r="J423" t="str">
        <f>_xlfn.XLOOKUP(Sheet1[[#This Row],[day_id]],calendar!A58,calendar!K58)</f>
        <v>No Event Type</v>
      </c>
      <c r="K423">
        <f>_xlfn.XLOOKUP(Sheet1[[#This Row],[day_id]],calendar!A58,calendar!I58)</f>
        <v>0</v>
      </c>
    </row>
    <row r="424" spans="1:11" x14ac:dyDescent="0.2">
      <c r="A424" t="s">
        <v>370</v>
      </c>
      <c r="B424" t="s">
        <v>369</v>
      </c>
      <c r="C424" t="s">
        <v>59</v>
      </c>
      <c r="D424">
        <v>20</v>
      </c>
      <c r="E424" s="1">
        <f>_xlfn.XLOOKUP(Sheet1[[#This Row],[day_id]],calendar!A59,calendar!B59)</f>
        <v>40629</v>
      </c>
      <c r="F424" t="str">
        <f>_xlfn.XLOOKUP(Sheet1[[#This Row],[day_id]],calendar!A59,calendar!C59)</f>
        <v>Sunday</v>
      </c>
      <c r="G424">
        <f>_xlfn.XLOOKUP(Sheet1[[#This Row],[day_id]],calendar!A59,calendar!E59)</f>
        <v>3</v>
      </c>
      <c r="H424">
        <f>_xlfn.XLOOKUP(Sheet1[[#This Row],[day_id]],calendar!A59,calendar!F59)</f>
        <v>2011</v>
      </c>
      <c r="I424" t="str">
        <f>_xlfn.XLOOKUP(Sheet1[[#This Row],[day_id]],calendar!A59,calendar!J59)</f>
        <v>No Event</v>
      </c>
      <c r="J424" t="str">
        <f>_xlfn.XLOOKUP(Sheet1[[#This Row],[day_id]],calendar!A59,calendar!K59)</f>
        <v>No Event Type</v>
      </c>
      <c r="K424">
        <f>_xlfn.XLOOKUP(Sheet1[[#This Row],[day_id]],calendar!A59,calendar!I59)</f>
        <v>0</v>
      </c>
    </row>
    <row r="425" spans="1:11" x14ac:dyDescent="0.2">
      <c r="A425" t="s">
        <v>370</v>
      </c>
      <c r="B425" t="s">
        <v>369</v>
      </c>
      <c r="C425" t="s">
        <v>60</v>
      </c>
      <c r="D425">
        <v>10</v>
      </c>
      <c r="E425" s="1">
        <f>_xlfn.XLOOKUP(Sheet1[[#This Row],[day_id]],calendar!A60,calendar!B60)</f>
        <v>40630</v>
      </c>
      <c r="F425" t="str">
        <f>_xlfn.XLOOKUP(Sheet1[[#This Row],[day_id]],calendar!A60,calendar!C60)</f>
        <v>Monday</v>
      </c>
      <c r="G425">
        <f>_xlfn.XLOOKUP(Sheet1[[#This Row],[day_id]],calendar!A60,calendar!E60)</f>
        <v>3</v>
      </c>
      <c r="H425">
        <f>_xlfn.XLOOKUP(Sheet1[[#This Row],[day_id]],calendar!A60,calendar!F60)</f>
        <v>2011</v>
      </c>
      <c r="I425" t="str">
        <f>_xlfn.XLOOKUP(Sheet1[[#This Row],[day_id]],calendar!A60,calendar!J60)</f>
        <v>No Event</v>
      </c>
      <c r="J425" t="str">
        <f>_xlfn.XLOOKUP(Sheet1[[#This Row],[day_id]],calendar!A60,calendar!K60)</f>
        <v>No Event Type</v>
      </c>
      <c r="K425">
        <f>_xlfn.XLOOKUP(Sheet1[[#This Row],[day_id]],calendar!A60,calendar!I60)</f>
        <v>0</v>
      </c>
    </row>
    <row r="426" spans="1:11" x14ac:dyDescent="0.2">
      <c r="A426" t="s">
        <v>370</v>
      </c>
      <c r="B426" t="s">
        <v>369</v>
      </c>
      <c r="C426" t="s">
        <v>61</v>
      </c>
      <c r="D426">
        <v>10</v>
      </c>
      <c r="E426" s="1">
        <f>_xlfn.XLOOKUP(Sheet1[[#This Row],[day_id]],calendar!A61,calendar!B61)</f>
        <v>40631</v>
      </c>
      <c r="F426" t="str">
        <f>_xlfn.XLOOKUP(Sheet1[[#This Row],[day_id]],calendar!A61,calendar!C61)</f>
        <v>Tuesday</v>
      </c>
      <c r="G426">
        <f>_xlfn.XLOOKUP(Sheet1[[#This Row],[day_id]],calendar!A61,calendar!E61)</f>
        <v>3</v>
      </c>
      <c r="H426">
        <f>_xlfn.XLOOKUP(Sheet1[[#This Row],[day_id]],calendar!A61,calendar!F61)</f>
        <v>2011</v>
      </c>
      <c r="I426" t="str">
        <f>_xlfn.XLOOKUP(Sheet1[[#This Row],[day_id]],calendar!A61,calendar!J61)</f>
        <v>No Event</v>
      </c>
      <c r="J426" t="str">
        <f>_xlfn.XLOOKUP(Sheet1[[#This Row],[day_id]],calendar!A61,calendar!K61)</f>
        <v>No Event Type</v>
      </c>
      <c r="K426">
        <f>_xlfn.XLOOKUP(Sheet1[[#This Row],[day_id]],calendar!A61,calendar!I61)</f>
        <v>0</v>
      </c>
    </row>
    <row r="427" spans="1:11" x14ac:dyDescent="0.2">
      <c r="A427" t="s">
        <v>370</v>
      </c>
      <c r="B427" t="s">
        <v>369</v>
      </c>
      <c r="C427" t="s">
        <v>62</v>
      </c>
      <c r="D427">
        <v>3</v>
      </c>
      <c r="E427" s="1">
        <f>_xlfn.XLOOKUP(Sheet1[[#This Row],[day_id]],calendar!A62,calendar!B62)</f>
        <v>40632</v>
      </c>
      <c r="F427" t="str">
        <f>_xlfn.XLOOKUP(Sheet1[[#This Row],[day_id]],calendar!A62,calendar!C62)</f>
        <v>Wednesday</v>
      </c>
      <c r="G427">
        <f>_xlfn.XLOOKUP(Sheet1[[#This Row],[day_id]],calendar!A62,calendar!E62)</f>
        <v>3</v>
      </c>
      <c r="H427">
        <f>_xlfn.XLOOKUP(Sheet1[[#This Row],[day_id]],calendar!A62,calendar!F62)</f>
        <v>2011</v>
      </c>
      <c r="I427" t="str">
        <f>_xlfn.XLOOKUP(Sheet1[[#This Row],[day_id]],calendar!A62,calendar!J62)</f>
        <v>No Event</v>
      </c>
      <c r="J427" t="str">
        <f>_xlfn.XLOOKUP(Sheet1[[#This Row],[day_id]],calendar!A62,calendar!K62)</f>
        <v>No Event Type</v>
      </c>
      <c r="K427">
        <f>_xlfn.XLOOKUP(Sheet1[[#This Row],[day_id]],calendar!A62,calendar!I62)</f>
        <v>0</v>
      </c>
    </row>
    <row r="428" spans="1:11" x14ac:dyDescent="0.2">
      <c r="A428" t="s">
        <v>370</v>
      </c>
      <c r="B428" t="s">
        <v>369</v>
      </c>
      <c r="C428" t="s">
        <v>63</v>
      </c>
      <c r="D428">
        <v>6</v>
      </c>
      <c r="E428" s="1">
        <f>_xlfn.XLOOKUP(Sheet1[[#This Row],[day_id]],calendar!A63,calendar!B63)</f>
        <v>40633</v>
      </c>
      <c r="F428" t="str">
        <f>_xlfn.XLOOKUP(Sheet1[[#This Row],[day_id]],calendar!A63,calendar!C63)</f>
        <v>Thursday</v>
      </c>
      <c r="G428">
        <f>_xlfn.XLOOKUP(Sheet1[[#This Row],[day_id]],calendar!A63,calendar!E63)</f>
        <v>3</v>
      </c>
      <c r="H428">
        <f>_xlfn.XLOOKUP(Sheet1[[#This Row],[day_id]],calendar!A63,calendar!F63)</f>
        <v>2011</v>
      </c>
      <c r="I428" t="str">
        <f>_xlfn.XLOOKUP(Sheet1[[#This Row],[day_id]],calendar!A63,calendar!J63)</f>
        <v>No Event</v>
      </c>
      <c r="J428" t="str">
        <f>_xlfn.XLOOKUP(Sheet1[[#This Row],[day_id]],calendar!A63,calendar!K63)</f>
        <v>No Event Type</v>
      </c>
      <c r="K428">
        <f>_xlfn.XLOOKUP(Sheet1[[#This Row],[day_id]],calendar!A63,calendar!I63)</f>
        <v>0</v>
      </c>
    </row>
    <row r="429" spans="1:11" x14ac:dyDescent="0.2">
      <c r="A429" t="s">
        <v>370</v>
      </c>
      <c r="B429" t="s">
        <v>369</v>
      </c>
      <c r="C429" t="s">
        <v>64</v>
      </c>
      <c r="D429">
        <v>17</v>
      </c>
      <c r="E429" s="1">
        <f>_xlfn.XLOOKUP(Sheet1[[#This Row],[day_id]],calendar!A64,calendar!B64)</f>
        <v>40634</v>
      </c>
      <c r="F429" t="str">
        <f>_xlfn.XLOOKUP(Sheet1[[#This Row],[day_id]],calendar!A64,calendar!C64)</f>
        <v>Friday</v>
      </c>
      <c r="G429">
        <f>_xlfn.XLOOKUP(Sheet1[[#This Row],[day_id]],calendar!A64,calendar!E64)</f>
        <v>4</v>
      </c>
      <c r="H429">
        <f>_xlfn.XLOOKUP(Sheet1[[#This Row],[day_id]],calendar!A64,calendar!F64)</f>
        <v>2011</v>
      </c>
      <c r="I429" t="str">
        <f>_xlfn.XLOOKUP(Sheet1[[#This Row],[day_id]],calendar!A64,calendar!J64)</f>
        <v>No Event</v>
      </c>
      <c r="J429" t="str">
        <f>_xlfn.XLOOKUP(Sheet1[[#This Row],[day_id]],calendar!A64,calendar!K64)</f>
        <v>No Event Type</v>
      </c>
      <c r="K429">
        <f>_xlfn.XLOOKUP(Sheet1[[#This Row],[day_id]],calendar!A64,calendar!I64)</f>
        <v>1</v>
      </c>
    </row>
    <row r="430" spans="1:11" x14ac:dyDescent="0.2">
      <c r="A430" t="s">
        <v>370</v>
      </c>
      <c r="B430" t="s">
        <v>369</v>
      </c>
      <c r="C430" t="s">
        <v>65</v>
      </c>
      <c r="D430">
        <v>20</v>
      </c>
      <c r="E430" s="1">
        <f>_xlfn.XLOOKUP(Sheet1[[#This Row],[day_id]],calendar!A65,calendar!B65)</f>
        <v>40635</v>
      </c>
      <c r="F430" t="str">
        <f>_xlfn.XLOOKUP(Sheet1[[#This Row],[day_id]],calendar!A65,calendar!C65)</f>
        <v>Saturday</v>
      </c>
      <c r="G430">
        <f>_xlfn.XLOOKUP(Sheet1[[#This Row],[day_id]],calendar!A65,calendar!E65)</f>
        <v>4</v>
      </c>
      <c r="H430">
        <f>_xlfn.XLOOKUP(Sheet1[[#This Row],[day_id]],calendar!A65,calendar!F65)</f>
        <v>2011</v>
      </c>
      <c r="I430" t="str">
        <f>_xlfn.XLOOKUP(Sheet1[[#This Row],[day_id]],calendar!A65,calendar!J65)</f>
        <v>No Event</v>
      </c>
      <c r="J430" t="str">
        <f>_xlfn.XLOOKUP(Sheet1[[#This Row],[day_id]],calendar!A65,calendar!K65)</f>
        <v>No Event Type</v>
      </c>
      <c r="K430">
        <f>_xlfn.XLOOKUP(Sheet1[[#This Row],[day_id]],calendar!A65,calendar!I65)</f>
        <v>1</v>
      </c>
    </row>
    <row r="431" spans="1:11" x14ac:dyDescent="0.2">
      <c r="A431" t="s">
        <v>370</v>
      </c>
      <c r="B431" t="s">
        <v>369</v>
      </c>
      <c r="C431" t="s">
        <v>66</v>
      </c>
      <c r="D431">
        <v>11</v>
      </c>
      <c r="E431" s="1">
        <f>_xlfn.XLOOKUP(Sheet1[[#This Row],[day_id]],calendar!A66,calendar!B66)</f>
        <v>40636</v>
      </c>
      <c r="F431" t="str">
        <f>_xlfn.XLOOKUP(Sheet1[[#This Row],[day_id]],calendar!A66,calendar!C66)</f>
        <v>Sunday</v>
      </c>
      <c r="G431">
        <f>_xlfn.XLOOKUP(Sheet1[[#This Row],[day_id]],calendar!A66,calendar!E66)</f>
        <v>4</v>
      </c>
      <c r="H431">
        <f>_xlfn.XLOOKUP(Sheet1[[#This Row],[day_id]],calendar!A66,calendar!F66)</f>
        <v>2011</v>
      </c>
      <c r="I431" t="str">
        <f>_xlfn.XLOOKUP(Sheet1[[#This Row],[day_id]],calendar!A66,calendar!J66)</f>
        <v>No Event</v>
      </c>
      <c r="J431" t="str">
        <f>_xlfn.XLOOKUP(Sheet1[[#This Row],[day_id]],calendar!A66,calendar!K66)</f>
        <v>No Event Type</v>
      </c>
      <c r="K431">
        <f>_xlfn.XLOOKUP(Sheet1[[#This Row],[day_id]],calendar!A66,calendar!I66)</f>
        <v>1</v>
      </c>
    </row>
    <row r="432" spans="1:11" x14ac:dyDescent="0.2">
      <c r="A432" t="s">
        <v>370</v>
      </c>
      <c r="B432" t="s">
        <v>369</v>
      </c>
      <c r="C432" t="s">
        <v>67</v>
      </c>
      <c r="D432">
        <v>15</v>
      </c>
      <c r="E432" s="1">
        <f>_xlfn.XLOOKUP(Sheet1[[#This Row],[day_id]],calendar!A67,calendar!B67)</f>
        <v>40637</v>
      </c>
      <c r="F432" t="str">
        <f>_xlfn.XLOOKUP(Sheet1[[#This Row],[day_id]],calendar!A67,calendar!C67)</f>
        <v>Monday</v>
      </c>
      <c r="G432">
        <f>_xlfn.XLOOKUP(Sheet1[[#This Row],[day_id]],calendar!A67,calendar!E67)</f>
        <v>4</v>
      </c>
      <c r="H432">
        <f>_xlfn.XLOOKUP(Sheet1[[#This Row],[day_id]],calendar!A67,calendar!F67)</f>
        <v>2011</v>
      </c>
      <c r="I432" t="str">
        <f>_xlfn.XLOOKUP(Sheet1[[#This Row],[day_id]],calendar!A67,calendar!J67)</f>
        <v>No Event</v>
      </c>
      <c r="J432" t="str">
        <f>_xlfn.XLOOKUP(Sheet1[[#This Row],[day_id]],calendar!A67,calendar!K67)</f>
        <v>No Event Type</v>
      </c>
      <c r="K432">
        <f>_xlfn.XLOOKUP(Sheet1[[#This Row],[day_id]],calendar!A67,calendar!I67)</f>
        <v>1</v>
      </c>
    </row>
    <row r="433" spans="1:11" x14ac:dyDescent="0.2">
      <c r="A433" t="s">
        <v>370</v>
      </c>
      <c r="B433" t="s">
        <v>369</v>
      </c>
      <c r="C433" t="s">
        <v>68</v>
      </c>
      <c r="D433">
        <v>9</v>
      </c>
      <c r="E433" s="1">
        <f>_xlfn.XLOOKUP(Sheet1[[#This Row],[day_id]],calendar!A68,calendar!B68)</f>
        <v>40638</v>
      </c>
      <c r="F433" t="str">
        <f>_xlfn.XLOOKUP(Sheet1[[#This Row],[day_id]],calendar!A68,calendar!C68)</f>
        <v>Tuesday</v>
      </c>
      <c r="G433">
        <f>_xlfn.XLOOKUP(Sheet1[[#This Row],[day_id]],calendar!A68,calendar!E68)</f>
        <v>4</v>
      </c>
      <c r="H433">
        <f>_xlfn.XLOOKUP(Sheet1[[#This Row],[day_id]],calendar!A68,calendar!F68)</f>
        <v>2011</v>
      </c>
      <c r="I433" t="str">
        <f>_xlfn.XLOOKUP(Sheet1[[#This Row],[day_id]],calendar!A68,calendar!J68)</f>
        <v>No Event</v>
      </c>
      <c r="J433" t="str">
        <f>_xlfn.XLOOKUP(Sheet1[[#This Row],[day_id]],calendar!A68,calendar!K68)</f>
        <v>No Event Type</v>
      </c>
      <c r="K433">
        <f>_xlfn.XLOOKUP(Sheet1[[#This Row],[day_id]],calendar!A68,calendar!I68)</f>
        <v>1</v>
      </c>
    </row>
    <row r="434" spans="1:11" x14ac:dyDescent="0.2">
      <c r="A434" t="s">
        <v>370</v>
      </c>
      <c r="B434" t="s">
        <v>369</v>
      </c>
      <c r="C434" t="s">
        <v>69</v>
      </c>
      <c r="D434">
        <v>4</v>
      </c>
      <c r="E434" s="1">
        <f>_xlfn.XLOOKUP(Sheet1[[#This Row],[day_id]],calendar!A69,calendar!B69)</f>
        <v>40639</v>
      </c>
      <c r="F434" t="str">
        <f>_xlfn.XLOOKUP(Sheet1[[#This Row],[day_id]],calendar!A69,calendar!C69)</f>
        <v>Wednesday</v>
      </c>
      <c r="G434">
        <f>_xlfn.XLOOKUP(Sheet1[[#This Row],[day_id]],calendar!A69,calendar!E69)</f>
        <v>4</v>
      </c>
      <c r="H434">
        <f>_xlfn.XLOOKUP(Sheet1[[#This Row],[day_id]],calendar!A69,calendar!F69)</f>
        <v>2011</v>
      </c>
      <c r="I434" t="str">
        <f>_xlfn.XLOOKUP(Sheet1[[#This Row],[day_id]],calendar!A69,calendar!J69)</f>
        <v>No Event</v>
      </c>
      <c r="J434" t="str">
        <f>_xlfn.XLOOKUP(Sheet1[[#This Row],[day_id]],calendar!A69,calendar!K69)</f>
        <v>No Event Type</v>
      </c>
      <c r="K434">
        <f>_xlfn.XLOOKUP(Sheet1[[#This Row],[day_id]],calendar!A69,calendar!I69)</f>
        <v>1</v>
      </c>
    </row>
    <row r="435" spans="1:11" x14ac:dyDescent="0.2">
      <c r="A435" t="s">
        <v>370</v>
      </c>
      <c r="B435" t="s">
        <v>369</v>
      </c>
      <c r="C435" t="s">
        <v>70</v>
      </c>
      <c r="D435">
        <v>13</v>
      </c>
      <c r="E435" s="1">
        <f>_xlfn.XLOOKUP(Sheet1[[#This Row],[day_id]],calendar!A70,calendar!B70)</f>
        <v>40640</v>
      </c>
      <c r="F435" t="str">
        <f>_xlfn.XLOOKUP(Sheet1[[#This Row],[day_id]],calendar!A70,calendar!C70)</f>
        <v>Thursday</v>
      </c>
      <c r="G435">
        <f>_xlfn.XLOOKUP(Sheet1[[#This Row],[day_id]],calendar!A70,calendar!E70)</f>
        <v>4</v>
      </c>
      <c r="H435">
        <f>_xlfn.XLOOKUP(Sheet1[[#This Row],[day_id]],calendar!A70,calendar!F70)</f>
        <v>2011</v>
      </c>
      <c r="I435" t="str">
        <f>_xlfn.XLOOKUP(Sheet1[[#This Row],[day_id]],calendar!A70,calendar!J70)</f>
        <v>No Event</v>
      </c>
      <c r="J435" t="str">
        <f>_xlfn.XLOOKUP(Sheet1[[#This Row],[day_id]],calendar!A70,calendar!K70)</f>
        <v>No Event Type</v>
      </c>
      <c r="K435">
        <f>_xlfn.XLOOKUP(Sheet1[[#This Row],[day_id]],calendar!A70,calendar!I70)</f>
        <v>1</v>
      </c>
    </row>
    <row r="436" spans="1:11" x14ac:dyDescent="0.2">
      <c r="A436" t="s">
        <v>370</v>
      </c>
      <c r="B436" t="s">
        <v>369</v>
      </c>
      <c r="C436" t="s">
        <v>71</v>
      </c>
      <c r="D436">
        <v>7</v>
      </c>
      <c r="E436" s="1">
        <f>_xlfn.XLOOKUP(Sheet1[[#This Row],[day_id]],calendar!A71,calendar!B71)</f>
        <v>40641</v>
      </c>
      <c r="F436" t="str">
        <f>_xlfn.XLOOKUP(Sheet1[[#This Row],[day_id]],calendar!A71,calendar!C71)</f>
        <v>Friday</v>
      </c>
      <c r="G436">
        <f>_xlfn.XLOOKUP(Sheet1[[#This Row],[day_id]],calendar!A71,calendar!E71)</f>
        <v>4</v>
      </c>
      <c r="H436">
        <f>_xlfn.XLOOKUP(Sheet1[[#This Row],[day_id]],calendar!A71,calendar!F71)</f>
        <v>2011</v>
      </c>
      <c r="I436" t="str">
        <f>_xlfn.XLOOKUP(Sheet1[[#This Row],[day_id]],calendar!A71,calendar!J71)</f>
        <v>No Event</v>
      </c>
      <c r="J436" t="str">
        <f>_xlfn.XLOOKUP(Sheet1[[#This Row],[day_id]],calendar!A71,calendar!K71)</f>
        <v>No Event Type</v>
      </c>
      <c r="K436">
        <f>_xlfn.XLOOKUP(Sheet1[[#This Row],[day_id]],calendar!A71,calendar!I71)</f>
        <v>1</v>
      </c>
    </row>
    <row r="437" spans="1:11" x14ac:dyDescent="0.2">
      <c r="A437" t="s">
        <v>370</v>
      </c>
      <c r="B437" t="s">
        <v>369</v>
      </c>
      <c r="C437" t="s">
        <v>72</v>
      </c>
      <c r="D437">
        <v>16</v>
      </c>
      <c r="E437" s="1">
        <f>_xlfn.XLOOKUP(Sheet1[[#This Row],[day_id]],calendar!A72,calendar!B72)</f>
        <v>40642</v>
      </c>
      <c r="F437" t="str">
        <f>_xlfn.XLOOKUP(Sheet1[[#This Row],[day_id]],calendar!A72,calendar!C72)</f>
        <v>Saturday</v>
      </c>
      <c r="G437">
        <f>_xlfn.XLOOKUP(Sheet1[[#This Row],[day_id]],calendar!A72,calendar!E72)</f>
        <v>4</v>
      </c>
      <c r="H437">
        <f>_xlfn.XLOOKUP(Sheet1[[#This Row],[day_id]],calendar!A72,calendar!F72)</f>
        <v>2011</v>
      </c>
      <c r="I437" t="str">
        <f>_xlfn.XLOOKUP(Sheet1[[#This Row],[day_id]],calendar!A72,calendar!J72)</f>
        <v>No Event</v>
      </c>
      <c r="J437" t="str">
        <f>_xlfn.XLOOKUP(Sheet1[[#This Row],[day_id]],calendar!A72,calendar!K72)</f>
        <v>No Event Type</v>
      </c>
      <c r="K437">
        <f>_xlfn.XLOOKUP(Sheet1[[#This Row],[day_id]],calendar!A72,calendar!I72)</f>
        <v>1</v>
      </c>
    </row>
    <row r="438" spans="1:11" x14ac:dyDescent="0.2">
      <c r="A438" t="s">
        <v>370</v>
      </c>
      <c r="B438" t="s">
        <v>369</v>
      </c>
      <c r="C438" t="s">
        <v>73</v>
      </c>
      <c r="D438">
        <v>18</v>
      </c>
      <c r="E438" s="1">
        <f>_xlfn.XLOOKUP(Sheet1[[#This Row],[day_id]],calendar!A73,calendar!B73)</f>
        <v>40643</v>
      </c>
      <c r="F438" t="str">
        <f>_xlfn.XLOOKUP(Sheet1[[#This Row],[day_id]],calendar!A73,calendar!C73)</f>
        <v>Sunday</v>
      </c>
      <c r="G438">
        <f>_xlfn.XLOOKUP(Sheet1[[#This Row],[day_id]],calendar!A73,calendar!E73)</f>
        <v>4</v>
      </c>
      <c r="H438">
        <f>_xlfn.XLOOKUP(Sheet1[[#This Row],[day_id]],calendar!A73,calendar!F73)</f>
        <v>2011</v>
      </c>
      <c r="I438" t="str">
        <f>_xlfn.XLOOKUP(Sheet1[[#This Row],[day_id]],calendar!A73,calendar!J73)</f>
        <v>No Event</v>
      </c>
      <c r="J438" t="str">
        <f>_xlfn.XLOOKUP(Sheet1[[#This Row],[day_id]],calendar!A73,calendar!K73)</f>
        <v>No Event Type</v>
      </c>
      <c r="K438">
        <f>_xlfn.XLOOKUP(Sheet1[[#This Row],[day_id]],calendar!A73,calendar!I73)</f>
        <v>1</v>
      </c>
    </row>
    <row r="439" spans="1:11" x14ac:dyDescent="0.2">
      <c r="A439" t="s">
        <v>370</v>
      </c>
      <c r="B439" t="s">
        <v>369</v>
      </c>
      <c r="C439" t="s">
        <v>74</v>
      </c>
      <c r="D439">
        <v>12</v>
      </c>
      <c r="E439" s="1">
        <f>_xlfn.XLOOKUP(Sheet1[[#This Row],[day_id]],calendar!A74,calendar!B74)</f>
        <v>40644</v>
      </c>
      <c r="F439" t="str">
        <f>_xlfn.XLOOKUP(Sheet1[[#This Row],[day_id]],calendar!A74,calendar!C74)</f>
        <v>Monday</v>
      </c>
      <c r="G439">
        <f>_xlfn.XLOOKUP(Sheet1[[#This Row],[day_id]],calendar!A74,calendar!E74)</f>
        <v>4</v>
      </c>
      <c r="H439">
        <f>_xlfn.XLOOKUP(Sheet1[[#This Row],[day_id]],calendar!A74,calendar!F74)</f>
        <v>2011</v>
      </c>
      <c r="I439" t="str">
        <f>_xlfn.XLOOKUP(Sheet1[[#This Row],[day_id]],calendar!A74,calendar!J74)</f>
        <v>No Event</v>
      </c>
      <c r="J439" t="str">
        <f>_xlfn.XLOOKUP(Sheet1[[#This Row],[day_id]],calendar!A74,calendar!K74)</f>
        <v>No Event Type</v>
      </c>
      <c r="K439">
        <f>_xlfn.XLOOKUP(Sheet1[[#This Row],[day_id]],calendar!A74,calendar!I74)</f>
        <v>0</v>
      </c>
    </row>
    <row r="440" spans="1:11" x14ac:dyDescent="0.2">
      <c r="A440" t="s">
        <v>370</v>
      </c>
      <c r="B440" t="s">
        <v>369</v>
      </c>
      <c r="C440" t="s">
        <v>75</v>
      </c>
      <c r="D440">
        <v>8</v>
      </c>
      <c r="E440" s="1">
        <f>_xlfn.XLOOKUP(Sheet1[[#This Row],[day_id]],calendar!A75,calendar!B75)</f>
        <v>40645</v>
      </c>
      <c r="F440" t="str">
        <f>_xlfn.XLOOKUP(Sheet1[[#This Row],[day_id]],calendar!A75,calendar!C75)</f>
        <v>Tuesday</v>
      </c>
      <c r="G440">
        <f>_xlfn.XLOOKUP(Sheet1[[#This Row],[day_id]],calendar!A75,calendar!E75)</f>
        <v>4</v>
      </c>
      <c r="H440">
        <f>_xlfn.XLOOKUP(Sheet1[[#This Row],[day_id]],calendar!A75,calendar!F75)</f>
        <v>2011</v>
      </c>
      <c r="I440" t="str">
        <f>_xlfn.XLOOKUP(Sheet1[[#This Row],[day_id]],calendar!A75,calendar!J75)</f>
        <v>No Event</v>
      </c>
      <c r="J440" t="str">
        <f>_xlfn.XLOOKUP(Sheet1[[#This Row],[day_id]],calendar!A75,calendar!K75)</f>
        <v>No Event Type</v>
      </c>
      <c r="K440">
        <f>_xlfn.XLOOKUP(Sheet1[[#This Row],[day_id]],calendar!A75,calendar!I75)</f>
        <v>0</v>
      </c>
    </row>
    <row r="441" spans="1:11" x14ac:dyDescent="0.2">
      <c r="A441" t="s">
        <v>370</v>
      </c>
      <c r="B441" t="s">
        <v>369</v>
      </c>
      <c r="C441" t="s">
        <v>76</v>
      </c>
      <c r="D441">
        <v>8</v>
      </c>
      <c r="E441" s="1">
        <f>_xlfn.XLOOKUP(Sheet1[[#This Row],[day_id]],calendar!A76,calendar!B76)</f>
        <v>40646</v>
      </c>
      <c r="F441" t="str">
        <f>_xlfn.XLOOKUP(Sheet1[[#This Row],[day_id]],calendar!A76,calendar!C76)</f>
        <v>Wednesday</v>
      </c>
      <c r="G441">
        <f>_xlfn.XLOOKUP(Sheet1[[#This Row],[day_id]],calendar!A76,calendar!E76)</f>
        <v>4</v>
      </c>
      <c r="H441">
        <f>_xlfn.XLOOKUP(Sheet1[[#This Row],[day_id]],calendar!A76,calendar!F76)</f>
        <v>2011</v>
      </c>
      <c r="I441" t="str">
        <f>_xlfn.XLOOKUP(Sheet1[[#This Row],[day_id]],calendar!A76,calendar!J76)</f>
        <v>No Event</v>
      </c>
      <c r="J441" t="str">
        <f>_xlfn.XLOOKUP(Sheet1[[#This Row],[day_id]],calendar!A76,calendar!K76)</f>
        <v>No Event Type</v>
      </c>
      <c r="K441">
        <f>_xlfn.XLOOKUP(Sheet1[[#This Row],[day_id]],calendar!A76,calendar!I76)</f>
        <v>0</v>
      </c>
    </row>
    <row r="442" spans="1:11" x14ac:dyDescent="0.2">
      <c r="A442" t="s">
        <v>370</v>
      </c>
      <c r="B442" t="s">
        <v>369</v>
      </c>
      <c r="C442" t="s">
        <v>77</v>
      </c>
      <c r="D442">
        <v>12</v>
      </c>
      <c r="E442" s="1">
        <f>_xlfn.XLOOKUP(Sheet1[[#This Row],[day_id]],calendar!A77,calendar!B77)</f>
        <v>40647</v>
      </c>
      <c r="F442" t="str">
        <f>_xlfn.XLOOKUP(Sheet1[[#This Row],[day_id]],calendar!A77,calendar!C77)</f>
        <v>Thursday</v>
      </c>
      <c r="G442">
        <f>_xlfn.XLOOKUP(Sheet1[[#This Row],[day_id]],calendar!A77,calendar!E77)</f>
        <v>4</v>
      </c>
      <c r="H442">
        <f>_xlfn.XLOOKUP(Sheet1[[#This Row],[day_id]],calendar!A77,calendar!F77)</f>
        <v>2011</v>
      </c>
      <c r="I442" t="str">
        <f>_xlfn.XLOOKUP(Sheet1[[#This Row],[day_id]],calendar!A77,calendar!J77)</f>
        <v>No Event</v>
      </c>
      <c r="J442" t="str">
        <f>_xlfn.XLOOKUP(Sheet1[[#This Row],[day_id]],calendar!A77,calendar!K77)</f>
        <v>No Event Type</v>
      </c>
      <c r="K442">
        <f>_xlfn.XLOOKUP(Sheet1[[#This Row],[day_id]],calendar!A77,calendar!I77)</f>
        <v>0</v>
      </c>
    </row>
    <row r="443" spans="1:11" x14ac:dyDescent="0.2">
      <c r="A443" t="s">
        <v>370</v>
      </c>
      <c r="B443" t="s">
        <v>369</v>
      </c>
      <c r="C443" t="s">
        <v>78</v>
      </c>
      <c r="D443">
        <v>15</v>
      </c>
      <c r="E443" s="1">
        <f>_xlfn.XLOOKUP(Sheet1[[#This Row],[day_id]],calendar!A78,calendar!B78)</f>
        <v>40648</v>
      </c>
      <c r="F443" t="str">
        <f>_xlfn.XLOOKUP(Sheet1[[#This Row],[day_id]],calendar!A78,calendar!C78)</f>
        <v>Friday</v>
      </c>
      <c r="G443">
        <f>_xlfn.XLOOKUP(Sheet1[[#This Row],[day_id]],calendar!A78,calendar!E78)</f>
        <v>4</v>
      </c>
      <c r="H443">
        <f>_xlfn.XLOOKUP(Sheet1[[#This Row],[day_id]],calendar!A78,calendar!F78)</f>
        <v>2011</v>
      </c>
      <c r="I443" t="str">
        <f>_xlfn.XLOOKUP(Sheet1[[#This Row],[day_id]],calendar!A78,calendar!J78)</f>
        <v>No Event</v>
      </c>
      <c r="J443" t="str">
        <f>_xlfn.XLOOKUP(Sheet1[[#This Row],[day_id]],calendar!A78,calendar!K78)</f>
        <v>No Event Type</v>
      </c>
      <c r="K443">
        <f>_xlfn.XLOOKUP(Sheet1[[#This Row],[day_id]],calendar!A78,calendar!I78)</f>
        <v>0</v>
      </c>
    </row>
    <row r="444" spans="1:11" x14ac:dyDescent="0.2">
      <c r="A444" t="s">
        <v>370</v>
      </c>
      <c r="B444" t="s">
        <v>369</v>
      </c>
      <c r="C444" t="s">
        <v>79</v>
      </c>
      <c r="D444">
        <v>21</v>
      </c>
      <c r="E444" s="1">
        <f>_xlfn.XLOOKUP(Sheet1[[#This Row],[day_id]],calendar!A79,calendar!B79)</f>
        <v>40649</v>
      </c>
      <c r="F444" t="str">
        <f>_xlfn.XLOOKUP(Sheet1[[#This Row],[day_id]],calendar!A79,calendar!C79)</f>
        <v>Saturday</v>
      </c>
      <c r="G444">
        <f>_xlfn.XLOOKUP(Sheet1[[#This Row],[day_id]],calendar!A79,calendar!E79)</f>
        <v>4</v>
      </c>
      <c r="H444">
        <f>_xlfn.XLOOKUP(Sheet1[[#This Row],[day_id]],calendar!A79,calendar!F79)</f>
        <v>2011</v>
      </c>
      <c r="I444" t="str">
        <f>_xlfn.XLOOKUP(Sheet1[[#This Row],[day_id]],calendar!A79,calendar!J79)</f>
        <v>No Event</v>
      </c>
      <c r="J444" t="str">
        <f>_xlfn.XLOOKUP(Sheet1[[#This Row],[day_id]],calendar!A79,calendar!K79)</f>
        <v>No Event Type</v>
      </c>
      <c r="K444">
        <f>_xlfn.XLOOKUP(Sheet1[[#This Row],[day_id]],calendar!A79,calendar!I79)</f>
        <v>0</v>
      </c>
    </row>
    <row r="445" spans="1:11" x14ac:dyDescent="0.2">
      <c r="A445" t="s">
        <v>370</v>
      </c>
      <c r="B445" t="s">
        <v>369</v>
      </c>
      <c r="C445" t="s">
        <v>80</v>
      </c>
      <c r="D445">
        <v>17</v>
      </c>
      <c r="E445" s="1">
        <f>_xlfn.XLOOKUP(Sheet1[[#This Row],[day_id]],calendar!A80,calendar!B80)</f>
        <v>40650</v>
      </c>
      <c r="F445" t="str">
        <f>_xlfn.XLOOKUP(Sheet1[[#This Row],[day_id]],calendar!A80,calendar!C80)</f>
        <v>Sunday</v>
      </c>
      <c r="G445">
        <f>_xlfn.XLOOKUP(Sheet1[[#This Row],[day_id]],calendar!A80,calendar!E80)</f>
        <v>4</v>
      </c>
      <c r="H445">
        <f>_xlfn.XLOOKUP(Sheet1[[#This Row],[day_id]],calendar!A80,calendar!F80)</f>
        <v>2011</v>
      </c>
      <c r="I445" t="str">
        <f>_xlfn.XLOOKUP(Sheet1[[#This Row],[day_id]],calendar!A80,calendar!J80)</f>
        <v>No Event</v>
      </c>
      <c r="J445" t="str">
        <f>_xlfn.XLOOKUP(Sheet1[[#This Row],[day_id]],calendar!A80,calendar!K80)</f>
        <v>No Event Type</v>
      </c>
      <c r="K445">
        <f>_xlfn.XLOOKUP(Sheet1[[#This Row],[day_id]],calendar!A80,calendar!I80)</f>
        <v>0</v>
      </c>
    </row>
    <row r="446" spans="1:11" x14ac:dyDescent="0.2">
      <c r="A446" t="s">
        <v>370</v>
      </c>
      <c r="B446" t="s">
        <v>369</v>
      </c>
      <c r="C446" t="s">
        <v>81</v>
      </c>
      <c r="D446">
        <v>5</v>
      </c>
      <c r="E446" s="1">
        <f>_xlfn.XLOOKUP(Sheet1[[#This Row],[day_id]],calendar!A81,calendar!B81)</f>
        <v>40651</v>
      </c>
      <c r="F446" t="str">
        <f>_xlfn.XLOOKUP(Sheet1[[#This Row],[day_id]],calendar!A81,calendar!C81)</f>
        <v>Monday</v>
      </c>
      <c r="G446">
        <f>_xlfn.XLOOKUP(Sheet1[[#This Row],[day_id]],calendar!A81,calendar!E81)</f>
        <v>4</v>
      </c>
      <c r="H446">
        <f>_xlfn.XLOOKUP(Sheet1[[#This Row],[day_id]],calendar!A81,calendar!F81)</f>
        <v>2011</v>
      </c>
      <c r="I446" t="str">
        <f>_xlfn.XLOOKUP(Sheet1[[#This Row],[day_id]],calendar!A81,calendar!J81)</f>
        <v>No Event</v>
      </c>
      <c r="J446" t="str">
        <f>_xlfn.XLOOKUP(Sheet1[[#This Row],[day_id]],calendar!A81,calendar!K81)</f>
        <v>No Event Type</v>
      </c>
      <c r="K446">
        <f>_xlfn.XLOOKUP(Sheet1[[#This Row],[day_id]],calendar!A81,calendar!I81)</f>
        <v>0</v>
      </c>
    </row>
    <row r="447" spans="1:11" x14ac:dyDescent="0.2">
      <c r="A447" t="s">
        <v>370</v>
      </c>
      <c r="B447" t="s">
        <v>369</v>
      </c>
      <c r="C447" t="s">
        <v>82</v>
      </c>
      <c r="D447">
        <v>9</v>
      </c>
      <c r="E447" s="1">
        <f>_xlfn.XLOOKUP(Sheet1[[#This Row],[day_id]],calendar!A82,calendar!B82)</f>
        <v>40652</v>
      </c>
      <c r="F447" t="str">
        <f>_xlfn.XLOOKUP(Sheet1[[#This Row],[day_id]],calendar!A82,calendar!C82)</f>
        <v>Tuesday</v>
      </c>
      <c r="G447">
        <f>_xlfn.XLOOKUP(Sheet1[[#This Row],[day_id]],calendar!A82,calendar!E82)</f>
        <v>4</v>
      </c>
      <c r="H447">
        <f>_xlfn.XLOOKUP(Sheet1[[#This Row],[day_id]],calendar!A82,calendar!F82)</f>
        <v>2011</v>
      </c>
      <c r="I447" t="str">
        <f>_xlfn.XLOOKUP(Sheet1[[#This Row],[day_id]],calendar!A82,calendar!J82)</f>
        <v>No Event</v>
      </c>
      <c r="J447" t="str">
        <f>_xlfn.XLOOKUP(Sheet1[[#This Row],[day_id]],calendar!A82,calendar!K82)</f>
        <v>No Event Type</v>
      </c>
      <c r="K447">
        <f>_xlfn.XLOOKUP(Sheet1[[#This Row],[day_id]],calendar!A82,calendar!I82)</f>
        <v>0</v>
      </c>
    </row>
    <row r="448" spans="1:11" x14ac:dyDescent="0.2">
      <c r="A448" t="s">
        <v>370</v>
      </c>
      <c r="B448" t="s">
        <v>369</v>
      </c>
      <c r="C448" t="s">
        <v>83</v>
      </c>
      <c r="D448">
        <v>18</v>
      </c>
      <c r="E448" s="1">
        <f>_xlfn.XLOOKUP(Sheet1[[#This Row],[day_id]],calendar!A83,calendar!B83)</f>
        <v>40653</v>
      </c>
      <c r="F448" t="str">
        <f>_xlfn.XLOOKUP(Sheet1[[#This Row],[day_id]],calendar!A83,calendar!C83)</f>
        <v>Wednesday</v>
      </c>
      <c r="G448">
        <f>_xlfn.XLOOKUP(Sheet1[[#This Row],[day_id]],calendar!A83,calendar!E83)</f>
        <v>4</v>
      </c>
      <c r="H448">
        <f>_xlfn.XLOOKUP(Sheet1[[#This Row],[day_id]],calendar!A83,calendar!F83)</f>
        <v>2011</v>
      </c>
      <c r="I448" t="str">
        <f>_xlfn.XLOOKUP(Sheet1[[#This Row],[day_id]],calendar!A83,calendar!J83)</f>
        <v>No Event</v>
      </c>
      <c r="J448" t="str">
        <f>_xlfn.XLOOKUP(Sheet1[[#This Row],[day_id]],calendar!A83,calendar!K83)</f>
        <v>No Event Type</v>
      </c>
      <c r="K448">
        <f>_xlfn.XLOOKUP(Sheet1[[#This Row],[day_id]],calendar!A83,calendar!I83)</f>
        <v>0</v>
      </c>
    </row>
    <row r="449" spans="1:11" x14ac:dyDescent="0.2">
      <c r="A449" t="s">
        <v>370</v>
      </c>
      <c r="B449" t="s">
        <v>369</v>
      </c>
      <c r="C449" t="s">
        <v>84</v>
      </c>
      <c r="D449">
        <v>13</v>
      </c>
      <c r="E449" s="1">
        <f>_xlfn.XLOOKUP(Sheet1[[#This Row],[day_id]],calendar!A84,calendar!B84)</f>
        <v>40654</v>
      </c>
      <c r="F449" t="str">
        <f>_xlfn.XLOOKUP(Sheet1[[#This Row],[day_id]],calendar!A84,calendar!C84)</f>
        <v>Thursday</v>
      </c>
      <c r="G449">
        <f>_xlfn.XLOOKUP(Sheet1[[#This Row],[day_id]],calendar!A84,calendar!E84)</f>
        <v>4</v>
      </c>
      <c r="H449">
        <f>_xlfn.XLOOKUP(Sheet1[[#This Row],[day_id]],calendar!A84,calendar!F84)</f>
        <v>2011</v>
      </c>
      <c r="I449" t="str">
        <f>_xlfn.XLOOKUP(Sheet1[[#This Row],[day_id]],calendar!A84,calendar!J84)</f>
        <v>No Event</v>
      </c>
      <c r="J449" t="str">
        <f>_xlfn.XLOOKUP(Sheet1[[#This Row],[day_id]],calendar!A84,calendar!K84)</f>
        <v>No Event Type</v>
      </c>
      <c r="K449">
        <f>_xlfn.XLOOKUP(Sheet1[[#This Row],[day_id]],calendar!A84,calendar!I84)</f>
        <v>0</v>
      </c>
    </row>
    <row r="450" spans="1:11" x14ac:dyDescent="0.2">
      <c r="A450" t="s">
        <v>370</v>
      </c>
      <c r="B450" t="s">
        <v>369</v>
      </c>
      <c r="C450" t="s">
        <v>85</v>
      </c>
      <c r="D450">
        <v>30</v>
      </c>
      <c r="E450" s="1">
        <f>_xlfn.XLOOKUP(Sheet1[[#This Row],[day_id]],calendar!A85,calendar!B85)</f>
        <v>40655</v>
      </c>
      <c r="F450" t="str">
        <f>_xlfn.XLOOKUP(Sheet1[[#This Row],[day_id]],calendar!A85,calendar!C85)</f>
        <v>Friday</v>
      </c>
      <c r="G450">
        <f>_xlfn.XLOOKUP(Sheet1[[#This Row],[day_id]],calendar!A85,calendar!E85)</f>
        <v>4</v>
      </c>
      <c r="H450">
        <f>_xlfn.XLOOKUP(Sheet1[[#This Row],[day_id]],calendar!A85,calendar!F85)</f>
        <v>2011</v>
      </c>
      <c r="I450" t="str">
        <f>_xlfn.XLOOKUP(Sheet1[[#This Row],[day_id]],calendar!A85,calendar!J85)</f>
        <v>No Event</v>
      </c>
      <c r="J450" t="str">
        <f>_xlfn.XLOOKUP(Sheet1[[#This Row],[day_id]],calendar!A85,calendar!K85)</f>
        <v>No Event Type</v>
      </c>
      <c r="K450">
        <f>_xlfn.XLOOKUP(Sheet1[[#This Row],[day_id]],calendar!A85,calendar!I85)</f>
        <v>0</v>
      </c>
    </row>
    <row r="451" spans="1:11" x14ac:dyDescent="0.2">
      <c r="A451" t="s">
        <v>370</v>
      </c>
      <c r="B451" t="s">
        <v>369</v>
      </c>
      <c r="C451" t="s">
        <v>86</v>
      </c>
      <c r="D451">
        <v>46</v>
      </c>
      <c r="E451" s="1">
        <f>_xlfn.XLOOKUP(Sheet1[[#This Row],[day_id]],calendar!A86,calendar!B86)</f>
        <v>40656</v>
      </c>
      <c r="F451" t="str">
        <f>_xlfn.XLOOKUP(Sheet1[[#This Row],[day_id]],calendar!A86,calendar!C86)</f>
        <v>Saturday</v>
      </c>
      <c r="G451">
        <f>_xlfn.XLOOKUP(Sheet1[[#This Row],[day_id]],calendar!A86,calendar!E86)</f>
        <v>4</v>
      </c>
      <c r="H451">
        <f>_xlfn.XLOOKUP(Sheet1[[#This Row],[day_id]],calendar!A86,calendar!F86)</f>
        <v>2011</v>
      </c>
      <c r="I451" t="str">
        <f>_xlfn.XLOOKUP(Sheet1[[#This Row],[day_id]],calendar!A86,calendar!J86)</f>
        <v>No Event</v>
      </c>
      <c r="J451" t="str">
        <f>_xlfn.XLOOKUP(Sheet1[[#This Row],[day_id]],calendar!A86,calendar!K86)</f>
        <v>No Event Type</v>
      </c>
      <c r="K451">
        <f>_xlfn.XLOOKUP(Sheet1[[#This Row],[day_id]],calendar!A86,calendar!I86)</f>
        <v>0</v>
      </c>
    </row>
    <row r="452" spans="1:11" x14ac:dyDescent="0.2">
      <c r="A452" t="s">
        <v>370</v>
      </c>
      <c r="B452" t="s">
        <v>369</v>
      </c>
      <c r="C452" t="s">
        <v>87</v>
      </c>
      <c r="D452">
        <v>15</v>
      </c>
      <c r="E452" s="1">
        <f>_xlfn.XLOOKUP(Sheet1[[#This Row],[day_id]],calendar!A87,calendar!B87)</f>
        <v>40657</v>
      </c>
      <c r="F452" t="str">
        <f>_xlfn.XLOOKUP(Sheet1[[#This Row],[day_id]],calendar!A87,calendar!C87)</f>
        <v>Sunday</v>
      </c>
      <c r="G452">
        <f>_xlfn.XLOOKUP(Sheet1[[#This Row],[day_id]],calendar!A87,calendar!E87)</f>
        <v>4</v>
      </c>
      <c r="H452">
        <f>_xlfn.XLOOKUP(Sheet1[[#This Row],[day_id]],calendar!A87,calendar!F87)</f>
        <v>2011</v>
      </c>
      <c r="I452" t="str">
        <f>_xlfn.XLOOKUP(Sheet1[[#This Row],[day_id]],calendar!A87,calendar!J87)</f>
        <v>OrthodoxEaster</v>
      </c>
      <c r="J452" t="str">
        <f>_xlfn.XLOOKUP(Sheet1[[#This Row],[day_id]],calendar!A87,calendar!K87)</f>
        <v>Religious</v>
      </c>
      <c r="K452">
        <f>_xlfn.XLOOKUP(Sheet1[[#This Row],[day_id]],calendar!A87,calendar!I87)</f>
        <v>0</v>
      </c>
    </row>
    <row r="453" spans="1:11" x14ac:dyDescent="0.2">
      <c r="A453" t="s">
        <v>370</v>
      </c>
      <c r="B453" t="s">
        <v>369</v>
      </c>
      <c r="C453" t="s">
        <v>88</v>
      </c>
      <c r="D453">
        <v>11</v>
      </c>
      <c r="E453" s="1">
        <f>_xlfn.XLOOKUP(Sheet1[[#This Row],[day_id]],calendar!A88,calendar!B88)</f>
        <v>40658</v>
      </c>
      <c r="F453" t="str">
        <f>_xlfn.XLOOKUP(Sheet1[[#This Row],[day_id]],calendar!A88,calendar!C88)</f>
        <v>Monday</v>
      </c>
      <c r="G453">
        <f>_xlfn.XLOOKUP(Sheet1[[#This Row],[day_id]],calendar!A88,calendar!E88)</f>
        <v>4</v>
      </c>
      <c r="H453">
        <f>_xlfn.XLOOKUP(Sheet1[[#This Row],[day_id]],calendar!A88,calendar!F88)</f>
        <v>2011</v>
      </c>
      <c r="I453" t="str">
        <f>_xlfn.XLOOKUP(Sheet1[[#This Row],[day_id]],calendar!A88,calendar!J88)</f>
        <v>No Event</v>
      </c>
      <c r="J453" t="str">
        <f>_xlfn.XLOOKUP(Sheet1[[#This Row],[day_id]],calendar!A88,calendar!K88)</f>
        <v>No Event Type</v>
      </c>
      <c r="K453">
        <f>_xlfn.XLOOKUP(Sheet1[[#This Row],[day_id]],calendar!A88,calendar!I88)</f>
        <v>0</v>
      </c>
    </row>
    <row r="454" spans="1:11" x14ac:dyDescent="0.2">
      <c r="A454" t="s">
        <v>370</v>
      </c>
      <c r="B454" t="s">
        <v>369</v>
      </c>
      <c r="C454" t="s">
        <v>89</v>
      </c>
      <c r="D454">
        <v>8</v>
      </c>
      <c r="E454" s="1">
        <f>_xlfn.XLOOKUP(Sheet1[[#This Row],[day_id]],calendar!A89,calendar!B89)</f>
        <v>40659</v>
      </c>
      <c r="F454" t="str">
        <f>_xlfn.XLOOKUP(Sheet1[[#This Row],[day_id]],calendar!A89,calendar!C89)</f>
        <v>Tuesday</v>
      </c>
      <c r="G454">
        <f>_xlfn.XLOOKUP(Sheet1[[#This Row],[day_id]],calendar!A89,calendar!E89)</f>
        <v>4</v>
      </c>
      <c r="H454">
        <f>_xlfn.XLOOKUP(Sheet1[[#This Row],[day_id]],calendar!A89,calendar!F89)</f>
        <v>2011</v>
      </c>
      <c r="I454" t="str">
        <f>_xlfn.XLOOKUP(Sheet1[[#This Row],[day_id]],calendar!A89,calendar!J89)</f>
        <v>Pesach End</v>
      </c>
      <c r="J454" t="str">
        <f>_xlfn.XLOOKUP(Sheet1[[#This Row],[day_id]],calendar!A89,calendar!K89)</f>
        <v>Religious</v>
      </c>
      <c r="K454">
        <f>_xlfn.XLOOKUP(Sheet1[[#This Row],[day_id]],calendar!A89,calendar!I89)</f>
        <v>0</v>
      </c>
    </row>
    <row r="455" spans="1:11" x14ac:dyDescent="0.2">
      <c r="A455" t="s">
        <v>370</v>
      </c>
      <c r="B455" t="s">
        <v>369</v>
      </c>
      <c r="C455" t="s">
        <v>90</v>
      </c>
      <c r="D455">
        <v>8</v>
      </c>
      <c r="E455" s="1">
        <f>_xlfn.XLOOKUP(Sheet1[[#This Row],[day_id]],calendar!A90,calendar!B90)</f>
        <v>40660</v>
      </c>
      <c r="F455" t="str">
        <f>_xlfn.XLOOKUP(Sheet1[[#This Row],[day_id]],calendar!A90,calendar!C90)</f>
        <v>Wednesday</v>
      </c>
      <c r="G455">
        <f>_xlfn.XLOOKUP(Sheet1[[#This Row],[day_id]],calendar!A90,calendar!E90)</f>
        <v>4</v>
      </c>
      <c r="H455">
        <f>_xlfn.XLOOKUP(Sheet1[[#This Row],[day_id]],calendar!A90,calendar!F90)</f>
        <v>2011</v>
      </c>
      <c r="I455" t="str">
        <f>_xlfn.XLOOKUP(Sheet1[[#This Row],[day_id]],calendar!A90,calendar!J90)</f>
        <v>No Event</v>
      </c>
      <c r="J455" t="str">
        <f>_xlfn.XLOOKUP(Sheet1[[#This Row],[day_id]],calendar!A90,calendar!K90)</f>
        <v>No Event Type</v>
      </c>
      <c r="K455">
        <f>_xlfn.XLOOKUP(Sheet1[[#This Row],[day_id]],calendar!A90,calendar!I90)</f>
        <v>0</v>
      </c>
    </row>
    <row r="456" spans="1:11" x14ac:dyDescent="0.2">
      <c r="A456" t="s">
        <v>370</v>
      </c>
      <c r="B456" t="s">
        <v>369</v>
      </c>
      <c r="C456" t="s">
        <v>91</v>
      </c>
      <c r="D456">
        <v>10</v>
      </c>
      <c r="E456" s="1">
        <f>_xlfn.XLOOKUP(Sheet1[[#This Row],[day_id]],calendar!A91,calendar!B91)</f>
        <v>40661</v>
      </c>
      <c r="F456" t="str">
        <f>_xlfn.XLOOKUP(Sheet1[[#This Row],[day_id]],calendar!A91,calendar!C91)</f>
        <v>Thursday</v>
      </c>
      <c r="G456">
        <f>_xlfn.XLOOKUP(Sheet1[[#This Row],[day_id]],calendar!A91,calendar!E91)</f>
        <v>4</v>
      </c>
      <c r="H456">
        <f>_xlfn.XLOOKUP(Sheet1[[#This Row],[day_id]],calendar!A91,calendar!F91)</f>
        <v>2011</v>
      </c>
      <c r="I456" t="str">
        <f>_xlfn.XLOOKUP(Sheet1[[#This Row],[day_id]],calendar!A91,calendar!J91)</f>
        <v>No Event</v>
      </c>
      <c r="J456" t="str">
        <f>_xlfn.XLOOKUP(Sheet1[[#This Row],[day_id]],calendar!A91,calendar!K91)</f>
        <v>No Event Type</v>
      </c>
      <c r="K456">
        <f>_xlfn.XLOOKUP(Sheet1[[#This Row],[day_id]],calendar!A91,calendar!I91)</f>
        <v>0</v>
      </c>
    </row>
    <row r="457" spans="1:11" x14ac:dyDescent="0.2">
      <c r="A457" t="s">
        <v>370</v>
      </c>
      <c r="B457" t="s">
        <v>369</v>
      </c>
      <c r="C457" t="s">
        <v>92</v>
      </c>
      <c r="D457">
        <v>16</v>
      </c>
      <c r="E457" s="1">
        <f>_xlfn.XLOOKUP(Sheet1[[#This Row],[day_id]],calendar!A92,calendar!B92)</f>
        <v>40662</v>
      </c>
      <c r="F457" t="str">
        <f>_xlfn.XLOOKUP(Sheet1[[#This Row],[day_id]],calendar!A92,calendar!C92)</f>
        <v>Friday</v>
      </c>
      <c r="G457">
        <f>_xlfn.XLOOKUP(Sheet1[[#This Row],[day_id]],calendar!A92,calendar!E92)</f>
        <v>4</v>
      </c>
      <c r="H457">
        <f>_xlfn.XLOOKUP(Sheet1[[#This Row],[day_id]],calendar!A92,calendar!F92)</f>
        <v>2011</v>
      </c>
      <c r="I457" t="str">
        <f>_xlfn.XLOOKUP(Sheet1[[#This Row],[day_id]],calendar!A92,calendar!J92)</f>
        <v>No Event</v>
      </c>
      <c r="J457" t="str">
        <f>_xlfn.XLOOKUP(Sheet1[[#This Row],[day_id]],calendar!A92,calendar!K92)</f>
        <v>No Event Type</v>
      </c>
      <c r="K457">
        <f>_xlfn.XLOOKUP(Sheet1[[#This Row],[day_id]],calendar!A92,calendar!I92)</f>
        <v>0</v>
      </c>
    </row>
    <row r="458" spans="1:11" x14ac:dyDescent="0.2">
      <c r="A458" t="s">
        <v>370</v>
      </c>
      <c r="B458" t="s">
        <v>369</v>
      </c>
      <c r="C458" t="s">
        <v>93</v>
      </c>
      <c r="D458">
        <v>17</v>
      </c>
      <c r="E458" s="1">
        <f>_xlfn.XLOOKUP(Sheet1[[#This Row],[day_id]],calendar!A93,calendar!B93)</f>
        <v>40663</v>
      </c>
      <c r="F458" t="str">
        <f>_xlfn.XLOOKUP(Sheet1[[#This Row],[day_id]],calendar!A93,calendar!C93)</f>
        <v>Saturday</v>
      </c>
      <c r="G458">
        <f>_xlfn.XLOOKUP(Sheet1[[#This Row],[day_id]],calendar!A93,calendar!E93)</f>
        <v>4</v>
      </c>
      <c r="H458">
        <f>_xlfn.XLOOKUP(Sheet1[[#This Row],[day_id]],calendar!A93,calendar!F93)</f>
        <v>2011</v>
      </c>
      <c r="I458" t="str">
        <f>_xlfn.XLOOKUP(Sheet1[[#This Row],[day_id]],calendar!A93,calendar!J93)</f>
        <v>No Event</v>
      </c>
      <c r="J458" t="str">
        <f>_xlfn.XLOOKUP(Sheet1[[#This Row],[day_id]],calendar!A93,calendar!K93)</f>
        <v>No Event Type</v>
      </c>
      <c r="K458">
        <f>_xlfn.XLOOKUP(Sheet1[[#This Row],[day_id]],calendar!A93,calendar!I93)</f>
        <v>0</v>
      </c>
    </row>
    <row r="459" spans="1:11" x14ac:dyDescent="0.2">
      <c r="A459" t="s">
        <v>370</v>
      </c>
      <c r="B459" t="s">
        <v>369</v>
      </c>
      <c r="C459" t="s">
        <v>94</v>
      </c>
      <c r="D459">
        <v>14</v>
      </c>
      <c r="E459" s="1">
        <f>_xlfn.XLOOKUP(Sheet1[[#This Row],[day_id]],calendar!A94,calendar!B94)</f>
        <v>40664</v>
      </c>
      <c r="F459" t="str">
        <f>_xlfn.XLOOKUP(Sheet1[[#This Row],[day_id]],calendar!A94,calendar!C94)</f>
        <v>Sunday</v>
      </c>
      <c r="G459">
        <f>_xlfn.XLOOKUP(Sheet1[[#This Row],[day_id]],calendar!A94,calendar!E94)</f>
        <v>5</v>
      </c>
      <c r="H459">
        <f>_xlfn.XLOOKUP(Sheet1[[#This Row],[day_id]],calendar!A94,calendar!F94)</f>
        <v>2011</v>
      </c>
      <c r="I459" t="str">
        <f>_xlfn.XLOOKUP(Sheet1[[#This Row],[day_id]],calendar!A94,calendar!J94)</f>
        <v>No Event</v>
      </c>
      <c r="J459" t="str">
        <f>_xlfn.XLOOKUP(Sheet1[[#This Row],[day_id]],calendar!A94,calendar!K94)</f>
        <v>No Event Type</v>
      </c>
      <c r="K459">
        <f>_xlfn.XLOOKUP(Sheet1[[#This Row],[day_id]],calendar!A94,calendar!I94)</f>
        <v>1</v>
      </c>
    </row>
    <row r="460" spans="1:11" x14ac:dyDescent="0.2">
      <c r="A460" t="s">
        <v>370</v>
      </c>
      <c r="B460" t="s">
        <v>369</v>
      </c>
      <c r="C460" t="s">
        <v>95</v>
      </c>
      <c r="D460">
        <v>14</v>
      </c>
      <c r="E460" s="1">
        <f>_xlfn.XLOOKUP(Sheet1[[#This Row],[day_id]],calendar!A95,calendar!B95)</f>
        <v>40665</v>
      </c>
      <c r="F460" t="str">
        <f>_xlfn.XLOOKUP(Sheet1[[#This Row],[day_id]],calendar!A95,calendar!C95)</f>
        <v>Monday</v>
      </c>
      <c r="G460">
        <f>_xlfn.XLOOKUP(Sheet1[[#This Row],[day_id]],calendar!A95,calendar!E95)</f>
        <v>5</v>
      </c>
      <c r="H460">
        <f>_xlfn.XLOOKUP(Sheet1[[#This Row],[day_id]],calendar!A95,calendar!F95)</f>
        <v>2011</v>
      </c>
      <c r="I460" t="str">
        <f>_xlfn.XLOOKUP(Sheet1[[#This Row],[day_id]],calendar!A95,calendar!J95)</f>
        <v>No Event</v>
      </c>
      <c r="J460" t="str">
        <f>_xlfn.XLOOKUP(Sheet1[[#This Row],[day_id]],calendar!A95,calendar!K95)</f>
        <v>No Event Type</v>
      </c>
      <c r="K460">
        <f>_xlfn.XLOOKUP(Sheet1[[#This Row],[day_id]],calendar!A95,calendar!I95)</f>
        <v>1</v>
      </c>
    </row>
    <row r="461" spans="1:11" x14ac:dyDescent="0.2">
      <c r="A461" t="s">
        <v>370</v>
      </c>
      <c r="B461" t="s">
        <v>369</v>
      </c>
      <c r="C461" t="s">
        <v>96</v>
      </c>
      <c r="D461">
        <v>16</v>
      </c>
      <c r="E461" s="1">
        <f>_xlfn.XLOOKUP(Sheet1[[#This Row],[day_id]],calendar!A96,calendar!B96)</f>
        <v>40666</v>
      </c>
      <c r="F461" t="str">
        <f>_xlfn.XLOOKUP(Sheet1[[#This Row],[day_id]],calendar!A96,calendar!C96)</f>
        <v>Tuesday</v>
      </c>
      <c r="G461">
        <f>_xlfn.XLOOKUP(Sheet1[[#This Row],[day_id]],calendar!A96,calendar!E96)</f>
        <v>5</v>
      </c>
      <c r="H461">
        <f>_xlfn.XLOOKUP(Sheet1[[#This Row],[day_id]],calendar!A96,calendar!F96)</f>
        <v>2011</v>
      </c>
      <c r="I461" t="str">
        <f>_xlfn.XLOOKUP(Sheet1[[#This Row],[day_id]],calendar!A96,calendar!J96)</f>
        <v>No Event</v>
      </c>
      <c r="J461" t="str">
        <f>_xlfn.XLOOKUP(Sheet1[[#This Row],[day_id]],calendar!A96,calendar!K96)</f>
        <v>No Event Type</v>
      </c>
      <c r="K461">
        <f>_xlfn.XLOOKUP(Sheet1[[#This Row],[day_id]],calendar!A96,calendar!I96)</f>
        <v>1</v>
      </c>
    </row>
    <row r="462" spans="1:11" x14ac:dyDescent="0.2">
      <c r="A462" t="s">
        <v>370</v>
      </c>
      <c r="B462" t="s">
        <v>369</v>
      </c>
      <c r="C462" t="s">
        <v>97</v>
      </c>
      <c r="D462">
        <v>14</v>
      </c>
      <c r="E462" s="1">
        <f>_xlfn.XLOOKUP(Sheet1[[#This Row],[day_id]],calendar!A97,calendar!B97)</f>
        <v>40667</v>
      </c>
      <c r="F462" t="str">
        <f>_xlfn.XLOOKUP(Sheet1[[#This Row],[day_id]],calendar!A97,calendar!C97)</f>
        <v>Wednesday</v>
      </c>
      <c r="G462">
        <f>_xlfn.XLOOKUP(Sheet1[[#This Row],[day_id]],calendar!A97,calendar!E97)</f>
        <v>5</v>
      </c>
      <c r="H462">
        <f>_xlfn.XLOOKUP(Sheet1[[#This Row],[day_id]],calendar!A97,calendar!F97)</f>
        <v>2011</v>
      </c>
      <c r="I462" t="str">
        <f>_xlfn.XLOOKUP(Sheet1[[#This Row],[day_id]],calendar!A97,calendar!J97)</f>
        <v>No Event</v>
      </c>
      <c r="J462" t="str">
        <f>_xlfn.XLOOKUP(Sheet1[[#This Row],[day_id]],calendar!A97,calendar!K97)</f>
        <v>No Event Type</v>
      </c>
      <c r="K462">
        <f>_xlfn.XLOOKUP(Sheet1[[#This Row],[day_id]],calendar!A97,calendar!I97)</f>
        <v>1</v>
      </c>
    </row>
    <row r="463" spans="1:11" x14ac:dyDescent="0.2">
      <c r="A463" t="s">
        <v>370</v>
      </c>
      <c r="B463" t="s">
        <v>369</v>
      </c>
      <c r="C463" t="s">
        <v>98</v>
      </c>
      <c r="D463">
        <v>32</v>
      </c>
      <c r="E463" s="1">
        <f>_xlfn.XLOOKUP(Sheet1[[#This Row],[day_id]],calendar!A98,calendar!B98)</f>
        <v>40668</v>
      </c>
      <c r="F463" t="str">
        <f>_xlfn.XLOOKUP(Sheet1[[#This Row],[day_id]],calendar!A98,calendar!C98)</f>
        <v>Thursday</v>
      </c>
      <c r="G463">
        <f>_xlfn.XLOOKUP(Sheet1[[#This Row],[day_id]],calendar!A98,calendar!E98)</f>
        <v>5</v>
      </c>
      <c r="H463">
        <f>_xlfn.XLOOKUP(Sheet1[[#This Row],[day_id]],calendar!A98,calendar!F98)</f>
        <v>2011</v>
      </c>
      <c r="I463" t="str">
        <f>_xlfn.XLOOKUP(Sheet1[[#This Row],[day_id]],calendar!A98,calendar!J98)</f>
        <v>Cinco De Mayo</v>
      </c>
      <c r="J463" t="str">
        <f>_xlfn.XLOOKUP(Sheet1[[#This Row],[day_id]],calendar!A98,calendar!K98)</f>
        <v>Cultural</v>
      </c>
      <c r="K463">
        <f>_xlfn.XLOOKUP(Sheet1[[#This Row],[day_id]],calendar!A98,calendar!I98)</f>
        <v>1</v>
      </c>
    </row>
    <row r="464" spans="1:11" x14ac:dyDescent="0.2">
      <c r="A464" t="s">
        <v>370</v>
      </c>
      <c r="B464" t="s">
        <v>369</v>
      </c>
      <c r="C464" t="s">
        <v>99</v>
      </c>
      <c r="D464">
        <v>22</v>
      </c>
      <c r="E464" s="1">
        <f>_xlfn.XLOOKUP(Sheet1[[#This Row],[day_id]],calendar!A99,calendar!B99)</f>
        <v>40669</v>
      </c>
      <c r="F464" t="str">
        <f>_xlfn.XLOOKUP(Sheet1[[#This Row],[day_id]],calendar!A99,calendar!C99)</f>
        <v>Friday</v>
      </c>
      <c r="G464">
        <f>_xlfn.XLOOKUP(Sheet1[[#This Row],[day_id]],calendar!A99,calendar!E99)</f>
        <v>5</v>
      </c>
      <c r="H464">
        <f>_xlfn.XLOOKUP(Sheet1[[#This Row],[day_id]],calendar!A99,calendar!F99)</f>
        <v>2011</v>
      </c>
      <c r="I464" t="str">
        <f>_xlfn.XLOOKUP(Sheet1[[#This Row],[day_id]],calendar!A99,calendar!J99)</f>
        <v>No Event</v>
      </c>
      <c r="J464" t="str">
        <f>_xlfn.XLOOKUP(Sheet1[[#This Row],[day_id]],calendar!A99,calendar!K99)</f>
        <v>No Event Type</v>
      </c>
      <c r="K464">
        <f>_xlfn.XLOOKUP(Sheet1[[#This Row],[day_id]],calendar!A99,calendar!I99)</f>
        <v>1</v>
      </c>
    </row>
    <row r="465" spans="1:11" x14ac:dyDescent="0.2">
      <c r="A465" t="s">
        <v>370</v>
      </c>
      <c r="B465" t="s">
        <v>369</v>
      </c>
      <c r="C465" t="s">
        <v>100</v>
      </c>
      <c r="D465">
        <v>21</v>
      </c>
      <c r="E465" s="1">
        <f>_xlfn.XLOOKUP(Sheet1[[#This Row],[day_id]],calendar!A100,calendar!B100)</f>
        <v>40670</v>
      </c>
      <c r="F465" t="str">
        <f>_xlfn.XLOOKUP(Sheet1[[#This Row],[day_id]],calendar!A100,calendar!C100)</f>
        <v>Saturday</v>
      </c>
      <c r="G465">
        <f>_xlfn.XLOOKUP(Sheet1[[#This Row],[day_id]],calendar!A100,calendar!E100)</f>
        <v>5</v>
      </c>
      <c r="H465">
        <f>_xlfn.XLOOKUP(Sheet1[[#This Row],[day_id]],calendar!A100,calendar!F100)</f>
        <v>2011</v>
      </c>
      <c r="I465" t="str">
        <f>_xlfn.XLOOKUP(Sheet1[[#This Row],[day_id]],calendar!A100,calendar!J100)</f>
        <v>No Event</v>
      </c>
      <c r="J465" t="str">
        <f>_xlfn.XLOOKUP(Sheet1[[#This Row],[day_id]],calendar!A100,calendar!K100)</f>
        <v>No Event Type</v>
      </c>
      <c r="K465">
        <f>_xlfn.XLOOKUP(Sheet1[[#This Row],[day_id]],calendar!A100,calendar!I100)</f>
        <v>1</v>
      </c>
    </row>
    <row r="466" spans="1:11" x14ac:dyDescent="0.2">
      <c r="A466" t="s">
        <v>370</v>
      </c>
      <c r="B466" t="s">
        <v>369</v>
      </c>
      <c r="C466" t="s">
        <v>101</v>
      </c>
      <c r="D466">
        <v>31</v>
      </c>
      <c r="E466" s="1">
        <f>_xlfn.XLOOKUP(Sheet1[[#This Row],[day_id]],calendar!A101,calendar!B101)</f>
        <v>40671</v>
      </c>
      <c r="F466" t="str">
        <f>_xlfn.XLOOKUP(Sheet1[[#This Row],[day_id]],calendar!A101,calendar!C101)</f>
        <v>Sunday</v>
      </c>
      <c r="G466">
        <f>_xlfn.XLOOKUP(Sheet1[[#This Row],[day_id]],calendar!A101,calendar!E101)</f>
        <v>5</v>
      </c>
      <c r="H466">
        <f>_xlfn.XLOOKUP(Sheet1[[#This Row],[day_id]],calendar!A101,calendar!F101)</f>
        <v>2011</v>
      </c>
      <c r="I466" t="str">
        <f>_xlfn.XLOOKUP(Sheet1[[#This Row],[day_id]],calendar!A101,calendar!J101)</f>
        <v>Mother's day</v>
      </c>
      <c r="J466" t="str">
        <f>_xlfn.XLOOKUP(Sheet1[[#This Row],[day_id]],calendar!A101,calendar!K101)</f>
        <v>Cultural</v>
      </c>
      <c r="K466">
        <f>_xlfn.XLOOKUP(Sheet1[[#This Row],[day_id]],calendar!A101,calendar!I101)</f>
        <v>1</v>
      </c>
    </row>
    <row r="467" spans="1:11" x14ac:dyDescent="0.2">
      <c r="A467" t="s">
        <v>370</v>
      </c>
      <c r="B467" t="s">
        <v>369</v>
      </c>
      <c r="C467" t="s">
        <v>102</v>
      </c>
      <c r="D467">
        <v>8</v>
      </c>
      <c r="E467" s="1">
        <f>_xlfn.XLOOKUP(Sheet1[[#This Row],[day_id]],calendar!A102,calendar!B102)</f>
        <v>40672</v>
      </c>
      <c r="F467" t="str">
        <f>_xlfn.XLOOKUP(Sheet1[[#This Row],[day_id]],calendar!A102,calendar!C102)</f>
        <v>Monday</v>
      </c>
      <c r="G467">
        <f>_xlfn.XLOOKUP(Sheet1[[#This Row],[day_id]],calendar!A102,calendar!E102)</f>
        <v>5</v>
      </c>
      <c r="H467">
        <f>_xlfn.XLOOKUP(Sheet1[[#This Row],[day_id]],calendar!A102,calendar!F102)</f>
        <v>2011</v>
      </c>
      <c r="I467" t="str">
        <f>_xlfn.XLOOKUP(Sheet1[[#This Row],[day_id]],calendar!A102,calendar!J102)</f>
        <v>No Event</v>
      </c>
      <c r="J467" t="str">
        <f>_xlfn.XLOOKUP(Sheet1[[#This Row],[day_id]],calendar!A102,calendar!K102)</f>
        <v>No Event Type</v>
      </c>
      <c r="K467">
        <f>_xlfn.XLOOKUP(Sheet1[[#This Row],[day_id]],calendar!A102,calendar!I102)</f>
        <v>1</v>
      </c>
    </row>
    <row r="468" spans="1:11" x14ac:dyDescent="0.2">
      <c r="A468" t="s">
        <v>370</v>
      </c>
      <c r="B468" t="s">
        <v>369</v>
      </c>
      <c r="C468" t="s">
        <v>103</v>
      </c>
      <c r="D468">
        <v>6</v>
      </c>
      <c r="E468" s="1">
        <f>_xlfn.XLOOKUP(Sheet1[[#This Row],[day_id]],calendar!A103,calendar!B103)</f>
        <v>40673</v>
      </c>
      <c r="F468" t="str">
        <f>_xlfn.XLOOKUP(Sheet1[[#This Row],[day_id]],calendar!A103,calendar!C103)</f>
        <v>Tuesday</v>
      </c>
      <c r="G468">
        <f>_xlfn.XLOOKUP(Sheet1[[#This Row],[day_id]],calendar!A103,calendar!E103)</f>
        <v>5</v>
      </c>
      <c r="H468">
        <f>_xlfn.XLOOKUP(Sheet1[[#This Row],[day_id]],calendar!A103,calendar!F103)</f>
        <v>2011</v>
      </c>
      <c r="I468" t="str">
        <f>_xlfn.XLOOKUP(Sheet1[[#This Row],[day_id]],calendar!A103,calendar!J103)</f>
        <v>No Event</v>
      </c>
      <c r="J468" t="str">
        <f>_xlfn.XLOOKUP(Sheet1[[#This Row],[day_id]],calendar!A103,calendar!K103)</f>
        <v>No Event Type</v>
      </c>
      <c r="K468">
        <f>_xlfn.XLOOKUP(Sheet1[[#This Row],[day_id]],calendar!A103,calendar!I103)</f>
        <v>1</v>
      </c>
    </row>
    <row r="469" spans="1:11" x14ac:dyDescent="0.2">
      <c r="A469" t="s">
        <v>370</v>
      </c>
      <c r="B469" t="s">
        <v>369</v>
      </c>
      <c r="C469" t="s">
        <v>104</v>
      </c>
      <c r="D469">
        <v>12</v>
      </c>
      <c r="E469" s="1">
        <f>_xlfn.XLOOKUP(Sheet1[[#This Row],[day_id]],calendar!A104,calendar!B104)</f>
        <v>40674</v>
      </c>
      <c r="F469" t="str">
        <f>_xlfn.XLOOKUP(Sheet1[[#This Row],[day_id]],calendar!A104,calendar!C104)</f>
        <v>Wednesday</v>
      </c>
      <c r="G469">
        <f>_xlfn.XLOOKUP(Sheet1[[#This Row],[day_id]],calendar!A104,calendar!E104)</f>
        <v>5</v>
      </c>
      <c r="H469">
        <f>_xlfn.XLOOKUP(Sheet1[[#This Row],[day_id]],calendar!A104,calendar!F104)</f>
        <v>2011</v>
      </c>
      <c r="I469" t="str">
        <f>_xlfn.XLOOKUP(Sheet1[[#This Row],[day_id]],calendar!A104,calendar!J104)</f>
        <v>No Event</v>
      </c>
      <c r="J469" t="str">
        <f>_xlfn.XLOOKUP(Sheet1[[#This Row],[day_id]],calendar!A104,calendar!K104)</f>
        <v>No Event Type</v>
      </c>
      <c r="K469">
        <f>_xlfn.XLOOKUP(Sheet1[[#This Row],[day_id]],calendar!A104,calendar!I104)</f>
        <v>0</v>
      </c>
    </row>
    <row r="470" spans="1:11" x14ac:dyDescent="0.2">
      <c r="A470" t="s">
        <v>370</v>
      </c>
      <c r="B470" t="s">
        <v>369</v>
      </c>
      <c r="C470" t="s">
        <v>105</v>
      </c>
      <c r="D470">
        <v>13</v>
      </c>
      <c r="E470" s="1">
        <f>_xlfn.XLOOKUP(Sheet1[[#This Row],[day_id]],calendar!A105,calendar!B105)</f>
        <v>40675</v>
      </c>
      <c r="F470" t="str">
        <f>_xlfn.XLOOKUP(Sheet1[[#This Row],[day_id]],calendar!A105,calendar!C105)</f>
        <v>Thursday</v>
      </c>
      <c r="G470">
        <f>_xlfn.XLOOKUP(Sheet1[[#This Row],[day_id]],calendar!A105,calendar!E105)</f>
        <v>5</v>
      </c>
      <c r="H470">
        <f>_xlfn.XLOOKUP(Sheet1[[#This Row],[day_id]],calendar!A105,calendar!F105)</f>
        <v>2011</v>
      </c>
      <c r="I470" t="str">
        <f>_xlfn.XLOOKUP(Sheet1[[#This Row],[day_id]],calendar!A105,calendar!J105)</f>
        <v>No Event</v>
      </c>
      <c r="J470" t="str">
        <f>_xlfn.XLOOKUP(Sheet1[[#This Row],[day_id]],calendar!A105,calendar!K105)</f>
        <v>No Event Type</v>
      </c>
      <c r="K470">
        <f>_xlfn.XLOOKUP(Sheet1[[#This Row],[day_id]],calendar!A105,calendar!I105)</f>
        <v>0</v>
      </c>
    </row>
    <row r="471" spans="1:11" x14ac:dyDescent="0.2">
      <c r="A471" t="s">
        <v>370</v>
      </c>
      <c r="B471" t="s">
        <v>369</v>
      </c>
      <c r="C471" t="s">
        <v>106</v>
      </c>
      <c r="D471">
        <v>12</v>
      </c>
      <c r="E471" s="1">
        <f>_xlfn.XLOOKUP(Sheet1[[#This Row],[day_id]],calendar!A106,calendar!B106)</f>
        <v>40676</v>
      </c>
      <c r="F471" t="str">
        <f>_xlfn.XLOOKUP(Sheet1[[#This Row],[day_id]],calendar!A106,calendar!C106)</f>
        <v>Friday</v>
      </c>
      <c r="G471">
        <f>_xlfn.XLOOKUP(Sheet1[[#This Row],[day_id]],calendar!A106,calendar!E106)</f>
        <v>5</v>
      </c>
      <c r="H471">
        <f>_xlfn.XLOOKUP(Sheet1[[#This Row],[day_id]],calendar!A106,calendar!F106)</f>
        <v>2011</v>
      </c>
      <c r="I471" t="str">
        <f>_xlfn.XLOOKUP(Sheet1[[#This Row],[day_id]],calendar!A106,calendar!J106)</f>
        <v>No Event</v>
      </c>
      <c r="J471" t="str">
        <f>_xlfn.XLOOKUP(Sheet1[[#This Row],[day_id]],calendar!A106,calendar!K106)</f>
        <v>No Event Type</v>
      </c>
      <c r="K471">
        <f>_xlfn.XLOOKUP(Sheet1[[#This Row],[day_id]],calendar!A106,calendar!I106)</f>
        <v>0</v>
      </c>
    </row>
    <row r="472" spans="1:11" x14ac:dyDescent="0.2">
      <c r="A472" t="s">
        <v>370</v>
      </c>
      <c r="B472" t="s">
        <v>369</v>
      </c>
      <c r="C472" t="s">
        <v>107</v>
      </c>
      <c r="D472">
        <v>9</v>
      </c>
      <c r="E472" s="1">
        <f>_xlfn.XLOOKUP(Sheet1[[#This Row],[day_id]],calendar!A107,calendar!B107)</f>
        <v>40677</v>
      </c>
      <c r="F472" t="str">
        <f>_xlfn.XLOOKUP(Sheet1[[#This Row],[day_id]],calendar!A107,calendar!C107)</f>
        <v>Saturday</v>
      </c>
      <c r="G472">
        <f>_xlfn.XLOOKUP(Sheet1[[#This Row],[day_id]],calendar!A107,calendar!E107)</f>
        <v>5</v>
      </c>
      <c r="H472">
        <f>_xlfn.XLOOKUP(Sheet1[[#This Row],[day_id]],calendar!A107,calendar!F107)</f>
        <v>2011</v>
      </c>
      <c r="I472" t="str">
        <f>_xlfn.XLOOKUP(Sheet1[[#This Row],[day_id]],calendar!A107,calendar!J107)</f>
        <v>No Event</v>
      </c>
      <c r="J472" t="str">
        <f>_xlfn.XLOOKUP(Sheet1[[#This Row],[day_id]],calendar!A107,calendar!K107)</f>
        <v>No Event Type</v>
      </c>
      <c r="K472">
        <f>_xlfn.XLOOKUP(Sheet1[[#This Row],[day_id]],calendar!A107,calendar!I107)</f>
        <v>0</v>
      </c>
    </row>
    <row r="473" spans="1:11" x14ac:dyDescent="0.2">
      <c r="A473" t="s">
        <v>370</v>
      </c>
      <c r="B473" t="s">
        <v>369</v>
      </c>
      <c r="C473" t="s">
        <v>108</v>
      </c>
      <c r="D473">
        <v>18</v>
      </c>
      <c r="E473" s="1">
        <f>_xlfn.XLOOKUP(Sheet1[[#This Row],[day_id]],calendar!A108,calendar!B108)</f>
        <v>40678</v>
      </c>
      <c r="F473" t="str">
        <f>_xlfn.XLOOKUP(Sheet1[[#This Row],[day_id]],calendar!A108,calendar!C108)</f>
        <v>Sunday</v>
      </c>
      <c r="G473">
        <f>_xlfn.XLOOKUP(Sheet1[[#This Row],[day_id]],calendar!A108,calendar!E108)</f>
        <v>5</v>
      </c>
      <c r="H473">
        <f>_xlfn.XLOOKUP(Sheet1[[#This Row],[day_id]],calendar!A108,calendar!F108)</f>
        <v>2011</v>
      </c>
      <c r="I473" t="str">
        <f>_xlfn.XLOOKUP(Sheet1[[#This Row],[day_id]],calendar!A108,calendar!J108)</f>
        <v>No Event</v>
      </c>
      <c r="J473" t="str">
        <f>_xlfn.XLOOKUP(Sheet1[[#This Row],[day_id]],calendar!A108,calendar!K108)</f>
        <v>No Event Type</v>
      </c>
      <c r="K473">
        <f>_xlfn.XLOOKUP(Sheet1[[#This Row],[day_id]],calendar!A108,calendar!I108)</f>
        <v>0</v>
      </c>
    </row>
    <row r="474" spans="1:11" x14ac:dyDescent="0.2">
      <c r="A474" t="s">
        <v>370</v>
      </c>
      <c r="B474" t="s">
        <v>369</v>
      </c>
      <c r="C474" t="s">
        <v>109</v>
      </c>
      <c r="D474">
        <v>5</v>
      </c>
      <c r="E474" s="1">
        <f>_xlfn.XLOOKUP(Sheet1[[#This Row],[day_id]],calendar!A109,calendar!B109)</f>
        <v>40679</v>
      </c>
      <c r="F474" t="str">
        <f>_xlfn.XLOOKUP(Sheet1[[#This Row],[day_id]],calendar!A109,calendar!C109)</f>
        <v>Monday</v>
      </c>
      <c r="G474">
        <f>_xlfn.XLOOKUP(Sheet1[[#This Row],[day_id]],calendar!A109,calendar!E109)</f>
        <v>5</v>
      </c>
      <c r="H474">
        <f>_xlfn.XLOOKUP(Sheet1[[#This Row],[day_id]],calendar!A109,calendar!F109)</f>
        <v>2011</v>
      </c>
      <c r="I474" t="str">
        <f>_xlfn.XLOOKUP(Sheet1[[#This Row],[day_id]],calendar!A109,calendar!J109)</f>
        <v>No Event</v>
      </c>
      <c r="J474" t="str">
        <f>_xlfn.XLOOKUP(Sheet1[[#This Row],[day_id]],calendar!A109,calendar!K109)</f>
        <v>No Event Type</v>
      </c>
      <c r="K474">
        <f>_xlfn.XLOOKUP(Sheet1[[#This Row],[day_id]],calendar!A109,calendar!I109)</f>
        <v>0</v>
      </c>
    </row>
    <row r="475" spans="1:11" x14ac:dyDescent="0.2">
      <c r="A475" t="s">
        <v>370</v>
      </c>
      <c r="B475" t="s">
        <v>369</v>
      </c>
      <c r="C475" t="s">
        <v>110</v>
      </c>
      <c r="D475">
        <v>7</v>
      </c>
      <c r="E475" s="1">
        <f>_xlfn.XLOOKUP(Sheet1[[#This Row],[day_id]],calendar!A110,calendar!B110)</f>
        <v>40680</v>
      </c>
      <c r="F475" t="str">
        <f>_xlfn.XLOOKUP(Sheet1[[#This Row],[day_id]],calendar!A110,calendar!C110)</f>
        <v>Tuesday</v>
      </c>
      <c r="G475">
        <f>_xlfn.XLOOKUP(Sheet1[[#This Row],[day_id]],calendar!A110,calendar!E110)</f>
        <v>5</v>
      </c>
      <c r="H475">
        <f>_xlfn.XLOOKUP(Sheet1[[#This Row],[day_id]],calendar!A110,calendar!F110)</f>
        <v>2011</v>
      </c>
      <c r="I475" t="str">
        <f>_xlfn.XLOOKUP(Sheet1[[#This Row],[day_id]],calendar!A110,calendar!J110)</f>
        <v>No Event</v>
      </c>
      <c r="J475" t="str">
        <f>_xlfn.XLOOKUP(Sheet1[[#This Row],[day_id]],calendar!A110,calendar!K110)</f>
        <v>No Event Type</v>
      </c>
      <c r="K475">
        <f>_xlfn.XLOOKUP(Sheet1[[#This Row],[day_id]],calendar!A110,calendar!I110)</f>
        <v>0</v>
      </c>
    </row>
    <row r="476" spans="1:11" x14ac:dyDescent="0.2">
      <c r="A476" t="s">
        <v>370</v>
      </c>
      <c r="B476" t="s">
        <v>369</v>
      </c>
      <c r="C476" t="s">
        <v>111</v>
      </c>
      <c r="D476">
        <v>8</v>
      </c>
      <c r="E476" s="1">
        <f>_xlfn.XLOOKUP(Sheet1[[#This Row],[day_id]],calendar!A111,calendar!B111)</f>
        <v>40681</v>
      </c>
      <c r="F476" t="str">
        <f>_xlfn.XLOOKUP(Sheet1[[#This Row],[day_id]],calendar!A111,calendar!C111)</f>
        <v>Wednesday</v>
      </c>
      <c r="G476">
        <f>_xlfn.XLOOKUP(Sheet1[[#This Row],[day_id]],calendar!A111,calendar!E111)</f>
        <v>5</v>
      </c>
      <c r="H476">
        <f>_xlfn.XLOOKUP(Sheet1[[#This Row],[day_id]],calendar!A111,calendar!F111)</f>
        <v>2011</v>
      </c>
      <c r="I476" t="str">
        <f>_xlfn.XLOOKUP(Sheet1[[#This Row],[day_id]],calendar!A111,calendar!J111)</f>
        <v>No Event</v>
      </c>
      <c r="J476" t="str">
        <f>_xlfn.XLOOKUP(Sheet1[[#This Row],[day_id]],calendar!A111,calendar!K111)</f>
        <v>No Event Type</v>
      </c>
      <c r="K476">
        <f>_xlfn.XLOOKUP(Sheet1[[#This Row],[day_id]],calendar!A111,calendar!I111)</f>
        <v>0</v>
      </c>
    </row>
    <row r="477" spans="1:11" x14ac:dyDescent="0.2">
      <c r="A477" t="s">
        <v>370</v>
      </c>
      <c r="B477" t="s">
        <v>369</v>
      </c>
      <c r="C477" t="s">
        <v>112</v>
      </c>
      <c r="D477">
        <v>5</v>
      </c>
      <c r="E477" s="1">
        <f>_xlfn.XLOOKUP(Sheet1[[#This Row],[day_id]],calendar!A112,calendar!B112)</f>
        <v>40682</v>
      </c>
      <c r="F477" t="str">
        <f>_xlfn.XLOOKUP(Sheet1[[#This Row],[day_id]],calendar!A112,calendar!C112)</f>
        <v>Thursday</v>
      </c>
      <c r="G477">
        <f>_xlfn.XLOOKUP(Sheet1[[#This Row],[day_id]],calendar!A112,calendar!E112)</f>
        <v>5</v>
      </c>
      <c r="H477">
        <f>_xlfn.XLOOKUP(Sheet1[[#This Row],[day_id]],calendar!A112,calendar!F112)</f>
        <v>2011</v>
      </c>
      <c r="I477" t="str">
        <f>_xlfn.XLOOKUP(Sheet1[[#This Row],[day_id]],calendar!A112,calendar!J112)</f>
        <v>No Event</v>
      </c>
      <c r="J477" t="str">
        <f>_xlfn.XLOOKUP(Sheet1[[#This Row],[day_id]],calendar!A112,calendar!K112)</f>
        <v>No Event Type</v>
      </c>
      <c r="K477">
        <f>_xlfn.XLOOKUP(Sheet1[[#This Row],[day_id]],calendar!A112,calendar!I112)</f>
        <v>0</v>
      </c>
    </row>
    <row r="478" spans="1:11" x14ac:dyDescent="0.2">
      <c r="A478" t="s">
        <v>370</v>
      </c>
      <c r="B478" t="s">
        <v>369</v>
      </c>
      <c r="C478" t="s">
        <v>113</v>
      </c>
      <c r="D478">
        <v>13</v>
      </c>
      <c r="E478" s="1">
        <f>_xlfn.XLOOKUP(Sheet1[[#This Row],[day_id]],calendar!A113,calendar!B113)</f>
        <v>40683</v>
      </c>
      <c r="F478" t="str">
        <f>_xlfn.XLOOKUP(Sheet1[[#This Row],[day_id]],calendar!A113,calendar!C113)</f>
        <v>Friday</v>
      </c>
      <c r="G478">
        <f>_xlfn.XLOOKUP(Sheet1[[#This Row],[day_id]],calendar!A113,calendar!E113)</f>
        <v>5</v>
      </c>
      <c r="H478">
        <f>_xlfn.XLOOKUP(Sheet1[[#This Row],[day_id]],calendar!A113,calendar!F113)</f>
        <v>2011</v>
      </c>
      <c r="I478" t="str">
        <f>_xlfn.XLOOKUP(Sheet1[[#This Row],[day_id]],calendar!A113,calendar!J113)</f>
        <v>No Event</v>
      </c>
      <c r="J478" t="str">
        <f>_xlfn.XLOOKUP(Sheet1[[#This Row],[day_id]],calendar!A113,calendar!K113)</f>
        <v>No Event Type</v>
      </c>
      <c r="K478">
        <f>_xlfn.XLOOKUP(Sheet1[[#This Row],[day_id]],calendar!A113,calendar!I113)</f>
        <v>0</v>
      </c>
    </row>
    <row r="479" spans="1:11" x14ac:dyDescent="0.2">
      <c r="A479" t="s">
        <v>370</v>
      </c>
      <c r="B479" t="s">
        <v>369</v>
      </c>
      <c r="C479" t="s">
        <v>114</v>
      </c>
      <c r="D479">
        <v>15</v>
      </c>
      <c r="E479" s="1">
        <f>_xlfn.XLOOKUP(Sheet1[[#This Row],[day_id]],calendar!A114,calendar!B114)</f>
        <v>40684</v>
      </c>
      <c r="F479" t="str">
        <f>_xlfn.XLOOKUP(Sheet1[[#This Row],[day_id]],calendar!A114,calendar!C114)</f>
        <v>Saturday</v>
      </c>
      <c r="G479">
        <f>_xlfn.XLOOKUP(Sheet1[[#This Row],[day_id]],calendar!A114,calendar!E114)</f>
        <v>5</v>
      </c>
      <c r="H479">
        <f>_xlfn.XLOOKUP(Sheet1[[#This Row],[day_id]],calendar!A114,calendar!F114)</f>
        <v>2011</v>
      </c>
      <c r="I479" t="str">
        <f>_xlfn.XLOOKUP(Sheet1[[#This Row],[day_id]],calendar!A114,calendar!J114)</f>
        <v>No Event</v>
      </c>
      <c r="J479" t="str">
        <f>_xlfn.XLOOKUP(Sheet1[[#This Row],[day_id]],calendar!A114,calendar!K114)</f>
        <v>No Event Type</v>
      </c>
      <c r="K479">
        <f>_xlfn.XLOOKUP(Sheet1[[#This Row],[day_id]],calendar!A114,calendar!I114)</f>
        <v>0</v>
      </c>
    </row>
    <row r="480" spans="1:11" x14ac:dyDescent="0.2">
      <c r="A480" t="s">
        <v>370</v>
      </c>
      <c r="B480" t="s">
        <v>369</v>
      </c>
      <c r="C480" t="s">
        <v>115</v>
      </c>
      <c r="D480">
        <v>10</v>
      </c>
      <c r="E480" s="1">
        <f>_xlfn.XLOOKUP(Sheet1[[#This Row],[day_id]],calendar!A115,calendar!B115)</f>
        <v>40685</v>
      </c>
      <c r="F480" t="str">
        <f>_xlfn.XLOOKUP(Sheet1[[#This Row],[day_id]],calendar!A115,calendar!C115)</f>
        <v>Sunday</v>
      </c>
      <c r="G480">
        <f>_xlfn.XLOOKUP(Sheet1[[#This Row],[day_id]],calendar!A115,calendar!E115)</f>
        <v>5</v>
      </c>
      <c r="H480">
        <f>_xlfn.XLOOKUP(Sheet1[[#This Row],[day_id]],calendar!A115,calendar!F115)</f>
        <v>2011</v>
      </c>
      <c r="I480" t="str">
        <f>_xlfn.XLOOKUP(Sheet1[[#This Row],[day_id]],calendar!A115,calendar!J115)</f>
        <v>No Event</v>
      </c>
      <c r="J480" t="str">
        <f>_xlfn.XLOOKUP(Sheet1[[#This Row],[day_id]],calendar!A115,calendar!K115)</f>
        <v>No Event Type</v>
      </c>
      <c r="K480">
        <f>_xlfn.XLOOKUP(Sheet1[[#This Row],[day_id]],calendar!A115,calendar!I115)</f>
        <v>0</v>
      </c>
    </row>
    <row r="481" spans="1:11" x14ac:dyDescent="0.2">
      <c r="A481" t="s">
        <v>370</v>
      </c>
      <c r="B481" t="s">
        <v>369</v>
      </c>
      <c r="C481" t="s">
        <v>116</v>
      </c>
      <c r="D481">
        <v>10</v>
      </c>
      <c r="E481" s="1">
        <f>_xlfn.XLOOKUP(Sheet1[[#This Row],[day_id]],calendar!A116,calendar!B116)</f>
        <v>40686</v>
      </c>
      <c r="F481" t="str">
        <f>_xlfn.XLOOKUP(Sheet1[[#This Row],[day_id]],calendar!A116,calendar!C116)</f>
        <v>Monday</v>
      </c>
      <c r="G481">
        <f>_xlfn.XLOOKUP(Sheet1[[#This Row],[day_id]],calendar!A116,calendar!E116)</f>
        <v>5</v>
      </c>
      <c r="H481">
        <f>_xlfn.XLOOKUP(Sheet1[[#This Row],[day_id]],calendar!A116,calendar!F116)</f>
        <v>2011</v>
      </c>
      <c r="I481" t="str">
        <f>_xlfn.XLOOKUP(Sheet1[[#This Row],[day_id]],calendar!A116,calendar!J116)</f>
        <v>No Event</v>
      </c>
      <c r="J481" t="str">
        <f>_xlfn.XLOOKUP(Sheet1[[#This Row],[day_id]],calendar!A116,calendar!K116)</f>
        <v>No Event Type</v>
      </c>
      <c r="K481">
        <f>_xlfn.XLOOKUP(Sheet1[[#This Row],[day_id]],calendar!A116,calendar!I116)</f>
        <v>0</v>
      </c>
    </row>
    <row r="482" spans="1:11" x14ac:dyDescent="0.2">
      <c r="A482" t="s">
        <v>370</v>
      </c>
      <c r="B482" t="s">
        <v>369</v>
      </c>
      <c r="C482" t="s">
        <v>117</v>
      </c>
      <c r="D482">
        <v>8</v>
      </c>
      <c r="E482" s="1">
        <f>_xlfn.XLOOKUP(Sheet1[[#This Row],[day_id]],calendar!A117,calendar!B117)</f>
        <v>40687</v>
      </c>
      <c r="F482" t="str">
        <f>_xlfn.XLOOKUP(Sheet1[[#This Row],[day_id]],calendar!A117,calendar!C117)</f>
        <v>Tuesday</v>
      </c>
      <c r="G482">
        <f>_xlfn.XLOOKUP(Sheet1[[#This Row],[day_id]],calendar!A117,calendar!E117)</f>
        <v>5</v>
      </c>
      <c r="H482">
        <f>_xlfn.XLOOKUP(Sheet1[[#This Row],[day_id]],calendar!A117,calendar!F117)</f>
        <v>2011</v>
      </c>
      <c r="I482" t="str">
        <f>_xlfn.XLOOKUP(Sheet1[[#This Row],[day_id]],calendar!A117,calendar!J117)</f>
        <v>No Event</v>
      </c>
      <c r="J482" t="str">
        <f>_xlfn.XLOOKUP(Sheet1[[#This Row],[day_id]],calendar!A117,calendar!K117)</f>
        <v>No Event Type</v>
      </c>
      <c r="K482">
        <f>_xlfn.XLOOKUP(Sheet1[[#This Row],[day_id]],calendar!A117,calendar!I117)</f>
        <v>0</v>
      </c>
    </row>
    <row r="483" spans="1:11" x14ac:dyDescent="0.2">
      <c r="A483" t="s">
        <v>370</v>
      </c>
      <c r="B483" t="s">
        <v>369</v>
      </c>
      <c r="C483" t="s">
        <v>118</v>
      </c>
      <c r="D483">
        <v>7</v>
      </c>
      <c r="E483" s="1">
        <f>_xlfn.XLOOKUP(Sheet1[[#This Row],[day_id]],calendar!A118,calendar!B118)</f>
        <v>40688</v>
      </c>
      <c r="F483" t="str">
        <f>_xlfn.XLOOKUP(Sheet1[[#This Row],[day_id]],calendar!A118,calendar!C118)</f>
        <v>Wednesday</v>
      </c>
      <c r="G483">
        <f>_xlfn.XLOOKUP(Sheet1[[#This Row],[day_id]],calendar!A118,calendar!E118)</f>
        <v>5</v>
      </c>
      <c r="H483">
        <f>_xlfn.XLOOKUP(Sheet1[[#This Row],[day_id]],calendar!A118,calendar!F118)</f>
        <v>2011</v>
      </c>
      <c r="I483" t="str">
        <f>_xlfn.XLOOKUP(Sheet1[[#This Row],[day_id]],calendar!A118,calendar!J118)</f>
        <v>No Event</v>
      </c>
      <c r="J483" t="str">
        <f>_xlfn.XLOOKUP(Sheet1[[#This Row],[day_id]],calendar!A118,calendar!K118)</f>
        <v>No Event Type</v>
      </c>
      <c r="K483">
        <f>_xlfn.XLOOKUP(Sheet1[[#This Row],[day_id]],calendar!A118,calendar!I118)</f>
        <v>0</v>
      </c>
    </row>
    <row r="484" spans="1:11" x14ac:dyDescent="0.2">
      <c r="A484" t="s">
        <v>370</v>
      </c>
      <c r="B484" t="s">
        <v>369</v>
      </c>
      <c r="C484" t="s">
        <v>119</v>
      </c>
      <c r="D484">
        <v>5</v>
      </c>
      <c r="E484" s="1">
        <f>_xlfn.XLOOKUP(Sheet1[[#This Row],[day_id]],calendar!A119,calendar!B119)</f>
        <v>40689</v>
      </c>
      <c r="F484" t="str">
        <f>_xlfn.XLOOKUP(Sheet1[[#This Row],[day_id]],calendar!A119,calendar!C119)</f>
        <v>Thursday</v>
      </c>
      <c r="G484">
        <f>_xlfn.XLOOKUP(Sheet1[[#This Row],[day_id]],calendar!A119,calendar!E119)</f>
        <v>5</v>
      </c>
      <c r="H484">
        <f>_xlfn.XLOOKUP(Sheet1[[#This Row],[day_id]],calendar!A119,calendar!F119)</f>
        <v>2011</v>
      </c>
      <c r="I484" t="str">
        <f>_xlfn.XLOOKUP(Sheet1[[#This Row],[day_id]],calendar!A119,calendar!J119)</f>
        <v>No Event</v>
      </c>
      <c r="J484" t="str">
        <f>_xlfn.XLOOKUP(Sheet1[[#This Row],[day_id]],calendar!A119,calendar!K119)</f>
        <v>No Event Type</v>
      </c>
      <c r="K484">
        <f>_xlfn.XLOOKUP(Sheet1[[#This Row],[day_id]],calendar!A119,calendar!I119)</f>
        <v>0</v>
      </c>
    </row>
    <row r="485" spans="1:11" x14ac:dyDescent="0.2">
      <c r="A485" t="s">
        <v>370</v>
      </c>
      <c r="B485" t="s">
        <v>369</v>
      </c>
      <c r="C485" t="s">
        <v>120</v>
      </c>
      <c r="D485">
        <v>8</v>
      </c>
      <c r="E485" s="1">
        <f>_xlfn.XLOOKUP(Sheet1[[#This Row],[day_id]],calendar!A120,calendar!B120)</f>
        <v>40690</v>
      </c>
      <c r="F485" t="str">
        <f>_xlfn.XLOOKUP(Sheet1[[#This Row],[day_id]],calendar!A120,calendar!C120)</f>
        <v>Friday</v>
      </c>
      <c r="G485">
        <f>_xlfn.XLOOKUP(Sheet1[[#This Row],[day_id]],calendar!A120,calendar!E120)</f>
        <v>5</v>
      </c>
      <c r="H485">
        <f>_xlfn.XLOOKUP(Sheet1[[#This Row],[day_id]],calendar!A120,calendar!F120)</f>
        <v>2011</v>
      </c>
      <c r="I485" t="str">
        <f>_xlfn.XLOOKUP(Sheet1[[#This Row],[day_id]],calendar!A120,calendar!J120)</f>
        <v>No Event</v>
      </c>
      <c r="J485" t="str">
        <f>_xlfn.XLOOKUP(Sheet1[[#This Row],[day_id]],calendar!A120,calendar!K120)</f>
        <v>No Event Type</v>
      </c>
      <c r="K485">
        <f>_xlfn.XLOOKUP(Sheet1[[#This Row],[day_id]],calendar!A120,calendar!I120)</f>
        <v>0</v>
      </c>
    </row>
    <row r="486" spans="1:11" x14ac:dyDescent="0.2">
      <c r="A486" t="s">
        <v>370</v>
      </c>
      <c r="B486" t="s">
        <v>369</v>
      </c>
      <c r="C486" t="s">
        <v>121</v>
      </c>
      <c r="D486">
        <v>10</v>
      </c>
      <c r="E486" s="1">
        <f>_xlfn.XLOOKUP(Sheet1[[#This Row],[day_id]],calendar!A121,calendar!B121)</f>
        <v>40691</v>
      </c>
      <c r="F486" t="str">
        <f>_xlfn.XLOOKUP(Sheet1[[#This Row],[day_id]],calendar!A121,calendar!C121)</f>
        <v>Saturday</v>
      </c>
      <c r="G486">
        <f>_xlfn.XLOOKUP(Sheet1[[#This Row],[day_id]],calendar!A121,calendar!E121)</f>
        <v>5</v>
      </c>
      <c r="H486">
        <f>_xlfn.XLOOKUP(Sheet1[[#This Row],[day_id]],calendar!A121,calendar!F121)</f>
        <v>2011</v>
      </c>
      <c r="I486" t="str">
        <f>_xlfn.XLOOKUP(Sheet1[[#This Row],[day_id]],calendar!A121,calendar!J121)</f>
        <v>No Event</v>
      </c>
      <c r="J486" t="str">
        <f>_xlfn.XLOOKUP(Sheet1[[#This Row],[day_id]],calendar!A121,calendar!K121)</f>
        <v>No Event Type</v>
      </c>
      <c r="K486">
        <f>_xlfn.XLOOKUP(Sheet1[[#This Row],[day_id]],calendar!A121,calendar!I121)</f>
        <v>0</v>
      </c>
    </row>
    <row r="487" spans="1:11" x14ac:dyDescent="0.2">
      <c r="A487" t="s">
        <v>370</v>
      </c>
      <c r="B487" t="s">
        <v>369</v>
      </c>
      <c r="C487" t="s">
        <v>122</v>
      </c>
      <c r="D487">
        <v>6</v>
      </c>
      <c r="E487" s="1">
        <f>_xlfn.XLOOKUP(Sheet1[[#This Row],[day_id]],calendar!A122,calendar!B122)</f>
        <v>40692</v>
      </c>
      <c r="F487" t="str">
        <f>_xlfn.XLOOKUP(Sheet1[[#This Row],[day_id]],calendar!A122,calendar!C122)</f>
        <v>Sunday</v>
      </c>
      <c r="G487">
        <f>_xlfn.XLOOKUP(Sheet1[[#This Row],[day_id]],calendar!A122,calendar!E122)</f>
        <v>5</v>
      </c>
      <c r="H487">
        <f>_xlfn.XLOOKUP(Sheet1[[#This Row],[day_id]],calendar!A122,calendar!F122)</f>
        <v>2011</v>
      </c>
      <c r="I487" t="str">
        <f>_xlfn.XLOOKUP(Sheet1[[#This Row],[day_id]],calendar!A122,calendar!J122)</f>
        <v>No Event</v>
      </c>
      <c r="J487" t="str">
        <f>_xlfn.XLOOKUP(Sheet1[[#This Row],[day_id]],calendar!A122,calendar!K122)</f>
        <v>No Event Type</v>
      </c>
      <c r="K487">
        <f>_xlfn.XLOOKUP(Sheet1[[#This Row],[day_id]],calendar!A122,calendar!I122)</f>
        <v>0</v>
      </c>
    </row>
    <row r="488" spans="1:11" x14ac:dyDescent="0.2">
      <c r="A488" t="s">
        <v>370</v>
      </c>
      <c r="B488" t="s">
        <v>369</v>
      </c>
      <c r="C488" t="s">
        <v>123</v>
      </c>
      <c r="D488">
        <v>2</v>
      </c>
      <c r="E488" s="1">
        <f>_xlfn.XLOOKUP(Sheet1[[#This Row],[day_id]],calendar!A123,calendar!B123)</f>
        <v>40693</v>
      </c>
      <c r="F488" t="str">
        <f>_xlfn.XLOOKUP(Sheet1[[#This Row],[day_id]],calendar!A123,calendar!C123)</f>
        <v>Monday</v>
      </c>
      <c r="G488">
        <f>_xlfn.XLOOKUP(Sheet1[[#This Row],[day_id]],calendar!A123,calendar!E123)</f>
        <v>5</v>
      </c>
      <c r="H488">
        <f>_xlfn.XLOOKUP(Sheet1[[#This Row],[day_id]],calendar!A123,calendar!F123)</f>
        <v>2011</v>
      </c>
      <c r="I488" t="str">
        <f>_xlfn.XLOOKUP(Sheet1[[#This Row],[day_id]],calendar!A123,calendar!J123)</f>
        <v>MemorialDay</v>
      </c>
      <c r="J488" t="str">
        <f>_xlfn.XLOOKUP(Sheet1[[#This Row],[day_id]],calendar!A123,calendar!K123)</f>
        <v>National</v>
      </c>
      <c r="K488">
        <f>_xlfn.XLOOKUP(Sheet1[[#This Row],[day_id]],calendar!A123,calendar!I123)</f>
        <v>0</v>
      </c>
    </row>
    <row r="489" spans="1:11" x14ac:dyDescent="0.2">
      <c r="A489" t="s">
        <v>370</v>
      </c>
      <c r="B489" t="s">
        <v>369</v>
      </c>
      <c r="C489" t="s">
        <v>124</v>
      </c>
      <c r="D489">
        <v>6</v>
      </c>
      <c r="E489" s="1">
        <f>_xlfn.XLOOKUP(Sheet1[[#This Row],[day_id]],calendar!A124,calendar!B124)</f>
        <v>40694</v>
      </c>
      <c r="F489" t="str">
        <f>_xlfn.XLOOKUP(Sheet1[[#This Row],[day_id]],calendar!A124,calendar!C124)</f>
        <v>Tuesday</v>
      </c>
      <c r="G489">
        <f>_xlfn.XLOOKUP(Sheet1[[#This Row],[day_id]],calendar!A124,calendar!E124)</f>
        <v>5</v>
      </c>
      <c r="H489">
        <f>_xlfn.XLOOKUP(Sheet1[[#This Row],[day_id]],calendar!A124,calendar!F124)</f>
        <v>2011</v>
      </c>
      <c r="I489" t="str">
        <f>_xlfn.XLOOKUP(Sheet1[[#This Row],[day_id]],calendar!A124,calendar!J124)</f>
        <v>NBAFinalsStart</v>
      </c>
      <c r="J489" t="str">
        <f>_xlfn.XLOOKUP(Sheet1[[#This Row],[day_id]],calendar!A124,calendar!K124)</f>
        <v>Sporting</v>
      </c>
      <c r="K489">
        <f>_xlfn.XLOOKUP(Sheet1[[#This Row],[day_id]],calendar!A124,calendar!I124)</f>
        <v>0</v>
      </c>
    </row>
    <row r="490" spans="1:11" x14ac:dyDescent="0.2">
      <c r="A490" t="s">
        <v>370</v>
      </c>
      <c r="B490" t="s">
        <v>369</v>
      </c>
      <c r="C490" t="s">
        <v>125</v>
      </c>
      <c r="D490">
        <v>11</v>
      </c>
      <c r="E490" s="1">
        <f>_xlfn.XLOOKUP(Sheet1[[#This Row],[day_id]],calendar!A125,calendar!B125)</f>
        <v>40695</v>
      </c>
      <c r="F490" t="str">
        <f>_xlfn.XLOOKUP(Sheet1[[#This Row],[day_id]],calendar!A125,calendar!C125)</f>
        <v>Wednesday</v>
      </c>
      <c r="G490">
        <f>_xlfn.XLOOKUP(Sheet1[[#This Row],[day_id]],calendar!A125,calendar!E125)</f>
        <v>6</v>
      </c>
      <c r="H490">
        <f>_xlfn.XLOOKUP(Sheet1[[#This Row],[day_id]],calendar!A125,calendar!F125)</f>
        <v>2011</v>
      </c>
      <c r="I490" t="str">
        <f>_xlfn.XLOOKUP(Sheet1[[#This Row],[day_id]],calendar!A125,calendar!J125)</f>
        <v>No Event</v>
      </c>
      <c r="J490" t="str">
        <f>_xlfn.XLOOKUP(Sheet1[[#This Row],[day_id]],calendar!A125,calendar!K125)</f>
        <v>No Event Type</v>
      </c>
      <c r="K490">
        <f>_xlfn.XLOOKUP(Sheet1[[#This Row],[day_id]],calendar!A125,calendar!I125)</f>
        <v>1</v>
      </c>
    </row>
    <row r="491" spans="1:11" x14ac:dyDescent="0.2">
      <c r="A491" t="s">
        <v>370</v>
      </c>
      <c r="B491" t="s">
        <v>369</v>
      </c>
      <c r="C491" t="s">
        <v>126</v>
      </c>
      <c r="D491">
        <v>6</v>
      </c>
      <c r="E491" s="1">
        <f>_xlfn.XLOOKUP(Sheet1[[#This Row],[day_id]],calendar!A126,calendar!B126)</f>
        <v>40696</v>
      </c>
      <c r="F491" t="str">
        <f>_xlfn.XLOOKUP(Sheet1[[#This Row],[day_id]],calendar!A126,calendar!C126)</f>
        <v>Thursday</v>
      </c>
      <c r="G491">
        <f>_xlfn.XLOOKUP(Sheet1[[#This Row],[day_id]],calendar!A126,calendar!E126)</f>
        <v>6</v>
      </c>
      <c r="H491">
        <f>_xlfn.XLOOKUP(Sheet1[[#This Row],[day_id]],calendar!A126,calendar!F126)</f>
        <v>2011</v>
      </c>
      <c r="I491" t="str">
        <f>_xlfn.XLOOKUP(Sheet1[[#This Row],[day_id]],calendar!A126,calendar!J126)</f>
        <v>No Event</v>
      </c>
      <c r="J491" t="str">
        <f>_xlfn.XLOOKUP(Sheet1[[#This Row],[day_id]],calendar!A126,calendar!K126)</f>
        <v>No Event Type</v>
      </c>
      <c r="K491">
        <f>_xlfn.XLOOKUP(Sheet1[[#This Row],[day_id]],calendar!A126,calendar!I126)</f>
        <v>1</v>
      </c>
    </row>
    <row r="492" spans="1:11" x14ac:dyDescent="0.2">
      <c r="A492" t="s">
        <v>370</v>
      </c>
      <c r="B492" t="s">
        <v>369</v>
      </c>
      <c r="C492" t="s">
        <v>127</v>
      </c>
      <c r="D492">
        <v>8</v>
      </c>
      <c r="E492" s="1">
        <f>_xlfn.XLOOKUP(Sheet1[[#This Row],[day_id]],calendar!A127,calendar!B127)</f>
        <v>40697</v>
      </c>
      <c r="F492" t="str">
        <f>_xlfn.XLOOKUP(Sheet1[[#This Row],[day_id]],calendar!A127,calendar!C127)</f>
        <v>Friday</v>
      </c>
      <c r="G492">
        <f>_xlfn.XLOOKUP(Sheet1[[#This Row],[day_id]],calendar!A127,calendar!E127)</f>
        <v>6</v>
      </c>
      <c r="H492">
        <f>_xlfn.XLOOKUP(Sheet1[[#This Row],[day_id]],calendar!A127,calendar!F127)</f>
        <v>2011</v>
      </c>
      <c r="I492" t="str">
        <f>_xlfn.XLOOKUP(Sheet1[[#This Row],[day_id]],calendar!A127,calendar!J127)</f>
        <v>No Event</v>
      </c>
      <c r="J492" t="str">
        <f>_xlfn.XLOOKUP(Sheet1[[#This Row],[day_id]],calendar!A127,calendar!K127)</f>
        <v>No Event Type</v>
      </c>
      <c r="K492">
        <f>_xlfn.XLOOKUP(Sheet1[[#This Row],[day_id]],calendar!A127,calendar!I127)</f>
        <v>1</v>
      </c>
    </row>
    <row r="493" spans="1:11" x14ac:dyDescent="0.2">
      <c r="A493" t="s">
        <v>370</v>
      </c>
      <c r="B493" t="s">
        <v>369</v>
      </c>
      <c r="C493" t="s">
        <v>128</v>
      </c>
      <c r="D493">
        <v>0</v>
      </c>
      <c r="E493" s="1">
        <f>_xlfn.XLOOKUP(Sheet1[[#This Row],[day_id]],calendar!A128,calendar!B128)</f>
        <v>40698</v>
      </c>
      <c r="F493" t="str">
        <f>_xlfn.XLOOKUP(Sheet1[[#This Row],[day_id]],calendar!A128,calendar!C128)</f>
        <v>Saturday</v>
      </c>
      <c r="G493">
        <f>_xlfn.XLOOKUP(Sheet1[[#This Row],[day_id]],calendar!A128,calendar!E128)</f>
        <v>6</v>
      </c>
      <c r="H493">
        <f>_xlfn.XLOOKUP(Sheet1[[#This Row],[day_id]],calendar!A128,calendar!F128)</f>
        <v>2011</v>
      </c>
      <c r="I493" t="str">
        <f>_xlfn.XLOOKUP(Sheet1[[#This Row],[day_id]],calendar!A128,calendar!J128)</f>
        <v>No Event</v>
      </c>
      <c r="J493" t="str">
        <f>_xlfn.XLOOKUP(Sheet1[[#This Row],[day_id]],calendar!A128,calendar!K128)</f>
        <v>No Event Type</v>
      </c>
      <c r="K493">
        <f>_xlfn.XLOOKUP(Sheet1[[#This Row],[day_id]],calendar!A128,calendar!I128)</f>
        <v>1</v>
      </c>
    </row>
    <row r="494" spans="1:11" x14ac:dyDescent="0.2">
      <c r="A494" t="s">
        <v>370</v>
      </c>
      <c r="B494" t="s">
        <v>369</v>
      </c>
      <c r="C494" t="s">
        <v>129</v>
      </c>
      <c r="D494">
        <v>0</v>
      </c>
      <c r="E494" s="1">
        <f>_xlfn.XLOOKUP(Sheet1[[#This Row],[day_id]],calendar!A129,calendar!B129)</f>
        <v>40699</v>
      </c>
      <c r="F494" t="str">
        <f>_xlfn.XLOOKUP(Sheet1[[#This Row],[day_id]],calendar!A129,calendar!C129)</f>
        <v>Sunday</v>
      </c>
      <c r="G494">
        <f>_xlfn.XLOOKUP(Sheet1[[#This Row],[day_id]],calendar!A129,calendar!E129)</f>
        <v>6</v>
      </c>
      <c r="H494">
        <f>_xlfn.XLOOKUP(Sheet1[[#This Row],[day_id]],calendar!A129,calendar!F129)</f>
        <v>2011</v>
      </c>
      <c r="I494" t="str">
        <f>_xlfn.XLOOKUP(Sheet1[[#This Row],[day_id]],calendar!A129,calendar!J129)</f>
        <v>No Event</v>
      </c>
      <c r="J494" t="str">
        <f>_xlfn.XLOOKUP(Sheet1[[#This Row],[day_id]],calendar!A129,calendar!K129)</f>
        <v>No Event Type</v>
      </c>
      <c r="K494">
        <f>_xlfn.XLOOKUP(Sheet1[[#This Row],[day_id]],calendar!A129,calendar!I129)</f>
        <v>1</v>
      </c>
    </row>
    <row r="495" spans="1:11" x14ac:dyDescent="0.2">
      <c r="A495" t="s">
        <v>370</v>
      </c>
      <c r="B495" t="s">
        <v>369</v>
      </c>
      <c r="C495" t="s">
        <v>130</v>
      </c>
      <c r="D495">
        <v>0</v>
      </c>
      <c r="E495" s="1">
        <f>_xlfn.XLOOKUP(Sheet1[[#This Row],[day_id]],calendar!A130,calendar!B130)</f>
        <v>40700</v>
      </c>
      <c r="F495" t="str">
        <f>_xlfn.XLOOKUP(Sheet1[[#This Row],[day_id]],calendar!A130,calendar!C130)</f>
        <v>Monday</v>
      </c>
      <c r="G495">
        <f>_xlfn.XLOOKUP(Sheet1[[#This Row],[day_id]],calendar!A130,calendar!E130)</f>
        <v>6</v>
      </c>
      <c r="H495">
        <f>_xlfn.XLOOKUP(Sheet1[[#This Row],[day_id]],calendar!A130,calendar!F130)</f>
        <v>2011</v>
      </c>
      <c r="I495" t="str">
        <f>_xlfn.XLOOKUP(Sheet1[[#This Row],[day_id]],calendar!A130,calendar!J130)</f>
        <v>No Event</v>
      </c>
      <c r="J495" t="str">
        <f>_xlfn.XLOOKUP(Sheet1[[#This Row],[day_id]],calendar!A130,calendar!K130)</f>
        <v>No Event Type</v>
      </c>
      <c r="K495">
        <f>_xlfn.XLOOKUP(Sheet1[[#This Row],[day_id]],calendar!A130,calendar!I130)</f>
        <v>1</v>
      </c>
    </row>
    <row r="496" spans="1:11" x14ac:dyDescent="0.2">
      <c r="A496" t="s">
        <v>370</v>
      </c>
      <c r="B496" t="s">
        <v>369</v>
      </c>
      <c r="C496" t="s">
        <v>131</v>
      </c>
      <c r="D496">
        <v>0</v>
      </c>
      <c r="E496" s="1">
        <f>_xlfn.XLOOKUP(Sheet1[[#This Row],[day_id]],calendar!A131,calendar!B131)</f>
        <v>40701</v>
      </c>
      <c r="F496" t="str">
        <f>_xlfn.XLOOKUP(Sheet1[[#This Row],[day_id]],calendar!A131,calendar!C131)</f>
        <v>Tuesday</v>
      </c>
      <c r="G496">
        <f>_xlfn.XLOOKUP(Sheet1[[#This Row],[day_id]],calendar!A131,calendar!E131)</f>
        <v>6</v>
      </c>
      <c r="H496">
        <f>_xlfn.XLOOKUP(Sheet1[[#This Row],[day_id]],calendar!A131,calendar!F131)</f>
        <v>2011</v>
      </c>
      <c r="I496" t="str">
        <f>_xlfn.XLOOKUP(Sheet1[[#This Row],[day_id]],calendar!A131,calendar!J131)</f>
        <v>No Event</v>
      </c>
      <c r="J496" t="str">
        <f>_xlfn.XLOOKUP(Sheet1[[#This Row],[day_id]],calendar!A131,calendar!K131)</f>
        <v>No Event Type</v>
      </c>
      <c r="K496">
        <f>_xlfn.XLOOKUP(Sheet1[[#This Row],[day_id]],calendar!A131,calendar!I131)</f>
        <v>1</v>
      </c>
    </row>
    <row r="497" spans="1:11" x14ac:dyDescent="0.2">
      <c r="A497" t="s">
        <v>370</v>
      </c>
      <c r="B497" t="s">
        <v>369</v>
      </c>
      <c r="C497" t="s">
        <v>132</v>
      </c>
      <c r="D497">
        <v>1</v>
      </c>
      <c r="E497" s="1">
        <f>_xlfn.XLOOKUP(Sheet1[[#This Row],[day_id]],calendar!A132,calendar!B132)</f>
        <v>40702</v>
      </c>
      <c r="F497" t="str">
        <f>_xlfn.XLOOKUP(Sheet1[[#This Row],[day_id]],calendar!A132,calendar!C132)</f>
        <v>Wednesday</v>
      </c>
      <c r="G497">
        <f>_xlfn.XLOOKUP(Sheet1[[#This Row],[day_id]],calendar!A132,calendar!E132)</f>
        <v>6</v>
      </c>
      <c r="H497">
        <f>_xlfn.XLOOKUP(Sheet1[[#This Row],[day_id]],calendar!A132,calendar!F132)</f>
        <v>2011</v>
      </c>
      <c r="I497" t="str">
        <f>_xlfn.XLOOKUP(Sheet1[[#This Row],[day_id]],calendar!A132,calendar!J132)</f>
        <v>No Event</v>
      </c>
      <c r="J497" t="str">
        <f>_xlfn.XLOOKUP(Sheet1[[#This Row],[day_id]],calendar!A132,calendar!K132)</f>
        <v>No Event Type</v>
      </c>
      <c r="K497">
        <f>_xlfn.XLOOKUP(Sheet1[[#This Row],[day_id]],calendar!A132,calendar!I132)</f>
        <v>1</v>
      </c>
    </row>
    <row r="498" spans="1:11" x14ac:dyDescent="0.2">
      <c r="A498" t="s">
        <v>370</v>
      </c>
      <c r="B498" t="s">
        <v>369</v>
      </c>
      <c r="C498" t="s">
        <v>133</v>
      </c>
      <c r="D498">
        <v>5</v>
      </c>
      <c r="E498" s="1">
        <f>_xlfn.XLOOKUP(Sheet1[[#This Row],[day_id]],calendar!A133,calendar!B133)</f>
        <v>40703</v>
      </c>
      <c r="F498" t="str">
        <f>_xlfn.XLOOKUP(Sheet1[[#This Row],[day_id]],calendar!A133,calendar!C133)</f>
        <v>Thursday</v>
      </c>
      <c r="G498">
        <f>_xlfn.XLOOKUP(Sheet1[[#This Row],[day_id]],calendar!A133,calendar!E133)</f>
        <v>6</v>
      </c>
      <c r="H498">
        <f>_xlfn.XLOOKUP(Sheet1[[#This Row],[day_id]],calendar!A133,calendar!F133)</f>
        <v>2011</v>
      </c>
      <c r="I498" t="str">
        <f>_xlfn.XLOOKUP(Sheet1[[#This Row],[day_id]],calendar!A133,calendar!J133)</f>
        <v>No Event</v>
      </c>
      <c r="J498" t="str">
        <f>_xlfn.XLOOKUP(Sheet1[[#This Row],[day_id]],calendar!A133,calendar!K133)</f>
        <v>No Event Type</v>
      </c>
      <c r="K498">
        <f>_xlfn.XLOOKUP(Sheet1[[#This Row],[day_id]],calendar!A133,calendar!I133)</f>
        <v>1</v>
      </c>
    </row>
    <row r="499" spans="1:11" x14ac:dyDescent="0.2">
      <c r="A499" t="s">
        <v>370</v>
      </c>
      <c r="B499" t="s">
        <v>369</v>
      </c>
      <c r="C499" t="s">
        <v>134</v>
      </c>
      <c r="D499">
        <v>8</v>
      </c>
      <c r="E499" s="1">
        <f>_xlfn.XLOOKUP(Sheet1[[#This Row],[day_id]],calendar!A134,calendar!B134)</f>
        <v>40704</v>
      </c>
      <c r="F499" t="str">
        <f>_xlfn.XLOOKUP(Sheet1[[#This Row],[day_id]],calendar!A134,calendar!C134)</f>
        <v>Friday</v>
      </c>
      <c r="G499">
        <f>_xlfn.XLOOKUP(Sheet1[[#This Row],[day_id]],calendar!A134,calendar!E134)</f>
        <v>6</v>
      </c>
      <c r="H499">
        <f>_xlfn.XLOOKUP(Sheet1[[#This Row],[day_id]],calendar!A134,calendar!F134)</f>
        <v>2011</v>
      </c>
      <c r="I499" t="str">
        <f>_xlfn.XLOOKUP(Sheet1[[#This Row],[day_id]],calendar!A134,calendar!J134)</f>
        <v>No Event</v>
      </c>
      <c r="J499" t="str">
        <f>_xlfn.XLOOKUP(Sheet1[[#This Row],[day_id]],calendar!A134,calendar!K134)</f>
        <v>No Event Type</v>
      </c>
      <c r="K499">
        <f>_xlfn.XLOOKUP(Sheet1[[#This Row],[day_id]],calendar!A134,calendar!I134)</f>
        <v>1</v>
      </c>
    </row>
    <row r="500" spans="1:11" x14ac:dyDescent="0.2">
      <c r="A500" t="s">
        <v>370</v>
      </c>
      <c r="B500" t="s">
        <v>369</v>
      </c>
      <c r="C500" t="s">
        <v>135</v>
      </c>
      <c r="D500">
        <v>14</v>
      </c>
      <c r="E500" s="1">
        <f>_xlfn.XLOOKUP(Sheet1[[#This Row],[day_id]],calendar!A135,calendar!B135)</f>
        <v>40705</v>
      </c>
      <c r="F500" t="str">
        <f>_xlfn.XLOOKUP(Sheet1[[#This Row],[day_id]],calendar!A135,calendar!C135)</f>
        <v>Saturday</v>
      </c>
      <c r="G500">
        <f>_xlfn.XLOOKUP(Sheet1[[#This Row],[day_id]],calendar!A135,calendar!E135)</f>
        <v>6</v>
      </c>
      <c r="H500">
        <f>_xlfn.XLOOKUP(Sheet1[[#This Row],[day_id]],calendar!A135,calendar!F135)</f>
        <v>2011</v>
      </c>
      <c r="I500" t="str">
        <f>_xlfn.XLOOKUP(Sheet1[[#This Row],[day_id]],calendar!A135,calendar!J135)</f>
        <v>No Event</v>
      </c>
      <c r="J500" t="str">
        <f>_xlfn.XLOOKUP(Sheet1[[#This Row],[day_id]],calendar!A135,calendar!K135)</f>
        <v>No Event Type</v>
      </c>
      <c r="K500">
        <f>_xlfn.XLOOKUP(Sheet1[[#This Row],[day_id]],calendar!A135,calendar!I135)</f>
        <v>0</v>
      </c>
    </row>
    <row r="501" spans="1:11" x14ac:dyDescent="0.2">
      <c r="A501" t="s">
        <v>370</v>
      </c>
      <c r="B501" t="s">
        <v>369</v>
      </c>
      <c r="C501" t="s">
        <v>136</v>
      </c>
      <c r="D501">
        <v>18</v>
      </c>
      <c r="E501" s="1">
        <f>_xlfn.XLOOKUP(Sheet1[[#This Row],[day_id]],calendar!A136,calendar!B136)</f>
        <v>40706</v>
      </c>
      <c r="F501" t="str">
        <f>_xlfn.XLOOKUP(Sheet1[[#This Row],[day_id]],calendar!A136,calendar!C136)</f>
        <v>Sunday</v>
      </c>
      <c r="G501">
        <f>_xlfn.XLOOKUP(Sheet1[[#This Row],[day_id]],calendar!A136,calendar!E136)</f>
        <v>6</v>
      </c>
      <c r="H501">
        <f>_xlfn.XLOOKUP(Sheet1[[#This Row],[day_id]],calendar!A136,calendar!F136)</f>
        <v>2011</v>
      </c>
      <c r="I501" t="str">
        <f>_xlfn.XLOOKUP(Sheet1[[#This Row],[day_id]],calendar!A136,calendar!J136)</f>
        <v>NBAFinalsEnd</v>
      </c>
      <c r="J501" t="str">
        <f>_xlfn.XLOOKUP(Sheet1[[#This Row],[day_id]],calendar!A136,calendar!K136)</f>
        <v>Sporting</v>
      </c>
      <c r="K501">
        <f>_xlfn.XLOOKUP(Sheet1[[#This Row],[day_id]],calendar!A136,calendar!I136)</f>
        <v>0</v>
      </c>
    </row>
    <row r="502" spans="1:11" x14ac:dyDescent="0.2">
      <c r="A502" t="s">
        <v>370</v>
      </c>
      <c r="B502" t="s">
        <v>369</v>
      </c>
      <c r="C502" t="s">
        <v>137</v>
      </c>
      <c r="D502">
        <v>17</v>
      </c>
      <c r="E502" s="1">
        <f>_xlfn.XLOOKUP(Sheet1[[#This Row],[day_id]],calendar!A137,calendar!B137)</f>
        <v>40707</v>
      </c>
      <c r="F502" t="str">
        <f>_xlfn.XLOOKUP(Sheet1[[#This Row],[day_id]],calendar!A137,calendar!C137)</f>
        <v>Monday</v>
      </c>
      <c r="G502">
        <f>_xlfn.XLOOKUP(Sheet1[[#This Row],[day_id]],calendar!A137,calendar!E137)</f>
        <v>6</v>
      </c>
      <c r="H502">
        <f>_xlfn.XLOOKUP(Sheet1[[#This Row],[day_id]],calendar!A137,calendar!F137)</f>
        <v>2011</v>
      </c>
      <c r="I502" t="str">
        <f>_xlfn.XLOOKUP(Sheet1[[#This Row],[day_id]],calendar!A137,calendar!J137)</f>
        <v>No Event</v>
      </c>
      <c r="J502" t="str">
        <f>_xlfn.XLOOKUP(Sheet1[[#This Row],[day_id]],calendar!A137,calendar!K137)</f>
        <v>No Event Type</v>
      </c>
      <c r="K502">
        <f>_xlfn.XLOOKUP(Sheet1[[#This Row],[day_id]],calendar!A137,calendar!I137)</f>
        <v>0</v>
      </c>
    </row>
    <row r="503" spans="1:11" x14ac:dyDescent="0.2">
      <c r="A503" t="s">
        <v>370</v>
      </c>
      <c r="B503" t="s">
        <v>369</v>
      </c>
      <c r="C503" t="s">
        <v>138</v>
      </c>
      <c r="D503">
        <v>10</v>
      </c>
      <c r="E503" s="1">
        <f>_xlfn.XLOOKUP(Sheet1[[#This Row],[day_id]],calendar!A138,calendar!B138)</f>
        <v>40708</v>
      </c>
      <c r="F503" t="str">
        <f>_xlfn.XLOOKUP(Sheet1[[#This Row],[day_id]],calendar!A138,calendar!C138)</f>
        <v>Tuesday</v>
      </c>
      <c r="G503">
        <f>_xlfn.XLOOKUP(Sheet1[[#This Row],[day_id]],calendar!A138,calendar!E138)</f>
        <v>6</v>
      </c>
      <c r="H503">
        <f>_xlfn.XLOOKUP(Sheet1[[#This Row],[day_id]],calendar!A138,calendar!F138)</f>
        <v>2011</v>
      </c>
      <c r="I503" t="str">
        <f>_xlfn.XLOOKUP(Sheet1[[#This Row],[day_id]],calendar!A138,calendar!J138)</f>
        <v>No Event</v>
      </c>
      <c r="J503" t="str">
        <f>_xlfn.XLOOKUP(Sheet1[[#This Row],[day_id]],calendar!A138,calendar!K138)</f>
        <v>No Event Type</v>
      </c>
      <c r="K503">
        <f>_xlfn.XLOOKUP(Sheet1[[#This Row],[day_id]],calendar!A138,calendar!I138)</f>
        <v>0</v>
      </c>
    </row>
    <row r="504" spans="1:11" x14ac:dyDescent="0.2">
      <c r="A504" t="s">
        <v>370</v>
      </c>
      <c r="B504" t="s">
        <v>369</v>
      </c>
      <c r="C504" t="s">
        <v>139</v>
      </c>
      <c r="D504">
        <v>22</v>
      </c>
      <c r="E504" s="1">
        <f>_xlfn.XLOOKUP(Sheet1[[#This Row],[day_id]],calendar!A139,calendar!B139)</f>
        <v>40709</v>
      </c>
      <c r="F504" t="str">
        <f>_xlfn.XLOOKUP(Sheet1[[#This Row],[day_id]],calendar!A139,calendar!C139)</f>
        <v>Wednesday</v>
      </c>
      <c r="G504">
        <f>_xlfn.XLOOKUP(Sheet1[[#This Row],[day_id]],calendar!A139,calendar!E139)</f>
        <v>6</v>
      </c>
      <c r="H504">
        <f>_xlfn.XLOOKUP(Sheet1[[#This Row],[day_id]],calendar!A139,calendar!F139)</f>
        <v>2011</v>
      </c>
      <c r="I504" t="str">
        <f>_xlfn.XLOOKUP(Sheet1[[#This Row],[day_id]],calendar!A139,calendar!J139)</f>
        <v>No Event</v>
      </c>
      <c r="J504" t="str">
        <f>_xlfn.XLOOKUP(Sheet1[[#This Row],[day_id]],calendar!A139,calendar!K139)</f>
        <v>No Event Type</v>
      </c>
      <c r="K504">
        <f>_xlfn.XLOOKUP(Sheet1[[#This Row],[day_id]],calendar!A139,calendar!I139)</f>
        <v>0</v>
      </c>
    </row>
    <row r="505" spans="1:11" x14ac:dyDescent="0.2">
      <c r="A505" t="s">
        <v>370</v>
      </c>
      <c r="B505" t="s">
        <v>369</v>
      </c>
      <c r="C505" t="s">
        <v>140</v>
      </c>
      <c r="D505">
        <v>20</v>
      </c>
      <c r="E505" s="1">
        <f>_xlfn.XLOOKUP(Sheet1[[#This Row],[day_id]],calendar!A140,calendar!B140)</f>
        <v>40710</v>
      </c>
      <c r="F505" t="str">
        <f>_xlfn.XLOOKUP(Sheet1[[#This Row],[day_id]],calendar!A140,calendar!C140)</f>
        <v>Thursday</v>
      </c>
      <c r="G505">
        <f>_xlfn.XLOOKUP(Sheet1[[#This Row],[day_id]],calendar!A140,calendar!E140)</f>
        <v>6</v>
      </c>
      <c r="H505">
        <f>_xlfn.XLOOKUP(Sheet1[[#This Row],[day_id]],calendar!A140,calendar!F140)</f>
        <v>2011</v>
      </c>
      <c r="I505" t="str">
        <f>_xlfn.XLOOKUP(Sheet1[[#This Row],[day_id]],calendar!A140,calendar!J140)</f>
        <v>No Event</v>
      </c>
      <c r="J505" t="str">
        <f>_xlfn.XLOOKUP(Sheet1[[#This Row],[day_id]],calendar!A140,calendar!K140)</f>
        <v>No Event Type</v>
      </c>
      <c r="K505">
        <f>_xlfn.XLOOKUP(Sheet1[[#This Row],[day_id]],calendar!A140,calendar!I140)</f>
        <v>0</v>
      </c>
    </row>
    <row r="506" spans="1:11" x14ac:dyDescent="0.2">
      <c r="A506" t="s">
        <v>370</v>
      </c>
      <c r="B506" t="s">
        <v>369</v>
      </c>
      <c r="C506" t="s">
        <v>141</v>
      </c>
      <c r="D506">
        <v>28</v>
      </c>
      <c r="E506" s="1">
        <f>_xlfn.XLOOKUP(Sheet1[[#This Row],[day_id]],calendar!A141,calendar!B141)</f>
        <v>40711</v>
      </c>
      <c r="F506" t="str">
        <f>_xlfn.XLOOKUP(Sheet1[[#This Row],[day_id]],calendar!A141,calendar!C141)</f>
        <v>Friday</v>
      </c>
      <c r="G506">
        <f>_xlfn.XLOOKUP(Sheet1[[#This Row],[day_id]],calendar!A141,calendar!E141)</f>
        <v>6</v>
      </c>
      <c r="H506">
        <f>_xlfn.XLOOKUP(Sheet1[[#This Row],[day_id]],calendar!A141,calendar!F141)</f>
        <v>2011</v>
      </c>
      <c r="I506" t="str">
        <f>_xlfn.XLOOKUP(Sheet1[[#This Row],[day_id]],calendar!A141,calendar!J141)</f>
        <v>No Event</v>
      </c>
      <c r="J506" t="str">
        <f>_xlfn.XLOOKUP(Sheet1[[#This Row],[day_id]],calendar!A141,calendar!K141)</f>
        <v>No Event Type</v>
      </c>
      <c r="K506">
        <f>_xlfn.XLOOKUP(Sheet1[[#This Row],[day_id]],calendar!A141,calendar!I141)</f>
        <v>0</v>
      </c>
    </row>
    <row r="507" spans="1:11" x14ac:dyDescent="0.2">
      <c r="A507" t="s">
        <v>370</v>
      </c>
      <c r="B507" t="s">
        <v>369</v>
      </c>
      <c r="C507" t="s">
        <v>142</v>
      </c>
      <c r="D507">
        <v>14</v>
      </c>
      <c r="E507" s="1">
        <f>_xlfn.XLOOKUP(Sheet1[[#This Row],[day_id]],calendar!A142,calendar!B142)</f>
        <v>40712</v>
      </c>
      <c r="F507" t="str">
        <f>_xlfn.XLOOKUP(Sheet1[[#This Row],[day_id]],calendar!A142,calendar!C142)</f>
        <v>Saturday</v>
      </c>
      <c r="G507">
        <f>_xlfn.XLOOKUP(Sheet1[[#This Row],[day_id]],calendar!A142,calendar!E142)</f>
        <v>6</v>
      </c>
      <c r="H507">
        <f>_xlfn.XLOOKUP(Sheet1[[#This Row],[day_id]],calendar!A142,calendar!F142)</f>
        <v>2011</v>
      </c>
      <c r="I507" t="str">
        <f>_xlfn.XLOOKUP(Sheet1[[#This Row],[day_id]],calendar!A142,calendar!J142)</f>
        <v>No Event</v>
      </c>
      <c r="J507" t="str">
        <f>_xlfn.XLOOKUP(Sheet1[[#This Row],[day_id]],calendar!A142,calendar!K142)</f>
        <v>No Event Type</v>
      </c>
      <c r="K507">
        <f>_xlfn.XLOOKUP(Sheet1[[#This Row],[day_id]],calendar!A142,calendar!I142)</f>
        <v>0</v>
      </c>
    </row>
    <row r="508" spans="1:11" x14ac:dyDescent="0.2">
      <c r="A508" t="s">
        <v>370</v>
      </c>
      <c r="B508" t="s">
        <v>369</v>
      </c>
      <c r="C508" t="s">
        <v>143</v>
      </c>
      <c r="D508">
        <v>8</v>
      </c>
      <c r="E508" s="1">
        <f>_xlfn.XLOOKUP(Sheet1[[#This Row],[day_id]],calendar!A143,calendar!B143)</f>
        <v>40713</v>
      </c>
      <c r="F508" t="str">
        <f>_xlfn.XLOOKUP(Sheet1[[#This Row],[day_id]],calendar!A143,calendar!C143)</f>
        <v>Sunday</v>
      </c>
      <c r="G508">
        <f>_xlfn.XLOOKUP(Sheet1[[#This Row],[day_id]],calendar!A143,calendar!E143)</f>
        <v>6</v>
      </c>
      <c r="H508">
        <f>_xlfn.XLOOKUP(Sheet1[[#This Row],[day_id]],calendar!A143,calendar!F143)</f>
        <v>2011</v>
      </c>
      <c r="I508" t="str">
        <f>_xlfn.XLOOKUP(Sheet1[[#This Row],[day_id]],calendar!A143,calendar!J143)</f>
        <v>Father's day</v>
      </c>
      <c r="J508" t="str">
        <f>_xlfn.XLOOKUP(Sheet1[[#This Row],[day_id]],calendar!A143,calendar!K143)</f>
        <v>Cultural</v>
      </c>
      <c r="K508">
        <f>_xlfn.XLOOKUP(Sheet1[[#This Row],[day_id]],calendar!A143,calendar!I143)</f>
        <v>0</v>
      </c>
    </row>
    <row r="509" spans="1:11" x14ac:dyDescent="0.2">
      <c r="A509" t="s">
        <v>370</v>
      </c>
      <c r="B509" t="s">
        <v>369</v>
      </c>
      <c r="C509" t="s">
        <v>144</v>
      </c>
      <c r="D509">
        <v>8</v>
      </c>
      <c r="E509" s="1">
        <f>_xlfn.XLOOKUP(Sheet1[[#This Row],[day_id]],calendar!A144,calendar!B144)</f>
        <v>40714</v>
      </c>
      <c r="F509" t="str">
        <f>_xlfn.XLOOKUP(Sheet1[[#This Row],[day_id]],calendar!A144,calendar!C144)</f>
        <v>Monday</v>
      </c>
      <c r="G509">
        <f>_xlfn.XLOOKUP(Sheet1[[#This Row],[day_id]],calendar!A144,calendar!E144)</f>
        <v>6</v>
      </c>
      <c r="H509">
        <f>_xlfn.XLOOKUP(Sheet1[[#This Row],[day_id]],calendar!A144,calendar!F144)</f>
        <v>2011</v>
      </c>
      <c r="I509" t="str">
        <f>_xlfn.XLOOKUP(Sheet1[[#This Row],[day_id]],calendar!A144,calendar!J144)</f>
        <v>No Event</v>
      </c>
      <c r="J509" t="str">
        <f>_xlfn.XLOOKUP(Sheet1[[#This Row],[day_id]],calendar!A144,calendar!K144)</f>
        <v>No Event Type</v>
      </c>
      <c r="K509">
        <f>_xlfn.XLOOKUP(Sheet1[[#This Row],[day_id]],calendar!A144,calendar!I144)</f>
        <v>0</v>
      </c>
    </row>
    <row r="510" spans="1:11" x14ac:dyDescent="0.2">
      <c r="A510" t="s">
        <v>370</v>
      </c>
      <c r="B510" t="s">
        <v>369</v>
      </c>
      <c r="C510" t="s">
        <v>145</v>
      </c>
      <c r="D510">
        <v>12</v>
      </c>
      <c r="E510" s="1">
        <f>_xlfn.XLOOKUP(Sheet1[[#This Row],[day_id]],calendar!A145,calendar!B145)</f>
        <v>40715</v>
      </c>
      <c r="F510" t="str">
        <f>_xlfn.XLOOKUP(Sheet1[[#This Row],[day_id]],calendar!A145,calendar!C145)</f>
        <v>Tuesday</v>
      </c>
      <c r="G510">
        <f>_xlfn.XLOOKUP(Sheet1[[#This Row],[day_id]],calendar!A145,calendar!E145)</f>
        <v>6</v>
      </c>
      <c r="H510">
        <f>_xlfn.XLOOKUP(Sheet1[[#This Row],[day_id]],calendar!A145,calendar!F145)</f>
        <v>2011</v>
      </c>
      <c r="I510" t="str">
        <f>_xlfn.XLOOKUP(Sheet1[[#This Row],[day_id]],calendar!A145,calendar!J145)</f>
        <v>No Event</v>
      </c>
      <c r="J510" t="str">
        <f>_xlfn.XLOOKUP(Sheet1[[#This Row],[day_id]],calendar!A145,calendar!K145)</f>
        <v>No Event Type</v>
      </c>
      <c r="K510">
        <f>_xlfn.XLOOKUP(Sheet1[[#This Row],[day_id]],calendar!A145,calendar!I145)</f>
        <v>0</v>
      </c>
    </row>
    <row r="511" spans="1:11" x14ac:dyDescent="0.2">
      <c r="A511" t="s">
        <v>370</v>
      </c>
      <c r="B511" t="s">
        <v>369</v>
      </c>
      <c r="C511" t="s">
        <v>146</v>
      </c>
      <c r="D511">
        <v>17</v>
      </c>
      <c r="E511" s="1">
        <f>_xlfn.XLOOKUP(Sheet1[[#This Row],[day_id]],calendar!A146,calendar!B146)</f>
        <v>40716</v>
      </c>
      <c r="F511" t="str">
        <f>_xlfn.XLOOKUP(Sheet1[[#This Row],[day_id]],calendar!A146,calendar!C146)</f>
        <v>Wednesday</v>
      </c>
      <c r="G511">
        <f>_xlfn.XLOOKUP(Sheet1[[#This Row],[day_id]],calendar!A146,calendar!E146)</f>
        <v>6</v>
      </c>
      <c r="H511">
        <f>_xlfn.XLOOKUP(Sheet1[[#This Row],[day_id]],calendar!A146,calendar!F146)</f>
        <v>2011</v>
      </c>
      <c r="I511" t="str">
        <f>_xlfn.XLOOKUP(Sheet1[[#This Row],[day_id]],calendar!A146,calendar!J146)</f>
        <v>No Event</v>
      </c>
      <c r="J511" t="str">
        <f>_xlfn.XLOOKUP(Sheet1[[#This Row],[day_id]],calendar!A146,calendar!K146)</f>
        <v>No Event Type</v>
      </c>
      <c r="K511">
        <f>_xlfn.XLOOKUP(Sheet1[[#This Row],[day_id]],calendar!A146,calendar!I146)</f>
        <v>0</v>
      </c>
    </row>
    <row r="512" spans="1:11" x14ac:dyDescent="0.2">
      <c r="A512" t="s">
        <v>370</v>
      </c>
      <c r="B512" t="s">
        <v>369</v>
      </c>
      <c r="C512" t="s">
        <v>147</v>
      </c>
      <c r="D512">
        <v>10</v>
      </c>
      <c r="E512" s="1">
        <f>_xlfn.XLOOKUP(Sheet1[[#This Row],[day_id]],calendar!A147,calendar!B147)</f>
        <v>40717</v>
      </c>
      <c r="F512" t="str">
        <f>_xlfn.XLOOKUP(Sheet1[[#This Row],[day_id]],calendar!A147,calendar!C147)</f>
        <v>Thursday</v>
      </c>
      <c r="G512">
        <f>_xlfn.XLOOKUP(Sheet1[[#This Row],[day_id]],calendar!A147,calendar!E147)</f>
        <v>6</v>
      </c>
      <c r="H512">
        <f>_xlfn.XLOOKUP(Sheet1[[#This Row],[day_id]],calendar!A147,calendar!F147)</f>
        <v>2011</v>
      </c>
      <c r="I512" t="str">
        <f>_xlfn.XLOOKUP(Sheet1[[#This Row],[day_id]],calendar!A147,calendar!J147)</f>
        <v>No Event</v>
      </c>
      <c r="J512" t="str">
        <f>_xlfn.XLOOKUP(Sheet1[[#This Row],[day_id]],calendar!A147,calendar!K147)</f>
        <v>No Event Type</v>
      </c>
      <c r="K512">
        <f>_xlfn.XLOOKUP(Sheet1[[#This Row],[day_id]],calendar!A147,calendar!I147)</f>
        <v>0</v>
      </c>
    </row>
    <row r="513" spans="1:11" x14ac:dyDescent="0.2">
      <c r="A513" t="s">
        <v>370</v>
      </c>
      <c r="B513" t="s">
        <v>369</v>
      </c>
      <c r="C513" t="s">
        <v>148</v>
      </c>
      <c r="D513">
        <v>20</v>
      </c>
      <c r="E513" s="1">
        <f>_xlfn.XLOOKUP(Sheet1[[#This Row],[day_id]],calendar!A148,calendar!B148)</f>
        <v>40718</v>
      </c>
      <c r="F513" t="str">
        <f>_xlfn.XLOOKUP(Sheet1[[#This Row],[day_id]],calendar!A148,calendar!C148)</f>
        <v>Friday</v>
      </c>
      <c r="G513">
        <f>_xlfn.XLOOKUP(Sheet1[[#This Row],[day_id]],calendar!A148,calendar!E148)</f>
        <v>6</v>
      </c>
      <c r="H513">
        <f>_xlfn.XLOOKUP(Sheet1[[#This Row],[day_id]],calendar!A148,calendar!F148)</f>
        <v>2011</v>
      </c>
      <c r="I513" t="str">
        <f>_xlfn.XLOOKUP(Sheet1[[#This Row],[day_id]],calendar!A148,calendar!J148)</f>
        <v>No Event</v>
      </c>
      <c r="J513" t="str">
        <f>_xlfn.XLOOKUP(Sheet1[[#This Row],[day_id]],calendar!A148,calendar!K148)</f>
        <v>No Event Type</v>
      </c>
      <c r="K513">
        <f>_xlfn.XLOOKUP(Sheet1[[#This Row],[day_id]],calendar!A148,calendar!I148)</f>
        <v>0</v>
      </c>
    </row>
    <row r="514" spans="1:11" x14ac:dyDescent="0.2">
      <c r="A514" t="s">
        <v>370</v>
      </c>
      <c r="B514" t="s">
        <v>369</v>
      </c>
      <c r="C514" t="s">
        <v>149</v>
      </c>
      <c r="D514">
        <v>25</v>
      </c>
      <c r="E514" s="1">
        <f>_xlfn.XLOOKUP(Sheet1[[#This Row],[day_id]],calendar!A149,calendar!B149)</f>
        <v>40719</v>
      </c>
      <c r="F514" t="str">
        <f>_xlfn.XLOOKUP(Sheet1[[#This Row],[day_id]],calendar!A149,calendar!C149)</f>
        <v>Saturday</v>
      </c>
      <c r="G514">
        <f>_xlfn.XLOOKUP(Sheet1[[#This Row],[day_id]],calendar!A149,calendar!E149)</f>
        <v>6</v>
      </c>
      <c r="H514">
        <f>_xlfn.XLOOKUP(Sheet1[[#This Row],[day_id]],calendar!A149,calendar!F149)</f>
        <v>2011</v>
      </c>
      <c r="I514" t="str">
        <f>_xlfn.XLOOKUP(Sheet1[[#This Row],[day_id]],calendar!A149,calendar!J149)</f>
        <v>No Event</v>
      </c>
      <c r="J514" t="str">
        <f>_xlfn.XLOOKUP(Sheet1[[#This Row],[day_id]],calendar!A149,calendar!K149)</f>
        <v>No Event Type</v>
      </c>
      <c r="K514">
        <f>_xlfn.XLOOKUP(Sheet1[[#This Row],[day_id]],calendar!A149,calendar!I149)</f>
        <v>0</v>
      </c>
    </row>
    <row r="515" spans="1:11" x14ac:dyDescent="0.2">
      <c r="A515" t="s">
        <v>370</v>
      </c>
      <c r="B515" t="s">
        <v>369</v>
      </c>
      <c r="C515" t="s">
        <v>150</v>
      </c>
      <c r="D515">
        <v>19</v>
      </c>
      <c r="E515" s="1">
        <f>_xlfn.XLOOKUP(Sheet1[[#This Row],[day_id]],calendar!A150,calendar!B150)</f>
        <v>40720</v>
      </c>
      <c r="F515" t="str">
        <f>_xlfn.XLOOKUP(Sheet1[[#This Row],[day_id]],calendar!A150,calendar!C150)</f>
        <v>Sunday</v>
      </c>
      <c r="G515">
        <f>_xlfn.XLOOKUP(Sheet1[[#This Row],[day_id]],calendar!A150,calendar!E150)</f>
        <v>6</v>
      </c>
      <c r="H515">
        <f>_xlfn.XLOOKUP(Sheet1[[#This Row],[day_id]],calendar!A150,calendar!F150)</f>
        <v>2011</v>
      </c>
      <c r="I515" t="str">
        <f>_xlfn.XLOOKUP(Sheet1[[#This Row],[day_id]],calendar!A150,calendar!J150)</f>
        <v>No Event</v>
      </c>
      <c r="J515" t="str">
        <f>_xlfn.XLOOKUP(Sheet1[[#This Row],[day_id]],calendar!A150,calendar!K150)</f>
        <v>No Event Type</v>
      </c>
      <c r="K515">
        <f>_xlfn.XLOOKUP(Sheet1[[#This Row],[day_id]],calendar!A150,calendar!I150)</f>
        <v>0</v>
      </c>
    </row>
    <row r="516" spans="1:11" x14ac:dyDescent="0.2">
      <c r="A516" t="s">
        <v>370</v>
      </c>
      <c r="B516" t="s">
        <v>369</v>
      </c>
      <c r="C516" t="s">
        <v>151</v>
      </c>
      <c r="D516">
        <v>13</v>
      </c>
      <c r="E516" s="1">
        <f>_xlfn.XLOOKUP(Sheet1[[#This Row],[day_id]],calendar!A151,calendar!B151)</f>
        <v>40721</v>
      </c>
      <c r="F516" t="str">
        <f>_xlfn.XLOOKUP(Sheet1[[#This Row],[day_id]],calendar!A151,calendar!C151)</f>
        <v>Monday</v>
      </c>
      <c r="G516">
        <f>_xlfn.XLOOKUP(Sheet1[[#This Row],[day_id]],calendar!A151,calendar!E151)</f>
        <v>6</v>
      </c>
      <c r="H516">
        <f>_xlfn.XLOOKUP(Sheet1[[#This Row],[day_id]],calendar!A151,calendar!F151)</f>
        <v>2011</v>
      </c>
      <c r="I516" t="str">
        <f>_xlfn.XLOOKUP(Sheet1[[#This Row],[day_id]],calendar!A151,calendar!J151)</f>
        <v>No Event</v>
      </c>
      <c r="J516" t="str">
        <f>_xlfn.XLOOKUP(Sheet1[[#This Row],[day_id]],calendar!A151,calendar!K151)</f>
        <v>No Event Type</v>
      </c>
      <c r="K516">
        <f>_xlfn.XLOOKUP(Sheet1[[#This Row],[day_id]],calendar!A151,calendar!I151)</f>
        <v>0</v>
      </c>
    </row>
    <row r="517" spans="1:11" x14ac:dyDescent="0.2">
      <c r="A517" t="s">
        <v>370</v>
      </c>
      <c r="B517" t="s">
        <v>369</v>
      </c>
      <c r="C517" t="s">
        <v>152</v>
      </c>
      <c r="D517">
        <v>16</v>
      </c>
      <c r="E517" s="1">
        <f>_xlfn.XLOOKUP(Sheet1[[#This Row],[day_id]],calendar!A152,calendar!B152)</f>
        <v>40722</v>
      </c>
      <c r="F517" t="str">
        <f>_xlfn.XLOOKUP(Sheet1[[#This Row],[day_id]],calendar!A152,calendar!C152)</f>
        <v>Tuesday</v>
      </c>
      <c r="G517">
        <f>_xlfn.XLOOKUP(Sheet1[[#This Row],[day_id]],calendar!A152,calendar!E152)</f>
        <v>6</v>
      </c>
      <c r="H517">
        <f>_xlfn.XLOOKUP(Sheet1[[#This Row],[day_id]],calendar!A152,calendar!F152)</f>
        <v>2011</v>
      </c>
      <c r="I517" t="str">
        <f>_xlfn.XLOOKUP(Sheet1[[#This Row],[day_id]],calendar!A152,calendar!J152)</f>
        <v>No Event</v>
      </c>
      <c r="J517" t="str">
        <f>_xlfn.XLOOKUP(Sheet1[[#This Row],[day_id]],calendar!A152,calendar!K152)</f>
        <v>No Event Type</v>
      </c>
      <c r="K517">
        <f>_xlfn.XLOOKUP(Sheet1[[#This Row],[day_id]],calendar!A152,calendar!I152)</f>
        <v>0</v>
      </c>
    </row>
    <row r="518" spans="1:11" x14ac:dyDescent="0.2">
      <c r="A518" t="s">
        <v>370</v>
      </c>
      <c r="B518" t="s">
        <v>369</v>
      </c>
      <c r="C518" t="s">
        <v>153</v>
      </c>
      <c r="D518">
        <v>16</v>
      </c>
      <c r="E518" s="1">
        <f>_xlfn.XLOOKUP(Sheet1[[#This Row],[day_id]],calendar!A153,calendar!B153)</f>
        <v>40723</v>
      </c>
      <c r="F518" t="str">
        <f>_xlfn.XLOOKUP(Sheet1[[#This Row],[day_id]],calendar!A153,calendar!C153)</f>
        <v>Wednesday</v>
      </c>
      <c r="G518">
        <f>_xlfn.XLOOKUP(Sheet1[[#This Row],[day_id]],calendar!A153,calendar!E153)</f>
        <v>6</v>
      </c>
      <c r="H518">
        <f>_xlfn.XLOOKUP(Sheet1[[#This Row],[day_id]],calendar!A153,calendar!F153)</f>
        <v>2011</v>
      </c>
      <c r="I518" t="str">
        <f>_xlfn.XLOOKUP(Sheet1[[#This Row],[day_id]],calendar!A153,calendar!J153)</f>
        <v>No Event</v>
      </c>
      <c r="J518" t="str">
        <f>_xlfn.XLOOKUP(Sheet1[[#This Row],[day_id]],calendar!A153,calendar!K153)</f>
        <v>No Event Type</v>
      </c>
      <c r="K518">
        <f>_xlfn.XLOOKUP(Sheet1[[#This Row],[day_id]],calendar!A153,calendar!I153)</f>
        <v>0</v>
      </c>
    </row>
    <row r="519" spans="1:11" x14ac:dyDescent="0.2">
      <c r="A519" t="s">
        <v>370</v>
      </c>
      <c r="B519" t="s">
        <v>369</v>
      </c>
      <c r="C519" t="s">
        <v>154</v>
      </c>
      <c r="D519">
        <v>14</v>
      </c>
      <c r="E519" s="1">
        <f>_xlfn.XLOOKUP(Sheet1[[#This Row],[day_id]],calendar!A154,calendar!B154)</f>
        <v>40724</v>
      </c>
      <c r="F519" t="str">
        <f>_xlfn.XLOOKUP(Sheet1[[#This Row],[day_id]],calendar!A154,calendar!C154)</f>
        <v>Thursday</v>
      </c>
      <c r="G519">
        <f>_xlfn.XLOOKUP(Sheet1[[#This Row],[day_id]],calendar!A154,calendar!E154)</f>
        <v>6</v>
      </c>
      <c r="H519">
        <f>_xlfn.XLOOKUP(Sheet1[[#This Row],[day_id]],calendar!A154,calendar!F154)</f>
        <v>2011</v>
      </c>
      <c r="I519" t="str">
        <f>_xlfn.XLOOKUP(Sheet1[[#This Row],[day_id]],calendar!A154,calendar!J154)</f>
        <v>No Event</v>
      </c>
      <c r="J519" t="str">
        <f>_xlfn.XLOOKUP(Sheet1[[#This Row],[day_id]],calendar!A154,calendar!K154)</f>
        <v>No Event Type</v>
      </c>
      <c r="K519">
        <f>_xlfn.XLOOKUP(Sheet1[[#This Row],[day_id]],calendar!A154,calendar!I154)</f>
        <v>0</v>
      </c>
    </row>
    <row r="520" spans="1:11" x14ac:dyDescent="0.2">
      <c r="A520" t="s">
        <v>370</v>
      </c>
      <c r="B520" t="s">
        <v>369</v>
      </c>
      <c r="C520" t="s">
        <v>155</v>
      </c>
      <c r="D520">
        <v>15</v>
      </c>
      <c r="E520" s="1">
        <f>_xlfn.XLOOKUP(Sheet1[[#This Row],[day_id]],calendar!A155,calendar!B155)</f>
        <v>40725</v>
      </c>
      <c r="F520" t="str">
        <f>_xlfn.XLOOKUP(Sheet1[[#This Row],[day_id]],calendar!A155,calendar!C155)</f>
        <v>Friday</v>
      </c>
      <c r="G520">
        <f>_xlfn.XLOOKUP(Sheet1[[#This Row],[day_id]],calendar!A155,calendar!E155)</f>
        <v>7</v>
      </c>
      <c r="H520">
        <f>_xlfn.XLOOKUP(Sheet1[[#This Row],[day_id]],calendar!A155,calendar!F155)</f>
        <v>2011</v>
      </c>
      <c r="I520" t="str">
        <f>_xlfn.XLOOKUP(Sheet1[[#This Row],[day_id]],calendar!A155,calendar!J155)</f>
        <v>No Event</v>
      </c>
      <c r="J520" t="str">
        <f>_xlfn.XLOOKUP(Sheet1[[#This Row],[day_id]],calendar!A155,calendar!K155)</f>
        <v>No Event Type</v>
      </c>
      <c r="K520">
        <f>_xlfn.XLOOKUP(Sheet1[[#This Row],[day_id]],calendar!A155,calendar!I155)</f>
        <v>1</v>
      </c>
    </row>
    <row r="521" spans="1:11" x14ac:dyDescent="0.2">
      <c r="A521" t="s">
        <v>370</v>
      </c>
      <c r="B521" t="s">
        <v>369</v>
      </c>
      <c r="C521" t="s">
        <v>156</v>
      </c>
      <c r="D521">
        <v>21</v>
      </c>
      <c r="E521" s="1">
        <f>_xlfn.XLOOKUP(Sheet1[[#This Row],[day_id]],calendar!A156,calendar!B156)</f>
        <v>40726</v>
      </c>
      <c r="F521" t="str">
        <f>_xlfn.XLOOKUP(Sheet1[[#This Row],[day_id]],calendar!A156,calendar!C156)</f>
        <v>Saturday</v>
      </c>
      <c r="G521">
        <f>_xlfn.XLOOKUP(Sheet1[[#This Row],[day_id]],calendar!A156,calendar!E156)</f>
        <v>7</v>
      </c>
      <c r="H521">
        <f>_xlfn.XLOOKUP(Sheet1[[#This Row],[day_id]],calendar!A156,calendar!F156)</f>
        <v>2011</v>
      </c>
      <c r="I521" t="str">
        <f>_xlfn.XLOOKUP(Sheet1[[#This Row],[day_id]],calendar!A156,calendar!J156)</f>
        <v>No Event</v>
      </c>
      <c r="J521" t="str">
        <f>_xlfn.XLOOKUP(Sheet1[[#This Row],[day_id]],calendar!A156,calendar!K156)</f>
        <v>No Event Type</v>
      </c>
      <c r="K521">
        <f>_xlfn.XLOOKUP(Sheet1[[#This Row],[day_id]],calendar!A156,calendar!I156)</f>
        <v>1</v>
      </c>
    </row>
    <row r="522" spans="1:11" x14ac:dyDescent="0.2">
      <c r="A522" t="s">
        <v>370</v>
      </c>
      <c r="B522" t="s">
        <v>369</v>
      </c>
      <c r="C522" t="s">
        <v>157</v>
      </c>
      <c r="D522">
        <v>36</v>
      </c>
      <c r="E522" s="1">
        <f>_xlfn.XLOOKUP(Sheet1[[#This Row],[day_id]],calendar!A157,calendar!B157)</f>
        <v>40727</v>
      </c>
      <c r="F522" t="str">
        <f>_xlfn.XLOOKUP(Sheet1[[#This Row],[day_id]],calendar!A157,calendar!C157)</f>
        <v>Sunday</v>
      </c>
      <c r="G522">
        <f>_xlfn.XLOOKUP(Sheet1[[#This Row],[day_id]],calendar!A157,calendar!E157)</f>
        <v>7</v>
      </c>
      <c r="H522">
        <f>_xlfn.XLOOKUP(Sheet1[[#This Row],[day_id]],calendar!A157,calendar!F157)</f>
        <v>2011</v>
      </c>
      <c r="I522" t="str">
        <f>_xlfn.XLOOKUP(Sheet1[[#This Row],[day_id]],calendar!A157,calendar!J157)</f>
        <v>No Event</v>
      </c>
      <c r="J522" t="str">
        <f>_xlfn.XLOOKUP(Sheet1[[#This Row],[day_id]],calendar!A157,calendar!K157)</f>
        <v>No Event Type</v>
      </c>
      <c r="K522">
        <f>_xlfn.XLOOKUP(Sheet1[[#This Row],[day_id]],calendar!A157,calendar!I157)</f>
        <v>1</v>
      </c>
    </row>
    <row r="523" spans="1:11" x14ac:dyDescent="0.2">
      <c r="A523" t="s">
        <v>370</v>
      </c>
      <c r="B523" t="s">
        <v>369</v>
      </c>
      <c r="C523" t="s">
        <v>158</v>
      </c>
      <c r="D523">
        <v>10</v>
      </c>
      <c r="E523" s="1">
        <f>_xlfn.XLOOKUP(Sheet1[[#This Row],[day_id]],calendar!A158,calendar!B158)</f>
        <v>40728</v>
      </c>
      <c r="F523" t="str">
        <f>_xlfn.XLOOKUP(Sheet1[[#This Row],[day_id]],calendar!A158,calendar!C158)</f>
        <v>Monday</v>
      </c>
      <c r="G523">
        <f>_xlfn.XLOOKUP(Sheet1[[#This Row],[day_id]],calendar!A158,calendar!E158)</f>
        <v>7</v>
      </c>
      <c r="H523">
        <f>_xlfn.XLOOKUP(Sheet1[[#This Row],[day_id]],calendar!A158,calendar!F158)</f>
        <v>2011</v>
      </c>
      <c r="I523" t="str">
        <f>_xlfn.XLOOKUP(Sheet1[[#This Row],[day_id]],calendar!A158,calendar!J158)</f>
        <v>IndependenceDay</v>
      </c>
      <c r="J523" t="str">
        <f>_xlfn.XLOOKUP(Sheet1[[#This Row],[day_id]],calendar!A158,calendar!K158)</f>
        <v>National</v>
      </c>
      <c r="K523">
        <f>_xlfn.XLOOKUP(Sheet1[[#This Row],[day_id]],calendar!A158,calendar!I158)</f>
        <v>1</v>
      </c>
    </row>
    <row r="524" spans="1:11" x14ac:dyDescent="0.2">
      <c r="A524" t="s">
        <v>370</v>
      </c>
      <c r="B524" t="s">
        <v>369</v>
      </c>
      <c r="C524" t="s">
        <v>159</v>
      </c>
      <c r="D524">
        <v>9</v>
      </c>
      <c r="E524" s="1">
        <f>_xlfn.XLOOKUP(Sheet1[[#This Row],[day_id]],calendar!A159,calendar!B159)</f>
        <v>40729</v>
      </c>
      <c r="F524" t="str">
        <f>_xlfn.XLOOKUP(Sheet1[[#This Row],[day_id]],calendar!A159,calendar!C159)</f>
        <v>Tuesday</v>
      </c>
      <c r="G524">
        <f>_xlfn.XLOOKUP(Sheet1[[#This Row],[day_id]],calendar!A159,calendar!E159)</f>
        <v>7</v>
      </c>
      <c r="H524">
        <f>_xlfn.XLOOKUP(Sheet1[[#This Row],[day_id]],calendar!A159,calendar!F159)</f>
        <v>2011</v>
      </c>
      <c r="I524" t="str">
        <f>_xlfn.XLOOKUP(Sheet1[[#This Row],[day_id]],calendar!A159,calendar!J159)</f>
        <v>No Event</v>
      </c>
      <c r="J524" t="str">
        <f>_xlfn.XLOOKUP(Sheet1[[#This Row],[day_id]],calendar!A159,calendar!K159)</f>
        <v>No Event Type</v>
      </c>
      <c r="K524">
        <f>_xlfn.XLOOKUP(Sheet1[[#This Row],[day_id]],calendar!A159,calendar!I159)</f>
        <v>1</v>
      </c>
    </row>
    <row r="525" spans="1:11" x14ac:dyDescent="0.2">
      <c r="A525" t="s">
        <v>370</v>
      </c>
      <c r="B525" t="s">
        <v>369</v>
      </c>
      <c r="C525" t="s">
        <v>160</v>
      </c>
      <c r="D525">
        <v>15</v>
      </c>
      <c r="E525" s="1">
        <f>_xlfn.XLOOKUP(Sheet1[[#This Row],[day_id]],calendar!A160,calendar!B160)</f>
        <v>40730</v>
      </c>
      <c r="F525" t="str">
        <f>_xlfn.XLOOKUP(Sheet1[[#This Row],[day_id]],calendar!A160,calendar!C160)</f>
        <v>Wednesday</v>
      </c>
      <c r="G525">
        <f>_xlfn.XLOOKUP(Sheet1[[#This Row],[day_id]],calendar!A160,calendar!E160)</f>
        <v>7</v>
      </c>
      <c r="H525">
        <f>_xlfn.XLOOKUP(Sheet1[[#This Row],[day_id]],calendar!A160,calendar!F160)</f>
        <v>2011</v>
      </c>
      <c r="I525" t="str">
        <f>_xlfn.XLOOKUP(Sheet1[[#This Row],[day_id]],calendar!A160,calendar!J160)</f>
        <v>No Event</v>
      </c>
      <c r="J525" t="str">
        <f>_xlfn.XLOOKUP(Sheet1[[#This Row],[day_id]],calendar!A160,calendar!K160)</f>
        <v>No Event Type</v>
      </c>
      <c r="K525">
        <f>_xlfn.XLOOKUP(Sheet1[[#This Row],[day_id]],calendar!A160,calendar!I160)</f>
        <v>1</v>
      </c>
    </row>
    <row r="526" spans="1:11" x14ac:dyDescent="0.2">
      <c r="A526" t="s">
        <v>370</v>
      </c>
      <c r="B526" t="s">
        <v>369</v>
      </c>
      <c r="C526" t="s">
        <v>161</v>
      </c>
      <c r="D526">
        <v>17</v>
      </c>
      <c r="E526" s="1">
        <f>_xlfn.XLOOKUP(Sheet1[[#This Row],[day_id]],calendar!A161,calendar!B161)</f>
        <v>40731</v>
      </c>
      <c r="F526" t="str">
        <f>_xlfn.XLOOKUP(Sheet1[[#This Row],[day_id]],calendar!A161,calendar!C161)</f>
        <v>Thursday</v>
      </c>
      <c r="G526">
        <f>_xlfn.XLOOKUP(Sheet1[[#This Row],[day_id]],calendar!A161,calendar!E161)</f>
        <v>7</v>
      </c>
      <c r="H526">
        <f>_xlfn.XLOOKUP(Sheet1[[#This Row],[day_id]],calendar!A161,calendar!F161)</f>
        <v>2011</v>
      </c>
      <c r="I526" t="str">
        <f>_xlfn.XLOOKUP(Sheet1[[#This Row],[day_id]],calendar!A161,calendar!J161)</f>
        <v>No Event</v>
      </c>
      <c r="J526" t="str">
        <f>_xlfn.XLOOKUP(Sheet1[[#This Row],[day_id]],calendar!A161,calendar!K161)</f>
        <v>No Event Type</v>
      </c>
      <c r="K526">
        <f>_xlfn.XLOOKUP(Sheet1[[#This Row],[day_id]],calendar!A161,calendar!I161)</f>
        <v>1</v>
      </c>
    </row>
    <row r="527" spans="1:11" x14ac:dyDescent="0.2">
      <c r="A527" t="s">
        <v>370</v>
      </c>
      <c r="B527" t="s">
        <v>369</v>
      </c>
      <c r="C527" t="s">
        <v>162</v>
      </c>
      <c r="D527">
        <v>10</v>
      </c>
      <c r="E527" s="1">
        <f>_xlfn.XLOOKUP(Sheet1[[#This Row],[day_id]],calendar!A162,calendar!B162)</f>
        <v>40732</v>
      </c>
      <c r="F527" t="str">
        <f>_xlfn.XLOOKUP(Sheet1[[#This Row],[day_id]],calendar!A162,calendar!C162)</f>
        <v>Friday</v>
      </c>
      <c r="G527">
        <f>_xlfn.XLOOKUP(Sheet1[[#This Row],[day_id]],calendar!A162,calendar!E162)</f>
        <v>7</v>
      </c>
      <c r="H527">
        <f>_xlfn.XLOOKUP(Sheet1[[#This Row],[day_id]],calendar!A162,calendar!F162)</f>
        <v>2011</v>
      </c>
      <c r="I527" t="str">
        <f>_xlfn.XLOOKUP(Sheet1[[#This Row],[day_id]],calendar!A162,calendar!J162)</f>
        <v>No Event</v>
      </c>
      <c r="J527" t="str">
        <f>_xlfn.XLOOKUP(Sheet1[[#This Row],[day_id]],calendar!A162,calendar!K162)</f>
        <v>No Event Type</v>
      </c>
      <c r="K527">
        <f>_xlfn.XLOOKUP(Sheet1[[#This Row],[day_id]],calendar!A162,calendar!I162)</f>
        <v>1</v>
      </c>
    </row>
    <row r="528" spans="1:11" x14ac:dyDescent="0.2">
      <c r="A528" t="s">
        <v>370</v>
      </c>
      <c r="B528" t="s">
        <v>369</v>
      </c>
      <c r="C528" t="s">
        <v>163</v>
      </c>
      <c r="D528">
        <v>25</v>
      </c>
      <c r="E528" s="1">
        <f>_xlfn.XLOOKUP(Sheet1[[#This Row],[day_id]],calendar!A163,calendar!B163)</f>
        <v>40733</v>
      </c>
      <c r="F528" t="str">
        <f>_xlfn.XLOOKUP(Sheet1[[#This Row],[day_id]],calendar!A163,calendar!C163)</f>
        <v>Saturday</v>
      </c>
      <c r="G528">
        <f>_xlfn.XLOOKUP(Sheet1[[#This Row],[day_id]],calendar!A163,calendar!E163)</f>
        <v>7</v>
      </c>
      <c r="H528">
        <f>_xlfn.XLOOKUP(Sheet1[[#This Row],[day_id]],calendar!A163,calendar!F163)</f>
        <v>2011</v>
      </c>
      <c r="I528" t="str">
        <f>_xlfn.XLOOKUP(Sheet1[[#This Row],[day_id]],calendar!A163,calendar!J163)</f>
        <v>No Event</v>
      </c>
      <c r="J528" t="str">
        <f>_xlfn.XLOOKUP(Sheet1[[#This Row],[day_id]],calendar!A163,calendar!K163)</f>
        <v>No Event Type</v>
      </c>
      <c r="K528">
        <f>_xlfn.XLOOKUP(Sheet1[[#This Row],[day_id]],calendar!A163,calendar!I163)</f>
        <v>1</v>
      </c>
    </row>
    <row r="529" spans="1:11" x14ac:dyDescent="0.2">
      <c r="A529" t="s">
        <v>370</v>
      </c>
      <c r="B529" t="s">
        <v>369</v>
      </c>
      <c r="C529" t="s">
        <v>164</v>
      </c>
      <c r="D529">
        <v>20</v>
      </c>
      <c r="E529" s="1">
        <f>_xlfn.XLOOKUP(Sheet1[[#This Row],[day_id]],calendar!A164,calendar!B164)</f>
        <v>40734</v>
      </c>
      <c r="F529" t="str">
        <f>_xlfn.XLOOKUP(Sheet1[[#This Row],[day_id]],calendar!A164,calendar!C164)</f>
        <v>Sunday</v>
      </c>
      <c r="G529">
        <f>_xlfn.XLOOKUP(Sheet1[[#This Row],[day_id]],calendar!A164,calendar!E164)</f>
        <v>7</v>
      </c>
      <c r="H529">
        <f>_xlfn.XLOOKUP(Sheet1[[#This Row],[day_id]],calendar!A164,calendar!F164)</f>
        <v>2011</v>
      </c>
      <c r="I529" t="str">
        <f>_xlfn.XLOOKUP(Sheet1[[#This Row],[day_id]],calendar!A164,calendar!J164)</f>
        <v>No Event</v>
      </c>
      <c r="J529" t="str">
        <f>_xlfn.XLOOKUP(Sheet1[[#This Row],[day_id]],calendar!A164,calendar!K164)</f>
        <v>No Event Type</v>
      </c>
      <c r="K529">
        <f>_xlfn.XLOOKUP(Sheet1[[#This Row],[day_id]],calendar!A164,calendar!I164)</f>
        <v>1</v>
      </c>
    </row>
    <row r="530" spans="1:11" x14ac:dyDescent="0.2">
      <c r="A530" t="s">
        <v>370</v>
      </c>
      <c r="B530" t="s">
        <v>369</v>
      </c>
      <c r="C530" t="s">
        <v>165</v>
      </c>
      <c r="D530">
        <v>7</v>
      </c>
      <c r="E530" s="1">
        <f>_xlfn.XLOOKUP(Sheet1[[#This Row],[day_id]],calendar!A165,calendar!B165)</f>
        <v>40735</v>
      </c>
      <c r="F530" t="str">
        <f>_xlfn.XLOOKUP(Sheet1[[#This Row],[day_id]],calendar!A165,calendar!C165)</f>
        <v>Monday</v>
      </c>
      <c r="G530">
        <f>_xlfn.XLOOKUP(Sheet1[[#This Row],[day_id]],calendar!A165,calendar!E165)</f>
        <v>7</v>
      </c>
      <c r="H530">
        <f>_xlfn.XLOOKUP(Sheet1[[#This Row],[day_id]],calendar!A165,calendar!F165)</f>
        <v>2011</v>
      </c>
      <c r="I530" t="str">
        <f>_xlfn.XLOOKUP(Sheet1[[#This Row],[day_id]],calendar!A165,calendar!J165)</f>
        <v>No Event</v>
      </c>
      <c r="J530" t="str">
        <f>_xlfn.XLOOKUP(Sheet1[[#This Row],[day_id]],calendar!A165,calendar!K165)</f>
        <v>No Event Type</v>
      </c>
      <c r="K530">
        <f>_xlfn.XLOOKUP(Sheet1[[#This Row],[day_id]],calendar!A165,calendar!I165)</f>
        <v>0</v>
      </c>
    </row>
    <row r="531" spans="1:11" x14ac:dyDescent="0.2">
      <c r="A531" t="s">
        <v>370</v>
      </c>
      <c r="B531" t="s">
        <v>369</v>
      </c>
      <c r="C531" t="s">
        <v>166</v>
      </c>
      <c r="D531">
        <v>9</v>
      </c>
      <c r="E531" s="1">
        <f>_xlfn.XLOOKUP(Sheet1[[#This Row],[day_id]],calendar!A166,calendar!B166)</f>
        <v>40736</v>
      </c>
      <c r="F531" t="str">
        <f>_xlfn.XLOOKUP(Sheet1[[#This Row],[day_id]],calendar!A166,calendar!C166)</f>
        <v>Tuesday</v>
      </c>
      <c r="G531">
        <f>_xlfn.XLOOKUP(Sheet1[[#This Row],[day_id]],calendar!A166,calendar!E166)</f>
        <v>7</v>
      </c>
      <c r="H531">
        <f>_xlfn.XLOOKUP(Sheet1[[#This Row],[day_id]],calendar!A166,calendar!F166)</f>
        <v>2011</v>
      </c>
      <c r="I531" t="str">
        <f>_xlfn.XLOOKUP(Sheet1[[#This Row],[day_id]],calendar!A166,calendar!J166)</f>
        <v>No Event</v>
      </c>
      <c r="J531" t="str">
        <f>_xlfn.XLOOKUP(Sheet1[[#This Row],[day_id]],calendar!A166,calendar!K166)</f>
        <v>No Event Type</v>
      </c>
      <c r="K531">
        <f>_xlfn.XLOOKUP(Sheet1[[#This Row],[day_id]],calendar!A166,calendar!I166)</f>
        <v>0</v>
      </c>
    </row>
    <row r="532" spans="1:11" x14ac:dyDescent="0.2">
      <c r="A532" t="s">
        <v>370</v>
      </c>
      <c r="B532" t="s">
        <v>369</v>
      </c>
      <c r="C532" t="s">
        <v>167</v>
      </c>
      <c r="D532">
        <v>12</v>
      </c>
      <c r="E532" s="1">
        <f>_xlfn.XLOOKUP(Sheet1[[#This Row],[day_id]],calendar!A167,calendar!B167)</f>
        <v>40737</v>
      </c>
      <c r="F532" t="str">
        <f>_xlfn.XLOOKUP(Sheet1[[#This Row],[day_id]],calendar!A167,calendar!C167)</f>
        <v>Wednesday</v>
      </c>
      <c r="G532">
        <f>_xlfn.XLOOKUP(Sheet1[[#This Row],[day_id]],calendar!A167,calendar!E167)</f>
        <v>7</v>
      </c>
      <c r="H532">
        <f>_xlfn.XLOOKUP(Sheet1[[#This Row],[day_id]],calendar!A167,calendar!F167)</f>
        <v>2011</v>
      </c>
      <c r="I532" t="str">
        <f>_xlfn.XLOOKUP(Sheet1[[#This Row],[day_id]],calendar!A167,calendar!J167)</f>
        <v>No Event</v>
      </c>
      <c r="J532" t="str">
        <f>_xlfn.XLOOKUP(Sheet1[[#This Row],[day_id]],calendar!A167,calendar!K167)</f>
        <v>No Event Type</v>
      </c>
      <c r="K532">
        <f>_xlfn.XLOOKUP(Sheet1[[#This Row],[day_id]],calendar!A167,calendar!I167)</f>
        <v>0</v>
      </c>
    </row>
    <row r="533" spans="1:11" x14ac:dyDescent="0.2">
      <c r="A533" t="s">
        <v>370</v>
      </c>
      <c r="B533" t="s">
        <v>369</v>
      </c>
      <c r="C533" t="s">
        <v>168</v>
      </c>
      <c r="D533">
        <v>21</v>
      </c>
      <c r="E533" s="1">
        <f>_xlfn.XLOOKUP(Sheet1[[#This Row],[day_id]],calendar!A168,calendar!B168)</f>
        <v>40738</v>
      </c>
      <c r="F533" t="str">
        <f>_xlfn.XLOOKUP(Sheet1[[#This Row],[day_id]],calendar!A168,calendar!C168)</f>
        <v>Thursday</v>
      </c>
      <c r="G533">
        <f>_xlfn.XLOOKUP(Sheet1[[#This Row],[day_id]],calendar!A168,calendar!E168)</f>
        <v>7</v>
      </c>
      <c r="H533">
        <f>_xlfn.XLOOKUP(Sheet1[[#This Row],[day_id]],calendar!A168,calendar!F168)</f>
        <v>2011</v>
      </c>
      <c r="I533" t="str">
        <f>_xlfn.XLOOKUP(Sheet1[[#This Row],[day_id]],calendar!A168,calendar!J168)</f>
        <v>No Event</v>
      </c>
      <c r="J533" t="str">
        <f>_xlfn.XLOOKUP(Sheet1[[#This Row],[day_id]],calendar!A168,calendar!K168)</f>
        <v>No Event Type</v>
      </c>
      <c r="K533">
        <f>_xlfn.XLOOKUP(Sheet1[[#This Row],[day_id]],calendar!A168,calendar!I168)</f>
        <v>0</v>
      </c>
    </row>
    <row r="534" spans="1:11" x14ac:dyDescent="0.2">
      <c r="A534" t="s">
        <v>370</v>
      </c>
      <c r="B534" t="s">
        <v>369</v>
      </c>
      <c r="C534" t="s">
        <v>169</v>
      </c>
      <c r="D534">
        <v>20</v>
      </c>
      <c r="E534" s="1">
        <f>_xlfn.XLOOKUP(Sheet1[[#This Row],[day_id]],calendar!A169,calendar!B169)</f>
        <v>40739</v>
      </c>
      <c r="F534" t="str">
        <f>_xlfn.XLOOKUP(Sheet1[[#This Row],[day_id]],calendar!A169,calendar!C169)</f>
        <v>Friday</v>
      </c>
      <c r="G534">
        <f>_xlfn.XLOOKUP(Sheet1[[#This Row],[day_id]],calendar!A169,calendar!E169)</f>
        <v>7</v>
      </c>
      <c r="H534">
        <f>_xlfn.XLOOKUP(Sheet1[[#This Row],[day_id]],calendar!A169,calendar!F169)</f>
        <v>2011</v>
      </c>
      <c r="I534" t="str">
        <f>_xlfn.XLOOKUP(Sheet1[[#This Row],[day_id]],calendar!A169,calendar!J169)</f>
        <v>No Event</v>
      </c>
      <c r="J534" t="str">
        <f>_xlfn.XLOOKUP(Sheet1[[#This Row],[day_id]],calendar!A169,calendar!K169)</f>
        <v>No Event Type</v>
      </c>
      <c r="K534">
        <f>_xlfn.XLOOKUP(Sheet1[[#This Row],[day_id]],calendar!A169,calendar!I169)</f>
        <v>0</v>
      </c>
    </row>
    <row r="535" spans="1:11" x14ac:dyDescent="0.2">
      <c r="A535" t="s">
        <v>370</v>
      </c>
      <c r="B535" t="s">
        <v>369</v>
      </c>
      <c r="C535" t="s">
        <v>170</v>
      </c>
      <c r="D535">
        <v>25</v>
      </c>
      <c r="E535" s="1">
        <f>_xlfn.XLOOKUP(Sheet1[[#This Row],[day_id]],calendar!A170,calendar!B170)</f>
        <v>40740</v>
      </c>
      <c r="F535" t="str">
        <f>_xlfn.XLOOKUP(Sheet1[[#This Row],[day_id]],calendar!A170,calendar!C170)</f>
        <v>Saturday</v>
      </c>
      <c r="G535">
        <f>_xlfn.XLOOKUP(Sheet1[[#This Row],[day_id]],calendar!A170,calendar!E170)</f>
        <v>7</v>
      </c>
      <c r="H535">
        <f>_xlfn.XLOOKUP(Sheet1[[#This Row],[day_id]],calendar!A170,calendar!F170)</f>
        <v>2011</v>
      </c>
      <c r="I535" t="str">
        <f>_xlfn.XLOOKUP(Sheet1[[#This Row],[day_id]],calendar!A170,calendar!J170)</f>
        <v>No Event</v>
      </c>
      <c r="J535" t="str">
        <f>_xlfn.XLOOKUP(Sheet1[[#This Row],[day_id]],calendar!A170,calendar!K170)</f>
        <v>No Event Type</v>
      </c>
      <c r="K535">
        <f>_xlfn.XLOOKUP(Sheet1[[#This Row],[day_id]],calendar!A170,calendar!I170)</f>
        <v>0</v>
      </c>
    </row>
    <row r="536" spans="1:11" x14ac:dyDescent="0.2">
      <c r="A536" t="s">
        <v>370</v>
      </c>
      <c r="B536" t="s">
        <v>369</v>
      </c>
      <c r="C536" t="s">
        <v>171</v>
      </c>
      <c r="D536">
        <v>14</v>
      </c>
      <c r="E536" s="1">
        <f>_xlfn.XLOOKUP(Sheet1[[#This Row],[day_id]],calendar!A171,calendar!B171)</f>
        <v>40741</v>
      </c>
      <c r="F536" t="str">
        <f>_xlfn.XLOOKUP(Sheet1[[#This Row],[day_id]],calendar!A171,calendar!C171)</f>
        <v>Sunday</v>
      </c>
      <c r="G536">
        <f>_xlfn.XLOOKUP(Sheet1[[#This Row],[day_id]],calendar!A171,calendar!E171)</f>
        <v>7</v>
      </c>
      <c r="H536">
        <f>_xlfn.XLOOKUP(Sheet1[[#This Row],[day_id]],calendar!A171,calendar!F171)</f>
        <v>2011</v>
      </c>
      <c r="I536" t="str">
        <f>_xlfn.XLOOKUP(Sheet1[[#This Row],[day_id]],calendar!A171,calendar!J171)</f>
        <v>No Event</v>
      </c>
      <c r="J536" t="str">
        <f>_xlfn.XLOOKUP(Sheet1[[#This Row],[day_id]],calendar!A171,calendar!K171)</f>
        <v>No Event Type</v>
      </c>
      <c r="K536">
        <f>_xlfn.XLOOKUP(Sheet1[[#This Row],[day_id]],calendar!A171,calendar!I171)</f>
        <v>0</v>
      </c>
    </row>
    <row r="537" spans="1:11" x14ac:dyDescent="0.2">
      <c r="A537" t="s">
        <v>370</v>
      </c>
      <c r="B537" t="s">
        <v>369</v>
      </c>
      <c r="C537" t="s">
        <v>172</v>
      </c>
      <c r="D537">
        <v>10</v>
      </c>
      <c r="E537" s="1">
        <f>_xlfn.XLOOKUP(Sheet1[[#This Row],[day_id]],calendar!A172,calendar!B172)</f>
        <v>40742</v>
      </c>
      <c r="F537" t="str">
        <f>_xlfn.XLOOKUP(Sheet1[[#This Row],[day_id]],calendar!A172,calendar!C172)</f>
        <v>Monday</v>
      </c>
      <c r="G537">
        <f>_xlfn.XLOOKUP(Sheet1[[#This Row],[day_id]],calendar!A172,calendar!E172)</f>
        <v>7</v>
      </c>
      <c r="H537">
        <f>_xlfn.XLOOKUP(Sheet1[[#This Row],[day_id]],calendar!A172,calendar!F172)</f>
        <v>2011</v>
      </c>
      <c r="I537" t="str">
        <f>_xlfn.XLOOKUP(Sheet1[[#This Row],[day_id]],calendar!A172,calendar!J172)</f>
        <v>No Event</v>
      </c>
      <c r="J537" t="str">
        <f>_xlfn.XLOOKUP(Sheet1[[#This Row],[day_id]],calendar!A172,calendar!K172)</f>
        <v>No Event Type</v>
      </c>
      <c r="K537">
        <f>_xlfn.XLOOKUP(Sheet1[[#This Row],[day_id]],calendar!A172,calendar!I172)</f>
        <v>0</v>
      </c>
    </row>
    <row r="538" spans="1:11" x14ac:dyDescent="0.2">
      <c r="A538" t="s">
        <v>370</v>
      </c>
      <c r="B538" t="s">
        <v>369</v>
      </c>
      <c r="C538" t="s">
        <v>173</v>
      </c>
      <c r="D538">
        <v>14</v>
      </c>
      <c r="E538" s="1">
        <f>_xlfn.XLOOKUP(Sheet1[[#This Row],[day_id]],calendar!A173,calendar!B173)</f>
        <v>40743</v>
      </c>
      <c r="F538" t="str">
        <f>_xlfn.XLOOKUP(Sheet1[[#This Row],[day_id]],calendar!A173,calendar!C173)</f>
        <v>Tuesday</v>
      </c>
      <c r="G538">
        <f>_xlfn.XLOOKUP(Sheet1[[#This Row],[day_id]],calendar!A173,calendar!E173)</f>
        <v>7</v>
      </c>
      <c r="H538">
        <f>_xlfn.XLOOKUP(Sheet1[[#This Row],[day_id]],calendar!A173,calendar!F173)</f>
        <v>2011</v>
      </c>
      <c r="I538" t="str">
        <f>_xlfn.XLOOKUP(Sheet1[[#This Row],[day_id]],calendar!A173,calendar!J173)</f>
        <v>No Event</v>
      </c>
      <c r="J538" t="str">
        <f>_xlfn.XLOOKUP(Sheet1[[#This Row],[day_id]],calendar!A173,calendar!K173)</f>
        <v>No Event Type</v>
      </c>
      <c r="K538">
        <f>_xlfn.XLOOKUP(Sheet1[[#This Row],[day_id]],calendar!A173,calendar!I173)</f>
        <v>0</v>
      </c>
    </row>
    <row r="539" spans="1:11" x14ac:dyDescent="0.2">
      <c r="A539" t="s">
        <v>370</v>
      </c>
      <c r="B539" t="s">
        <v>369</v>
      </c>
      <c r="C539" t="s">
        <v>174</v>
      </c>
      <c r="D539">
        <v>14</v>
      </c>
      <c r="E539" s="1">
        <f>_xlfn.XLOOKUP(Sheet1[[#This Row],[day_id]],calendar!A174,calendar!B174)</f>
        <v>40744</v>
      </c>
      <c r="F539" t="str">
        <f>_xlfn.XLOOKUP(Sheet1[[#This Row],[day_id]],calendar!A174,calendar!C174)</f>
        <v>Wednesday</v>
      </c>
      <c r="G539">
        <f>_xlfn.XLOOKUP(Sheet1[[#This Row],[day_id]],calendar!A174,calendar!E174)</f>
        <v>7</v>
      </c>
      <c r="H539">
        <f>_xlfn.XLOOKUP(Sheet1[[#This Row],[day_id]],calendar!A174,calendar!F174)</f>
        <v>2011</v>
      </c>
      <c r="I539" t="str">
        <f>_xlfn.XLOOKUP(Sheet1[[#This Row],[day_id]],calendar!A174,calendar!J174)</f>
        <v>No Event</v>
      </c>
      <c r="J539" t="str">
        <f>_xlfn.XLOOKUP(Sheet1[[#This Row],[day_id]],calendar!A174,calendar!K174)</f>
        <v>No Event Type</v>
      </c>
      <c r="K539">
        <f>_xlfn.XLOOKUP(Sheet1[[#This Row],[day_id]],calendar!A174,calendar!I174)</f>
        <v>0</v>
      </c>
    </row>
    <row r="540" spans="1:11" x14ac:dyDescent="0.2">
      <c r="A540" t="s">
        <v>370</v>
      </c>
      <c r="B540" t="s">
        <v>369</v>
      </c>
      <c r="C540" t="s">
        <v>175</v>
      </c>
      <c r="D540">
        <v>8</v>
      </c>
      <c r="E540" s="1">
        <f>_xlfn.XLOOKUP(Sheet1[[#This Row],[day_id]],calendar!A175,calendar!B175)</f>
        <v>40745</v>
      </c>
      <c r="F540" t="str">
        <f>_xlfn.XLOOKUP(Sheet1[[#This Row],[day_id]],calendar!A175,calendar!C175)</f>
        <v>Thursday</v>
      </c>
      <c r="G540">
        <f>_xlfn.XLOOKUP(Sheet1[[#This Row],[day_id]],calendar!A175,calendar!E175)</f>
        <v>7</v>
      </c>
      <c r="H540">
        <f>_xlfn.XLOOKUP(Sheet1[[#This Row],[day_id]],calendar!A175,calendar!F175)</f>
        <v>2011</v>
      </c>
      <c r="I540" t="str">
        <f>_xlfn.XLOOKUP(Sheet1[[#This Row],[day_id]],calendar!A175,calendar!J175)</f>
        <v>No Event</v>
      </c>
      <c r="J540" t="str">
        <f>_xlfn.XLOOKUP(Sheet1[[#This Row],[day_id]],calendar!A175,calendar!K175)</f>
        <v>No Event Type</v>
      </c>
      <c r="K540">
        <f>_xlfn.XLOOKUP(Sheet1[[#This Row],[day_id]],calendar!A175,calendar!I175)</f>
        <v>0</v>
      </c>
    </row>
    <row r="541" spans="1:11" x14ac:dyDescent="0.2">
      <c r="A541" t="s">
        <v>370</v>
      </c>
      <c r="B541" t="s">
        <v>369</v>
      </c>
      <c r="C541" t="s">
        <v>176</v>
      </c>
      <c r="D541">
        <v>15</v>
      </c>
      <c r="E541" s="1">
        <f>_xlfn.XLOOKUP(Sheet1[[#This Row],[day_id]],calendar!A176,calendar!B176)</f>
        <v>40746</v>
      </c>
      <c r="F541" t="str">
        <f>_xlfn.XLOOKUP(Sheet1[[#This Row],[day_id]],calendar!A176,calendar!C176)</f>
        <v>Friday</v>
      </c>
      <c r="G541">
        <f>_xlfn.XLOOKUP(Sheet1[[#This Row],[day_id]],calendar!A176,calendar!E176)</f>
        <v>7</v>
      </c>
      <c r="H541">
        <f>_xlfn.XLOOKUP(Sheet1[[#This Row],[day_id]],calendar!A176,calendar!F176)</f>
        <v>2011</v>
      </c>
      <c r="I541" t="str">
        <f>_xlfn.XLOOKUP(Sheet1[[#This Row],[day_id]],calendar!A176,calendar!J176)</f>
        <v>No Event</v>
      </c>
      <c r="J541" t="str">
        <f>_xlfn.XLOOKUP(Sheet1[[#This Row],[day_id]],calendar!A176,calendar!K176)</f>
        <v>No Event Type</v>
      </c>
      <c r="K541">
        <f>_xlfn.XLOOKUP(Sheet1[[#This Row],[day_id]],calendar!A176,calendar!I176)</f>
        <v>0</v>
      </c>
    </row>
    <row r="542" spans="1:11" x14ac:dyDescent="0.2">
      <c r="A542" t="s">
        <v>370</v>
      </c>
      <c r="B542" t="s">
        <v>369</v>
      </c>
      <c r="C542" t="s">
        <v>177</v>
      </c>
      <c r="D542">
        <v>27</v>
      </c>
      <c r="E542" s="1">
        <f>_xlfn.XLOOKUP(Sheet1[[#This Row],[day_id]],calendar!A177,calendar!B177)</f>
        <v>40747</v>
      </c>
      <c r="F542" t="str">
        <f>_xlfn.XLOOKUP(Sheet1[[#This Row],[day_id]],calendar!A177,calendar!C177)</f>
        <v>Saturday</v>
      </c>
      <c r="G542">
        <f>_xlfn.XLOOKUP(Sheet1[[#This Row],[day_id]],calendar!A177,calendar!E177)</f>
        <v>7</v>
      </c>
      <c r="H542">
        <f>_xlfn.XLOOKUP(Sheet1[[#This Row],[day_id]],calendar!A177,calendar!F177)</f>
        <v>2011</v>
      </c>
      <c r="I542" t="str">
        <f>_xlfn.XLOOKUP(Sheet1[[#This Row],[day_id]],calendar!A177,calendar!J177)</f>
        <v>No Event</v>
      </c>
      <c r="J542" t="str">
        <f>_xlfn.XLOOKUP(Sheet1[[#This Row],[day_id]],calendar!A177,calendar!K177)</f>
        <v>No Event Type</v>
      </c>
      <c r="K542">
        <f>_xlfn.XLOOKUP(Sheet1[[#This Row],[day_id]],calendar!A177,calendar!I177)</f>
        <v>0</v>
      </c>
    </row>
    <row r="543" spans="1:11" x14ac:dyDescent="0.2">
      <c r="A543" t="s">
        <v>370</v>
      </c>
      <c r="B543" t="s">
        <v>369</v>
      </c>
      <c r="C543" t="s">
        <v>178</v>
      </c>
      <c r="D543">
        <v>15</v>
      </c>
      <c r="E543" s="1">
        <f>_xlfn.XLOOKUP(Sheet1[[#This Row],[day_id]],calendar!A178,calendar!B178)</f>
        <v>40748</v>
      </c>
      <c r="F543" t="str">
        <f>_xlfn.XLOOKUP(Sheet1[[#This Row],[day_id]],calendar!A178,calendar!C178)</f>
        <v>Sunday</v>
      </c>
      <c r="G543">
        <f>_xlfn.XLOOKUP(Sheet1[[#This Row],[day_id]],calendar!A178,calendar!E178)</f>
        <v>7</v>
      </c>
      <c r="H543">
        <f>_xlfn.XLOOKUP(Sheet1[[#This Row],[day_id]],calendar!A178,calendar!F178)</f>
        <v>2011</v>
      </c>
      <c r="I543" t="str">
        <f>_xlfn.XLOOKUP(Sheet1[[#This Row],[day_id]],calendar!A178,calendar!J178)</f>
        <v>No Event</v>
      </c>
      <c r="J543" t="str">
        <f>_xlfn.XLOOKUP(Sheet1[[#This Row],[day_id]],calendar!A178,calendar!K178)</f>
        <v>No Event Type</v>
      </c>
      <c r="K543">
        <f>_xlfn.XLOOKUP(Sheet1[[#This Row],[day_id]],calendar!A178,calendar!I178)</f>
        <v>0</v>
      </c>
    </row>
    <row r="544" spans="1:11" x14ac:dyDescent="0.2">
      <c r="A544" t="s">
        <v>370</v>
      </c>
      <c r="B544" t="s">
        <v>369</v>
      </c>
      <c r="C544" t="s">
        <v>179</v>
      </c>
      <c r="D544">
        <v>17</v>
      </c>
      <c r="E544" s="1">
        <f>_xlfn.XLOOKUP(Sheet1[[#This Row],[day_id]],calendar!A179,calendar!B179)</f>
        <v>40749</v>
      </c>
      <c r="F544" t="str">
        <f>_xlfn.XLOOKUP(Sheet1[[#This Row],[day_id]],calendar!A179,calendar!C179)</f>
        <v>Monday</v>
      </c>
      <c r="G544">
        <f>_xlfn.XLOOKUP(Sheet1[[#This Row],[day_id]],calendar!A179,calendar!E179)</f>
        <v>7</v>
      </c>
      <c r="H544">
        <f>_xlfn.XLOOKUP(Sheet1[[#This Row],[day_id]],calendar!A179,calendar!F179)</f>
        <v>2011</v>
      </c>
      <c r="I544" t="str">
        <f>_xlfn.XLOOKUP(Sheet1[[#This Row],[day_id]],calendar!A179,calendar!J179)</f>
        <v>No Event</v>
      </c>
      <c r="J544" t="str">
        <f>_xlfn.XLOOKUP(Sheet1[[#This Row],[day_id]],calendar!A179,calendar!K179)</f>
        <v>No Event Type</v>
      </c>
      <c r="K544">
        <f>_xlfn.XLOOKUP(Sheet1[[#This Row],[day_id]],calendar!A179,calendar!I179)</f>
        <v>0</v>
      </c>
    </row>
    <row r="545" spans="1:11" x14ac:dyDescent="0.2">
      <c r="A545" t="s">
        <v>370</v>
      </c>
      <c r="B545" t="s">
        <v>369</v>
      </c>
      <c r="C545" t="s">
        <v>180</v>
      </c>
      <c r="D545">
        <v>17</v>
      </c>
      <c r="E545" s="1">
        <f>_xlfn.XLOOKUP(Sheet1[[#This Row],[day_id]],calendar!A180,calendar!B180)</f>
        <v>40750</v>
      </c>
      <c r="F545" t="str">
        <f>_xlfn.XLOOKUP(Sheet1[[#This Row],[day_id]],calendar!A180,calendar!C180)</f>
        <v>Tuesday</v>
      </c>
      <c r="G545">
        <f>_xlfn.XLOOKUP(Sheet1[[#This Row],[day_id]],calendar!A180,calendar!E180)</f>
        <v>7</v>
      </c>
      <c r="H545">
        <f>_xlfn.XLOOKUP(Sheet1[[#This Row],[day_id]],calendar!A180,calendar!F180)</f>
        <v>2011</v>
      </c>
      <c r="I545" t="str">
        <f>_xlfn.XLOOKUP(Sheet1[[#This Row],[day_id]],calendar!A180,calendar!J180)</f>
        <v>No Event</v>
      </c>
      <c r="J545" t="str">
        <f>_xlfn.XLOOKUP(Sheet1[[#This Row],[day_id]],calendar!A180,calendar!K180)</f>
        <v>No Event Type</v>
      </c>
      <c r="K545">
        <f>_xlfn.XLOOKUP(Sheet1[[#This Row],[day_id]],calendar!A180,calendar!I180)</f>
        <v>0</v>
      </c>
    </row>
    <row r="546" spans="1:11" x14ac:dyDescent="0.2">
      <c r="A546" t="s">
        <v>370</v>
      </c>
      <c r="B546" t="s">
        <v>369</v>
      </c>
      <c r="C546" t="s">
        <v>181</v>
      </c>
      <c r="D546">
        <v>16</v>
      </c>
      <c r="E546" s="1">
        <f>_xlfn.XLOOKUP(Sheet1[[#This Row],[day_id]],calendar!A181,calendar!B181)</f>
        <v>40751</v>
      </c>
      <c r="F546" t="str">
        <f>_xlfn.XLOOKUP(Sheet1[[#This Row],[day_id]],calendar!A181,calendar!C181)</f>
        <v>Wednesday</v>
      </c>
      <c r="G546">
        <f>_xlfn.XLOOKUP(Sheet1[[#This Row],[day_id]],calendar!A181,calendar!E181)</f>
        <v>7</v>
      </c>
      <c r="H546">
        <f>_xlfn.XLOOKUP(Sheet1[[#This Row],[day_id]],calendar!A181,calendar!F181)</f>
        <v>2011</v>
      </c>
      <c r="I546" t="str">
        <f>_xlfn.XLOOKUP(Sheet1[[#This Row],[day_id]],calendar!A181,calendar!J181)</f>
        <v>No Event</v>
      </c>
      <c r="J546" t="str">
        <f>_xlfn.XLOOKUP(Sheet1[[#This Row],[day_id]],calendar!A181,calendar!K181)</f>
        <v>No Event Type</v>
      </c>
      <c r="K546">
        <f>_xlfn.XLOOKUP(Sheet1[[#This Row],[day_id]],calendar!A181,calendar!I181)</f>
        <v>0</v>
      </c>
    </row>
    <row r="547" spans="1:11" x14ac:dyDescent="0.2">
      <c r="A547" t="s">
        <v>370</v>
      </c>
      <c r="B547" t="s">
        <v>369</v>
      </c>
      <c r="C547" t="s">
        <v>182</v>
      </c>
      <c r="D547">
        <v>11</v>
      </c>
      <c r="E547" s="1">
        <f>_xlfn.XLOOKUP(Sheet1[[#This Row],[day_id]],calendar!A182,calendar!B182)</f>
        <v>40752</v>
      </c>
      <c r="F547" t="str">
        <f>_xlfn.XLOOKUP(Sheet1[[#This Row],[day_id]],calendar!A182,calendar!C182)</f>
        <v>Thursday</v>
      </c>
      <c r="G547">
        <f>_xlfn.XLOOKUP(Sheet1[[#This Row],[day_id]],calendar!A182,calendar!E182)</f>
        <v>7</v>
      </c>
      <c r="H547">
        <f>_xlfn.XLOOKUP(Sheet1[[#This Row],[day_id]],calendar!A182,calendar!F182)</f>
        <v>2011</v>
      </c>
      <c r="I547" t="str">
        <f>_xlfn.XLOOKUP(Sheet1[[#This Row],[day_id]],calendar!A182,calendar!J182)</f>
        <v>No Event</v>
      </c>
      <c r="J547" t="str">
        <f>_xlfn.XLOOKUP(Sheet1[[#This Row],[day_id]],calendar!A182,calendar!K182)</f>
        <v>No Event Type</v>
      </c>
      <c r="K547">
        <f>_xlfn.XLOOKUP(Sheet1[[#This Row],[day_id]],calendar!A182,calendar!I182)</f>
        <v>0</v>
      </c>
    </row>
    <row r="548" spans="1:11" x14ac:dyDescent="0.2">
      <c r="A548" t="s">
        <v>370</v>
      </c>
      <c r="B548" t="s">
        <v>369</v>
      </c>
      <c r="C548" t="s">
        <v>183</v>
      </c>
      <c r="D548">
        <v>12</v>
      </c>
      <c r="E548" s="1">
        <f>_xlfn.XLOOKUP(Sheet1[[#This Row],[day_id]],calendar!A183,calendar!B183)</f>
        <v>40753</v>
      </c>
      <c r="F548" t="str">
        <f>_xlfn.XLOOKUP(Sheet1[[#This Row],[day_id]],calendar!A183,calendar!C183)</f>
        <v>Friday</v>
      </c>
      <c r="G548">
        <f>_xlfn.XLOOKUP(Sheet1[[#This Row],[day_id]],calendar!A183,calendar!E183)</f>
        <v>7</v>
      </c>
      <c r="H548">
        <f>_xlfn.XLOOKUP(Sheet1[[#This Row],[day_id]],calendar!A183,calendar!F183)</f>
        <v>2011</v>
      </c>
      <c r="I548" t="str">
        <f>_xlfn.XLOOKUP(Sheet1[[#This Row],[day_id]],calendar!A183,calendar!J183)</f>
        <v>No Event</v>
      </c>
      <c r="J548" t="str">
        <f>_xlfn.XLOOKUP(Sheet1[[#This Row],[day_id]],calendar!A183,calendar!K183)</f>
        <v>No Event Type</v>
      </c>
      <c r="K548">
        <f>_xlfn.XLOOKUP(Sheet1[[#This Row],[day_id]],calendar!A183,calendar!I183)</f>
        <v>0</v>
      </c>
    </row>
    <row r="549" spans="1:11" x14ac:dyDescent="0.2">
      <c r="A549" t="s">
        <v>370</v>
      </c>
      <c r="B549" t="s">
        <v>369</v>
      </c>
      <c r="C549" t="s">
        <v>184</v>
      </c>
      <c r="D549">
        <v>20</v>
      </c>
      <c r="E549" s="1">
        <f>_xlfn.XLOOKUP(Sheet1[[#This Row],[day_id]],calendar!A184,calendar!B184)</f>
        <v>40754</v>
      </c>
      <c r="F549" t="str">
        <f>_xlfn.XLOOKUP(Sheet1[[#This Row],[day_id]],calendar!A184,calendar!C184)</f>
        <v>Saturday</v>
      </c>
      <c r="G549">
        <f>_xlfn.XLOOKUP(Sheet1[[#This Row],[day_id]],calendar!A184,calendar!E184)</f>
        <v>7</v>
      </c>
      <c r="H549">
        <f>_xlfn.XLOOKUP(Sheet1[[#This Row],[day_id]],calendar!A184,calendar!F184)</f>
        <v>2011</v>
      </c>
      <c r="I549" t="str">
        <f>_xlfn.XLOOKUP(Sheet1[[#This Row],[day_id]],calendar!A184,calendar!J184)</f>
        <v>No Event</v>
      </c>
      <c r="J549" t="str">
        <f>_xlfn.XLOOKUP(Sheet1[[#This Row],[day_id]],calendar!A184,calendar!K184)</f>
        <v>No Event Type</v>
      </c>
      <c r="K549">
        <f>_xlfn.XLOOKUP(Sheet1[[#This Row],[day_id]],calendar!A184,calendar!I184)</f>
        <v>0</v>
      </c>
    </row>
    <row r="550" spans="1:11" x14ac:dyDescent="0.2">
      <c r="A550" t="s">
        <v>370</v>
      </c>
      <c r="B550" t="s">
        <v>369</v>
      </c>
      <c r="C550" t="s">
        <v>185</v>
      </c>
      <c r="D550">
        <v>0</v>
      </c>
      <c r="E550" s="1">
        <f>_xlfn.XLOOKUP(Sheet1[[#This Row],[day_id]],calendar!A185,calendar!B185)</f>
        <v>40755</v>
      </c>
      <c r="F550" t="str">
        <f>_xlfn.XLOOKUP(Sheet1[[#This Row],[day_id]],calendar!A185,calendar!C185)</f>
        <v>Sunday</v>
      </c>
      <c r="G550">
        <f>_xlfn.XLOOKUP(Sheet1[[#This Row],[day_id]],calendar!A185,calendar!E185)</f>
        <v>7</v>
      </c>
      <c r="H550">
        <f>_xlfn.XLOOKUP(Sheet1[[#This Row],[day_id]],calendar!A185,calendar!F185)</f>
        <v>2011</v>
      </c>
      <c r="I550" t="str">
        <f>_xlfn.XLOOKUP(Sheet1[[#This Row],[day_id]],calendar!A185,calendar!J185)</f>
        <v>No Event</v>
      </c>
      <c r="J550" t="str">
        <f>_xlfn.XLOOKUP(Sheet1[[#This Row],[day_id]],calendar!A185,calendar!K185)</f>
        <v>No Event Type</v>
      </c>
      <c r="K550">
        <f>_xlfn.XLOOKUP(Sheet1[[#This Row],[day_id]],calendar!A185,calendar!I185)</f>
        <v>0</v>
      </c>
    </row>
    <row r="551" spans="1:11" x14ac:dyDescent="0.2">
      <c r="A551" t="s">
        <v>370</v>
      </c>
      <c r="B551" t="s">
        <v>369</v>
      </c>
      <c r="C551" t="s">
        <v>186</v>
      </c>
      <c r="D551">
        <v>0</v>
      </c>
      <c r="E551" s="1">
        <f>_xlfn.XLOOKUP(Sheet1[[#This Row],[day_id]],calendar!A186,calendar!B186)</f>
        <v>40756</v>
      </c>
      <c r="F551" t="str">
        <f>_xlfn.XLOOKUP(Sheet1[[#This Row],[day_id]],calendar!A186,calendar!C186)</f>
        <v>Monday</v>
      </c>
      <c r="G551">
        <f>_xlfn.XLOOKUP(Sheet1[[#This Row],[day_id]],calendar!A186,calendar!E186)</f>
        <v>8</v>
      </c>
      <c r="H551">
        <f>_xlfn.XLOOKUP(Sheet1[[#This Row],[day_id]],calendar!A186,calendar!F186)</f>
        <v>2011</v>
      </c>
      <c r="I551" t="str">
        <f>_xlfn.XLOOKUP(Sheet1[[#This Row],[day_id]],calendar!A186,calendar!J186)</f>
        <v>Ramadan starts</v>
      </c>
      <c r="J551" t="str">
        <f>_xlfn.XLOOKUP(Sheet1[[#This Row],[day_id]],calendar!A186,calendar!K186)</f>
        <v>Religious</v>
      </c>
      <c r="K551">
        <f>_xlfn.XLOOKUP(Sheet1[[#This Row],[day_id]],calendar!A186,calendar!I186)</f>
        <v>1</v>
      </c>
    </row>
    <row r="552" spans="1:11" x14ac:dyDescent="0.2">
      <c r="A552" t="s">
        <v>370</v>
      </c>
      <c r="B552" t="s">
        <v>369</v>
      </c>
      <c r="C552" t="s">
        <v>187</v>
      </c>
      <c r="D552">
        <v>0</v>
      </c>
      <c r="E552" s="1">
        <f>_xlfn.XLOOKUP(Sheet1[[#This Row],[day_id]],calendar!A187,calendar!B187)</f>
        <v>40757</v>
      </c>
      <c r="F552" t="str">
        <f>_xlfn.XLOOKUP(Sheet1[[#This Row],[day_id]],calendar!A187,calendar!C187)</f>
        <v>Tuesday</v>
      </c>
      <c r="G552">
        <f>_xlfn.XLOOKUP(Sheet1[[#This Row],[day_id]],calendar!A187,calendar!E187)</f>
        <v>8</v>
      </c>
      <c r="H552">
        <f>_xlfn.XLOOKUP(Sheet1[[#This Row],[day_id]],calendar!A187,calendar!F187)</f>
        <v>2011</v>
      </c>
      <c r="I552" t="str">
        <f>_xlfn.XLOOKUP(Sheet1[[#This Row],[day_id]],calendar!A187,calendar!J187)</f>
        <v>No Event</v>
      </c>
      <c r="J552" t="str">
        <f>_xlfn.XLOOKUP(Sheet1[[#This Row],[day_id]],calendar!A187,calendar!K187)</f>
        <v>No Event Type</v>
      </c>
      <c r="K552">
        <f>_xlfn.XLOOKUP(Sheet1[[#This Row],[day_id]],calendar!A187,calendar!I187)</f>
        <v>1</v>
      </c>
    </row>
    <row r="553" spans="1:11" x14ac:dyDescent="0.2">
      <c r="A553" t="s">
        <v>370</v>
      </c>
      <c r="B553" t="s">
        <v>369</v>
      </c>
      <c r="C553" t="s">
        <v>188</v>
      </c>
      <c r="D553">
        <v>0</v>
      </c>
      <c r="E553" s="1">
        <f>_xlfn.XLOOKUP(Sheet1[[#This Row],[day_id]],calendar!A188,calendar!B188)</f>
        <v>40758</v>
      </c>
      <c r="F553" t="str">
        <f>_xlfn.XLOOKUP(Sheet1[[#This Row],[day_id]],calendar!A188,calendar!C188)</f>
        <v>Wednesday</v>
      </c>
      <c r="G553">
        <f>_xlfn.XLOOKUP(Sheet1[[#This Row],[day_id]],calendar!A188,calendar!E188)</f>
        <v>8</v>
      </c>
      <c r="H553">
        <f>_xlfn.XLOOKUP(Sheet1[[#This Row],[day_id]],calendar!A188,calendar!F188)</f>
        <v>2011</v>
      </c>
      <c r="I553" t="str">
        <f>_xlfn.XLOOKUP(Sheet1[[#This Row],[day_id]],calendar!A188,calendar!J188)</f>
        <v>No Event</v>
      </c>
      <c r="J553" t="str">
        <f>_xlfn.XLOOKUP(Sheet1[[#This Row],[day_id]],calendar!A188,calendar!K188)</f>
        <v>No Event Type</v>
      </c>
      <c r="K553">
        <f>_xlfn.XLOOKUP(Sheet1[[#This Row],[day_id]],calendar!A188,calendar!I188)</f>
        <v>1</v>
      </c>
    </row>
    <row r="554" spans="1:11" x14ac:dyDescent="0.2">
      <c r="A554" t="s">
        <v>370</v>
      </c>
      <c r="B554" t="s">
        <v>369</v>
      </c>
      <c r="C554" t="s">
        <v>189</v>
      </c>
      <c r="D554">
        <v>0</v>
      </c>
      <c r="E554" s="1">
        <f>_xlfn.XLOOKUP(Sheet1[[#This Row],[day_id]],calendar!A189,calendar!B189)</f>
        <v>40759</v>
      </c>
      <c r="F554" t="str">
        <f>_xlfn.XLOOKUP(Sheet1[[#This Row],[day_id]],calendar!A189,calendar!C189)</f>
        <v>Thursday</v>
      </c>
      <c r="G554">
        <f>_xlfn.XLOOKUP(Sheet1[[#This Row],[day_id]],calendar!A189,calendar!E189)</f>
        <v>8</v>
      </c>
      <c r="H554">
        <f>_xlfn.XLOOKUP(Sheet1[[#This Row],[day_id]],calendar!A189,calendar!F189)</f>
        <v>2011</v>
      </c>
      <c r="I554" t="str">
        <f>_xlfn.XLOOKUP(Sheet1[[#This Row],[day_id]],calendar!A189,calendar!J189)</f>
        <v>No Event</v>
      </c>
      <c r="J554" t="str">
        <f>_xlfn.XLOOKUP(Sheet1[[#This Row],[day_id]],calendar!A189,calendar!K189)</f>
        <v>No Event Type</v>
      </c>
      <c r="K554">
        <f>_xlfn.XLOOKUP(Sheet1[[#This Row],[day_id]],calendar!A189,calendar!I189)</f>
        <v>1</v>
      </c>
    </row>
    <row r="555" spans="1:11" x14ac:dyDescent="0.2">
      <c r="A555" t="s">
        <v>370</v>
      </c>
      <c r="B555" t="s">
        <v>369</v>
      </c>
      <c r="C555" t="s">
        <v>190</v>
      </c>
      <c r="D555">
        <v>0</v>
      </c>
      <c r="E555" s="1">
        <f>_xlfn.XLOOKUP(Sheet1[[#This Row],[day_id]],calendar!A190,calendar!B190)</f>
        <v>40760</v>
      </c>
      <c r="F555" t="str">
        <f>_xlfn.XLOOKUP(Sheet1[[#This Row],[day_id]],calendar!A190,calendar!C190)</f>
        <v>Friday</v>
      </c>
      <c r="G555">
        <f>_xlfn.XLOOKUP(Sheet1[[#This Row],[day_id]],calendar!A190,calendar!E190)</f>
        <v>8</v>
      </c>
      <c r="H555">
        <f>_xlfn.XLOOKUP(Sheet1[[#This Row],[day_id]],calendar!A190,calendar!F190)</f>
        <v>2011</v>
      </c>
      <c r="I555" t="str">
        <f>_xlfn.XLOOKUP(Sheet1[[#This Row],[day_id]],calendar!A190,calendar!J190)</f>
        <v>No Event</v>
      </c>
      <c r="J555" t="str">
        <f>_xlfn.XLOOKUP(Sheet1[[#This Row],[day_id]],calendar!A190,calendar!K190)</f>
        <v>No Event Type</v>
      </c>
      <c r="K555">
        <f>_xlfn.XLOOKUP(Sheet1[[#This Row],[day_id]],calendar!A190,calendar!I190)</f>
        <v>1</v>
      </c>
    </row>
    <row r="556" spans="1:11" x14ac:dyDescent="0.2">
      <c r="A556" t="s">
        <v>370</v>
      </c>
      <c r="B556" t="s">
        <v>369</v>
      </c>
      <c r="C556" t="s">
        <v>191</v>
      </c>
      <c r="D556">
        <v>0</v>
      </c>
      <c r="E556" s="1">
        <f>_xlfn.XLOOKUP(Sheet1[[#This Row],[day_id]],calendar!A191,calendar!B191)</f>
        <v>40761</v>
      </c>
      <c r="F556" t="str">
        <f>_xlfn.XLOOKUP(Sheet1[[#This Row],[day_id]],calendar!A191,calendar!C191)</f>
        <v>Saturday</v>
      </c>
      <c r="G556">
        <f>_xlfn.XLOOKUP(Sheet1[[#This Row],[day_id]],calendar!A191,calendar!E191)</f>
        <v>8</v>
      </c>
      <c r="H556">
        <f>_xlfn.XLOOKUP(Sheet1[[#This Row],[day_id]],calendar!A191,calendar!F191)</f>
        <v>2011</v>
      </c>
      <c r="I556" t="str">
        <f>_xlfn.XLOOKUP(Sheet1[[#This Row],[day_id]],calendar!A191,calendar!J191)</f>
        <v>No Event</v>
      </c>
      <c r="J556" t="str">
        <f>_xlfn.XLOOKUP(Sheet1[[#This Row],[day_id]],calendar!A191,calendar!K191)</f>
        <v>No Event Type</v>
      </c>
      <c r="K556">
        <f>_xlfn.XLOOKUP(Sheet1[[#This Row],[day_id]],calendar!A191,calendar!I191)</f>
        <v>1</v>
      </c>
    </row>
    <row r="557" spans="1:11" x14ac:dyDescent="0.2">
      <c r="A557" t="s">
        <v>370</v>
      </c>
      <c r="B557" t="s">
        <v>369</v>
      </c>
      <c r="C557" t="s">
        <v>192</v>
      </c>
      <c r="D557">
        <v>25</v>
      </c>
      <c r="E557" s="1">
        <f>_xlfn.XLOOKUP(Sheet1[[#This Row],[day_id]],calendar!A192,calendar!B192)</f>
        <v>40762</v>
      </c>
      <c r="F557" t="str">
        <f>_xlfn.XLOOKUP(Sheet1[[#This Row],[day_id]],calendar!A192,calendar!C192)</f>
        <v>Sunday</v>
      </c>
      <c r="G557">
        <f>_xlfn.XLOOKUP(Sheet1[[#This Row],[day_id]],calendar!A192,calendar!E192)</f>
        <v>8</v>
      </c>
      <c r="H557">
        <f>_xlfn.XLOOKUP(Sheet1[[#This Row],[day_id]],calendar!A192,calendar!F192)</f>
        <v>2011</v>
      </c>
      <c r="I557" t="str">
        <f>_xlfn.XLOOKUP(Sheet1[[#This Row],[day_id]],calendar!A192,calendar!J192)</f>
        <v>No Event</v>
      </c>
      <c r="J557" t="str">
        <f>_xlfn.XLOOKUP(Sheet1[[#This Row],[day_id]],calendar!A192,calendar!K192)</f>
        <v>No Event Type</v>
      </c>
      <c r="K557">
        <f>_xlfn.XLOOKUP(Sheet1[[#This Row],[day_id]],calendar!A192,calendar!I192)</f>
        <v>1</v>
      </c>
    </row>
    <row r="558" spans="1:11" x14ac:dyDescent="0.2">
      <c r="A558" t="s">
        <v>370</v>
      </c>
      <c r="B558" t="s">
        <v>369</v>
      </c>
      <c r="C558" t="s">
        <v>193</v>
      </c>
      <c r="D558">
        <v>12</v>
      </c>
      <c r="E558" s="1">
        <f>_xlfn.XLOOKUP(Sheet1[[#This Row],[day_id]],calendar!A193,calendar!B193)</f>
        <v>40763</v>
      </c>
      <c r="F558" t="str">
        <f>_xlfn.XLOOKUP(Sheet1[[#This Row],[day_id]],calendar!A193,calendar!C193)</f>
        <v>Monday</v>
      </c>
      <c r="G558">
        <f>_xlfn.XLOOKUP(Sheet1[[#This Row],[day_id]],calendar!A193,calendar!E193)</f>
        <v>8</v>
      </c>
      <c r="H558">
        <f>_xlfn.XLOOKUP(Sheet1[[#This Row],[day_id]],calendar!A193,calendar!F193)</f>
        <v>2011</v>
      </c>
      <c r="I558" t="str">
        <f>_xlfn.XLOOKUP(Sheet1[[#This Row],[day_id]],calendar!A193,calendar!J193)</f>
        <v>No Event</v>
      </c>
      <c r="J558" t="str">
        <f>_xlfn.XLOOKUP(Sheet1[[#This Row],[day_id]],calendar!A193,calendar!K193)</f>
        <v>No Event Type</v>
      </c>
      <c r="K558">
        <f>_xlfn.XLOOKUP(Sheet1[[#This Row],[day_id]],calendar!A193,calendar!I193)</f>
        <v>1</v>
      </c>
    </row>
    <row r="559" spans="1:11" x14ac:dyDescent="0.2">
      <c r="A559" t="s">
        <v>370</v>
      </c>
      <c r="B559" t="s">
        <v>369</v>
      </c>
      <c r="C559" t="s">
        <v>194</v>
      </c>
      <c r="D559">
        <v>9</v>
      </c>
      <c r="E559" s="1">
        <f>_xlfn.XLOOKUP(Sheet1[[#This Row],[day_id]],calendar!A194,calendar!B194)</f>
        <v>40764</v>
      </c>
      <c r="F559" t="str">
        <f>_xlfn.XLOOKUP(Sheet1[[#This Row],[day_id]],calendar!A194,calendar!C194)</f>
        <v>Tuesday</v>
      </c>
      <c r="G559">
        <f>_xlfn.XLOOKUP(Sheet1[[#This Row],[day_id]],calendar!A194,calendar!E194)</f>
        <v>8</v>
      </c>
      <c r="H559">
        <f>_xlfn.XLOOKUP(Sheet1[[#This Row],[day_id]],calendar!A194,calendar!F194)</f>
        <v>2011</v>
      </c>
      <c r="I559" t="str">
        <f>_xlfn.XLOOKUP(Sheet1[[#This Row],[day_id]],calendar!A194,calendar!J194)</f>
        <v>No Event</v>
      </c>
      <c r="J559" t="str">
        <f>_xlfn.XLOOKUP(Sheet1[[#This Row],[day_id]],calendar!A194,calendar!K194)</f>
        <v>No Event Type</v>
      </c>
      <c r="K559">
        <f>_xlfn.XLOOKUP(Sheet1[[#This Row],[day_id]],calendar!A194,calendar!I194)</f>
        <v>1</v>
      </c>
    </row>
    <row r="560" spans="1:11" x14ac:dyDescent="0.2">
      <c r="A560" t="s">
        <v>370</v>
      </c>
      <c r="B560" t="s">
        <v>369</v>
      </c>
      <c r="C560" t="s">
        <v>195</v>
      </c>
      <c r="D560">
        <v>13</v>
      </c>
      <c r="E560" s="1">
        <f>_xlfn.XLOOKUP(Sheet1[[#This Row],[day_id]],calendar!A195,calendar!B195)</f>
        <v>40765</v>
      </c>
      <c r="F560" t="str">
        <f>_xlfn.XLOOKUP(Sheet1[[#This Row],[day_id]],calendar!A195,calendar!C195)</f>
        <v>Wednesday</v>
      </c>
      <c r="G560">
        <f>_xlfn.XLOOKUP(Sheet1[[#This Row],[day_id]],calendar!A195,calendar!E195)</f>
        <v>8</v>
      </c>
      <c r="H560">
        <f>_xlfn.XLOOKUP(Sheet1[[#This Row],[day_id]],calendar!A195,calendar!F195)</f>
        <v>2011</v>
      </c>
      <c r="I560" t="str">
        <f>_xlfn.XLOOKUP(Sheet1[[#This Row],[day_id]],calendar!A195,calendar!J195)</f>
        <v>No Event</v>
      </c>
      <c r="J560" t="str">
        <f>_xlfn.XLOOKUP(Sheet1[[#This Row],[day_id]],calendar!A195,calendar!K195)</f>
        <v>No Event Type</v>
      </c>
      <c r="K560">
        <f>_xlfn.XLOOKUP(Sheet1[[#This Row],[day_id]],calendar!A195,calendar!I195)</f>
        <v>1</v>
      </c>
    </row>
    <row r="561" spans="1:11" x14ac:dyDescent="0.2">
      <c r="A561" t="s">
        <v>370</v>
      </c>
      <c r="B561" t="s">
        <v>369</v>
      </c>
      <c r="C561" t="s">
        <v>196</v>
      </c>
      <c r="D561">
        <v>20</v>
      </c>
      <c r="E561" s="1">
        <f>_xlfn.XLOOKUP(Sheet1[[#This Row],[day_id]],calendar!A196,calendar!B196)</f>
        <v>40766</v>
      </c>
      <c r="F561" t="str">
        <f>_xlfn.XLOOKUP(Sheet1[[#This Row],[day_id]],calendar!A196,calendar!C196)</f>
        <v>Thursday</v>
      </c>
      <c r="G561">
        <f>_xlfn.XLOOKUP(Sheet1[[#This Row],[day_id]],calendar!A196,calendar!E196)</f>
        <v>8</v>
      </c>
      <c r="H561">
        <f>_xlfn.XLOOKUP(Sheet1[[#This Row],[day_id]],calendar!A196,calendar!F196)</f>
        <v>2011</v>
      </c>
      <c r="I561" t="str">
        <f>_xlfn.XLOOKUP(Sheet1[[#This Row],[day_id]],calendar!A196,calendar!J196)</f>
        <v>No Event</v>
      </c>
      <c r="J561" t="str">
        <f>_xlfn.XLOOKUP(Sheet1[[#This Row],[day_id]],calendar!A196,calendar!K196)</f>
        <v>No Event Type</v>
      </c>
      <c r="K561">
        <f>_xlfn.XLOOKUP(Sheet1[[#This Row],[day_id]],calendar!A196,calendar!I196)</f>
        <v>0</v>
      </c>
    </row>
    <row r="562" spans="1:11" x14ac:dyDescent="0.2">
      <c r="A562" t="s">
        <v>370</v>
      </c>
      <c r="B562" t="s">
        <v>369</v>
      </c>
      <c r="C562" t="s">
        <v>197</v>
      </c>
      <c r="D562">
        <v>8</v>
      </c>
      <c r="E562" s="1">
        <f>_xlfn.XLOOKUP(Sheet1[[#This Row],[day_id]],calendar!A197,calendar!B197)</f>
        <v>40767</v>
      </c>
      <c r="F562" t="str">
        <f>_xlfn.XLOOKUP(Sheet1[[#This Row],[day_id]],calendar!A197,calendar!C197)</f>
        <v>Friday</v>
      </c>
      <c r="G562">
        <f>_xlfn.XLOOKUP(Sheet1[[#This Row],[day_id]],calendar!A197,calendar!E197)</f>
        <v>8</v>
      </c>
      <c r="H562">
        <f>_xlfn.XLOOKUP(Sheet1[[#This Row],[day_id]],calendar!A197,calendar!F197)</f>
        <v>2011</v>
      </c>
      <c r="I562" t="str">
        <f>_xlfn.XLOOKUP(Sheet1[[#This Row],[day_id]],calendar!A197,calendar!J197)</f>
        <v>No Event</v>
      </c>
      <c r="J562" t="str">
        <f>_xlfn.XLOOKUP(Sheet1[[#This Row],[day_id]],calendar!A197,calendar!K197)</f>
        <v>No Event Type</v>
      </c>
      <c r="K562">
        <f>_xlfn.XLOOKUP(Sheet1[[#This Row],[day_id]],calendar!A197,calendar!I197)</f>
        <v>0</v>
      </c>
    </row>
    <row r="563" spans="1:11" x14ac:dyDescent="0.2">
      <c r="A563" t="s">
        <v>370</v>
      </c>
      <c r="B563" t="s">
        <v>369</v>
      </c>
      <c r="C563" t="s">
        <v>198</v>
      </c>
      <c r="D563">
        <v>19</v>
      </c>
      <c r="E563" s="1">
        <f>_xlfn.XLOOKUP(Sheet1[[#This Row],[day_id]],calendar!A198,calendar!B198)</f>
        <v>40768</v>
      </c>
      <c r="F563" t="str">
        <f>_xlfn.XLOOKUP(Sheet1[[#This Row],[day_id]],calendar!A198,calendar!C198)</f>
        <v>Saturday</v>
      </c>
      <c r="G563">
        <f>_xlfn.XLOOKUP(Sheet1[[#This Row],[day_id]],calendar!A198,calendar!E198)</f>
        <v>8</v>
      </c>
      <c r="H563">
        <f>_xlfn.XLOOKUP(Sheet1[[#This Row],[day_id]],calendar!A198,calendar!F198)</f>
        <v>2011</v>
      </c>
      <c r="I563" t="str">
        <f>_xlfn.XLOOKUP(Sheet1[[#This Row],[day_id]],calendar!A198,calendar!J198)</f>
        <v>No Event</v>
      </c>
      <c r="J563" t="str">
        <f>_xlfn.XLOOKUP(Sheet1[[#This Row],[day_id]],calendar!A198,calendar!K198)</f>
        <v>No Event Type</v>
      </c>
      <c r="K563">
        <f>_xlfn.XLOOKUP(Sheet1[[#This Row],[day_id]],calendar!A198,calendar!I198)</f>
        <v>0</v>
      </c>
    </row>
    <row r="564" spans="1:11" x14ac:dyDescent="0.2">
      <c r="A564" t="s">
        <v>370</v>
      </c>
      <c r="B564" t="s">
        <v>369</v>
      </c>
      <c r="C564" t="s">
        <v>199</v>
      </c>
      <c r="D564">
        <v>16</v>
      </c>
      <c r="E564" s="1">
        <f>_xlfn.XLOOKUP(Sheet1[[#This Row],[day_id]],calendar!A199,calendar!B199)</f>
        <v>40769</v>
      </c>
      <c r="F564" t="str">
        <f>_xlfn.XLOOKUP(Sheet1[[#This Row],[day_id]],calendar!A199,calendar!C199)</f>
        <v>Sunday</v>
      </c>
      <c r="G564">
        <f>_xlfn.XLOOKUP(Sheet1[[#This Row],[day_id]],calendar!A199,calendar!E199)</f>
        <v>8</v>
      </c>
      <c r="H564">
        <f>_xlfn.XLOOKUP(Sheet1[[#This Row],[day_id]],calendar!A199,calendar!F199)</f>
        <v>2011</v>
      </c>
      <c r="I564" t="str">
        <f>_xlfn.XLOOKUP(Sheet1[[#This Row],[day_id]],calendar!A199,calendar!J199)</f>
        <v>No Event</v>
      </c>
      <c r="J564" t="str">
        <f>_xlfn.XLOOKUP(Sheet1[[#This Row],[day_id]],calendar!A199,calendar!K199)</f>
        <v>No Event Type</v>
      </c>
      <c r="K564">
        <f>_xlfn.XLOOKUP(Sheet1[[#This Row],[day_id]],calendar!A199,calendar!I199)</f>
        <v>0</v>
      </c>
    </row>
    <row r="565" spans="1:11" x14ac:dyDescent="0.2">
      <c r="A565" t="s">
        <v>370</v>
      </c>
      <c r="B565" t="s">
        <v>369</v>
      </c>
      <c r="C565" t="s">
        <v>200</v>
      </c>
      <c r="D565">
        <v>15</v>
      </c>
      <c r="E565" s="1">
        <f>_xlfn.XLOOKUP(Sheet1[[#This Row],[day_id]],calendar!A200,calendar!B200)</f>
        <v>40770</v>
      </c>
      <c r="F565" t="str">
        <f>_xlfn.XLOOKUP(Sheet1[[#This Row],[day_id]],calendar!A200,calendar!C200)</f>
        <v>Monday</v>
      </c>
      <c r="G565">
        <f>_xlfn.XLOOKUP(Sheet1[[#This Row],[day_id]],calendar!A200,calendar!E200)</f>
        <v>8</v>
      </c>
      <c r="H565">
        <f>_xlfn.XLOOKUP(Sheet1[[#This Row],[day_id]],calendar!A200,calendar!F200)</f>
        <v>2011</v>
      </c>
      <c r="I565" t="str">
        <f>_xlfn.XLOOKUP(Sheet1[[#This Row],[day_id]],calendar!A200,calendar!J200)</f>
        <v>No Event</v>
      </c>
      <c r="J565" t="str">
        <f>_xlfn.XLOOKUP(Sheet1[[#This Row],[day_id]],calendar!A200,calendar!K200)</f>
        <v>No Event Type</v>
      </c>
      <c r="K565">
        <f>_xlfn.XLOOKUP(Sheet1[[#This Row],[day_id]],calendar!A200,calendar!I200)</f>
        <v>0</v>
      </c>
    </row>
    <row r="566" spans="1:11" x14ac:dyDescent="0.2">
      <c r="A566" t="s">
        <v>370</v>
      </c>
      <c r="B566" t="s">
        <v>369</v>
      </c>
      <c r="C566" t="s">
        <v>201</v>
      </c>
      <c r="D566">
        <v>8</v>
      </c>
      <c r="E566" s="1">
        <f>_xlfn.XLOOKUP(Sheet1[[#This Row],[day_id]],calendar!A201,calendar!B201)</f>
        <v>40771</v>
      </c>
      <c r="F566" t="str">
        <f>_xlfn.XLOOKUP(Sheet1[[#This Row],[day_id]],calendar!A201,calendar!C201)</f>
        <v>Tuesday</v>
      </c>
      <c r="G566">
        <f>_xlfn.XLOOKUP(Sheet1[[#This Row],[day_id]],calendar!A201,calendar!E201)</f>
        <v>8</v>
      </c>
      <c r="H566">
        <f>_xlfn.XLOOKUP(Sheet1[[#This Row],[day_id]],calendar!A201,calendar!F201)</f>
        <v>2011</v>
      </c>
      <c r="I566" t="str">
        <f>_xlfn.XLOOKUP(Sheet1[[#This Row],[day_id]],calendar!A201,calendar!J201)</f>
        <v>No Event</v>
      </c>
      <c r="J566" t="str">
        <f>_xlfn.XLOOKUP(Sheet1[[#This Row],[day_id]],calendar!A201,calendar!K201)</f>
        <v>No Event Type</v>
      </c>
      <c r="K566">
        <f>_xlfn.XLOOKUP(Sheet1[[#This Row],[day_id]],calendar!A201,calendar!I201)</f>
        <v>0</v>
      </c>
    </row>
    <row r="567" spans="1:11" x14ac:dyDescent="0.2">
      <c r="A567" t="s">
        <v>370</v>
      </c>
      <c r="B567" t="s">
        <v>369</v>
      </c>
      <c r="C567" t="s">
        <v>202</v>
      </c>
      <c r="D567">
        <v>7</v>
      </c>
      <c r="E567" s="1">
        <f>_xlfn.XLOOKUP(Sheet1[[#This Row],[day_id]],calendar!A202,calendar!B202)</f>
        <v>40772</v>
      </c>
      <c r="F567" t="str">
        <f>_xlfn.XLOOKUP(Sheet1[[#This Row],[day_id]],calendar!A202,calendar!C202)</f>
        <v>Wednesday</v>
      </c>
      <c r="G567">
        <f>_xlfn.XLOOKUP(Sheet1[[#This Row],[day_id]],calendar!A202,calendar!E202)</f>
        <v>8</v>
      </c>
      <c r="H567">
        <f>_xlfn.XLOOKUP(Sheet1[[#This Row],[day_id]],calendar!A202,calendar!F202)</f>
        <v>2011</v>
      </c>
      <c r="I567" t="str">
        <f>_xlfn.XLOOKUP(Sheet1[[#This Row],[day_id]],calendar!A202,calendar!J202)</f>
        <v>No Event</v>
      </c>
      <c r="J567" t="str">
        <f>_xlfn.XLOOKUP(Sheet1[[#This Row],[day_id]],calendar!A202,calendar!K202)</f>
        <v>No Event Type</v>
      </c>
      <c r="K567">
        <f>_xlfn.XLOOKUP(Sheet1[[#This Row],[day_id]],calendar!A202,calendar!I202)</f>
        <v>0</v>
      </c>
    </row>
    <row r="568" spans="1:11" x14ac:dyDescent="0.2">
      <c r="A568" t="s">
        <v>370</v>
      </c>
      <c r="B568" t="s">
        <v>369</v>
      </c>
      <c r="C568" t="s">
        <v>203</v>
      </c>
      <c r="D568">
        <v>5</v>
      </c>
      <c r="E568" s="1">
        <f>_xlfn.XLOOKUP(Sheet1[[#This Row],[day_id]],calendar!A203,calendar!B203)</f>
        <v>40773</v>
      </c>
      <c r="F568" t="str">
        <f>_xlfn.XLOOKUP(Sheet1[[#This Row],[day_id]],calendar!A203,calendar!C203)</f>
        <v>Thursday</v>
      </c>
      <c r="G568">
        <f>_xlfn.XLOOKUP(Sheet1[[#This Row],[day_id]],calendar!A203,calendar!E203)</f>
        <v>8</v>
      </c>
      <c r="H568">
        <f>_xlfn.XLOOKUP(Sheet1[[#This Row],[day_id]],calendar!A203,calendar!F203)</f>
        <v>2011</v>
      </c>
      <c r="I568" t="str">
        <f>_xlfn.XLOOKUP(Sheet1[[#This Row],[day_id]],calendar!A203,calendar!J203)</f>
        <v>No Event</v>
      </c>
      <c r="J568" t="str">
        <f>_xlfn.XLOOKUP(Sheet1[[#This Row],[day_id]],calendar!A203,calendar!K203)</f>
        <v>No Event Type</v>
      </c>
      <c r="K568">
        <f>_xlfn.XLOOKUP(Sheet1[[#This Row],[day_id]],calendar!A203,calendar!I203)</f>
        <v>0</v>
      </c>
    </row>
    <row r="569" spans="1:11" x14ac:dyDescent="0.2">
      <c r="A569" t="s">
        <v>370</v>
      </c>
      <c r="B569" t="s">
        <v>369</v>
      </c>
      <c r="C569" t="s">
        <v>204</v>
      </c>
      <c r="D569">
        <v>4</v>
      </c>
      <c r="E569" s="1">
        <f>_xlfn.XLOOKUP(Sheet1[[#This Row],[day_id]],calendar!A204,calendar!B204)</f>
        <v>40774</v>
      </c>
      <c r="F569" t="str">
        <f>_xlfn.XLOOKUP(Sheet1[[#This Row],[day_id]],calendar!A204,calendar!C204)</f>
        <v>Friday</v>
      </c>
      <c r="G569">
        <f>_xlfn.XLOOKUP(Sheet1[[#This Row],[day_id]],calendar!A204,calendar!E204)</f>
        <v>8</v>
      </c>
      <c r="H569">
        <f>_xlfn.XLOOKUP(Sheet1[[#This Row],[day_id]],calendar!A204,calendar!F204)</f>
        <v>2011</v>
      </c>
      <c r="I569" t="str">
        <f>_xlfn.XLOOKUP(Sheet1[[#This Row],[day_id]],calendar!A204,calendar!J204)</f>
        <v>No Event</v>
      </c>
      <c r="J569" t="str">
        <f>_xlfn.XLOOKUP(Sheet1[[#This Row],[day_id]],calendar!A204,calendar!K204)</f>
        <v>No Event Type</v>
      </c>
      <c r="K569">
        <f>_xlfn.XLOOKUP(Sheet1[[#This Row],[day_id]],calendar!A204,calendar!I204)</f>
        <v>0</v>
      </c>
    </row>
    <row r="570" spans="1:11" x14ac:dyDescent="0.2">
      <c r="A570" t="s">
        <v>370</v>
      </c>
      <c r="B570" t="s">
        <v>369</v>
      </c>
      <c r="C570" t="s">
        <v>205</v>
      </c>
      <c r="D570">
        <v>14</v>
      </c>
      <c r="E570" s="1">
        <f>_xlfn.XLOOKUP(Sheet1[[#This Row],[day_id]],calendar!A205,calendar!B205)</f>
        <v>40775</v>
      </c>
      <c r="F570" t="str">
        <f>_xlfn.XLOOKUP(Sheet1[[#This Row],[day_id]],calendar!A205,calendar!C205)</f>
        <v>Saturday</v>
      </c>
      <c r="G570">
        <f>_xlfn.XLOOKUP(Sheet1[[#This Row],[day_id]],calendar!A205,calendar!E205)</f>
        <v>8</v>
      </c>
      <c r="H570">
        <f>_xlfn.XLOOKUP(Sheet1[[#This Row],[day_id]],calendar!A205,calendar!F205)</f>
        <v>2011</v>
      </c>
      <c r="I570" t="str">
        <f>_xlfn.XLOOKUP(Sheet1[[#This Row],[day_id]],calendar!A205,calendar!J205)</f>
        <v>No Event</v>
      </c>
      <c r="J570" t="str">
        <f>_xlfn.XLOOKUP(Sheet1[[#This Row],[day_id]],calendar!A205,calendar!K205)</f>
        <v>No Event Type</v>
      </c>
      <c r="K570">
        <f>_xlfn.XLOOKUP(Sheet1[[#This Row],[day_id]],calendar!A205,calendar!I205)</f>
        <v>0</v>
      </c>
    </row>
    <row r="571" spans="1:11" x14ac:dyDescent="0.2">
      <c r="A571" t="s">
        <v>370</v>
      </c>
      <c r="B571" t="s">
        <v>369</v>
      </c>
      <c r="C571" t="s">
        <v>206</v>
      </c>
      <c r="D571">
        <v>9</v>
      </c>
      <c r="E571" s="1">
        <f>_xlfn.XLOOKUP(Sheet1[[#This Row],[day_id]],calendar!A206,calendar!B206)</f>
        <v>40776</v>
      </c>
      <c r="F571" t="str">
        <f>_xlfn.XLOOKUP(Sheet1[[#This Row],[day_id]],calendar!A206,calendar!C206)</f>
        <v>Sunday</v>
      </c>
      <c r="G571">
        <f>_xlfn.XLOOKUP(Sheet1[[#This Row],[day_id]],calendar!A206,calendar!E206)</f>
        <v>8</v>
      </c>
      <c r="H571">
        <f>_xlfn.XLOOKUP(Sheet1[[#This Row],[day_id]],calendar!A206,calendar!F206)</f>
        <v>2011</v>
      </c>
      <c r="I571" t="str">
        <f>_xlfn.XLOOKUP(Sheet1[[#This Row],[day_id]],calendar!A206,calendar!J206)</f>
        <v>No Event</v>
      </c>
      <c r="J571" t="str">
        <f>_xlfn.XLOOKUP(Sheet1[[#This Row],[day_id]],calendar!A206,calendar!K206)</f>
        <v>No Event Type</v>
      </c>
      <c r="K571">
        <f>_xlfn.XLOOKUP(Sheet1[[#This Row],[day_id]],calendar!A206,calendar!I206)</f>
        <v>0</v>
      </c>
    </row>
    <row r="572" spans="1:11" x14ac:dyDescent="0.2">
      <c r="A572" t="s">
        <v>370</v>
      </c>
      <c r="B572" t="s">
        <v>369</v>
      </c>
      <c r="C572" t="s">
        <v>207</v>
      </c>
      <c r="D572">
        <v>9</v>
      </c>
      <c r="E572" s="1">
        <f>_xlfn.XLOOKUP(Sheet1[[#This Row],[day_id]],calendar!A207,calendar!B207)</f>
        <v>40777</v>
      </c>
      <c r="F572" t="str">
        <f>_xlfn.XLOOKUP(Sheet1[[#This Row],[day_id]],calendar!A207,calendar!C207)</f>
        <v>Monday</v>
      </c>
      <c r="G572">
        <f>_xlfn.XLOOKUP(Sheet1[[#This Row],[day_id]],calendar!A207,calendar!E207)</f>
        <v>8</v>
      </c>
      <c r="H572">
        <f>_xlfn.XLOOKUP(Sheet1[[#This Row],[day_id]],calendar!A207,calendar!F207)</f>
        <v>2011</v>
      </c>
      <c r="I572" t="str">
        <f>_xlfn.XLOOKUP(Sheet1[[#This Row],[day_id]],calendar!A207,calendar!J207)</f>
        <v>No Event</v>
      </c>
      <c r="J572" t="str">
        <f>_xlfn.XLOOKUP(Sheet1[[#This Row],[day_id]],calendar!A207,calendar!K207)</f>
        <v>No Event Type</v>
      </c>
      <c r="K572">
        <f>_xlfn.XLOOKUP(Sheet1[[#This Row],[day_id]],calendar!A207,calendar!I207)</f>
        <v>0</v>
      </c>
    </row>
    <row r="573" spans="1:11" x14ac:dyDescent="0.2">
      <c r="A573" t="s">
        <v>370</v>
      </c>
      <c r="B573" t="s">
        <v>369</v>
      </c>
      <c r="C573" t="s">
        <v>208</v>
      </c>
      <c r="D573">
        <v>2</v>
      </c>
      <c r="E573" s="1">
        <f>_xlfn.XLOOKUP(Sheet1[[#This Row],[day_id]],calendar!A208,calendar!B208)</f>
        <v>40778</v>
      </c>
      <c r="F573" t="str">
        <f>_xlfn.XLOOKUP(Sheet1[[#This Row],[day_id]],calendar!A208,calendar!C208)</f>
        <v>Tuesday</v>
      </c>
      <c r="G573">
        <f>_xlfn.XLOOKUP(Sheet1[[#This Row],[day_id]],calendar!A208,calendar!E208)</f>
        <v>8</v>
      </c>
      <c r="H573">
        <f>_xlfn.XLOOKUP(Sheet1[[#This Row],[day_id]],calendar!A208,calendar!F208)</f>
        <v>2011</v>
      </c>
      <c r="I573" t="str">
        <f>_xlfn.XLOOKUP(Sheet1[[#This Row],[day_id]],calendar!A208,calendar!J208)</f>
        <v>No Event</v>
      </c>
      <c r="J573" t="str">
        <f>_xlfn.XLOOKUP(Sheet1[[#This Row],[day_id]],calendar!A208,calendar!K208)</f>
        <v>No Event Type</v>
      </c>
      <c r="K573">
        <f>_xlfn.XLOOKUP(Sheet1[[#This Row],[day_id]],calendar!A208,calendar!I208)</f>
        <v>0</v>
      </c>
    </row>
    <row r="574" spans="1:11" x14ac:dyDescent="0.2">
      <c r="A574" t="s">
        <v>370</v>
      </c>
      <c r="B574" t="s">
        <v>369</v>
      </c>
      <c r="C574" t="s">
        <v>209</v>
      </c>
      <c r="D574">
        <v>12</v>
      </c>
      <c r="E574" s="1">
        <f>_xlfn.XLOOKUP(Sheet1[[#This Row],[day_id]],calendar!A209,calendar!B209)</f>
        <v>40779</v>
      </c>
      <c r="F574" t="str">
        <f>_xlfn.XLOOKUP(Sheet1[[#This Row],[day_id]],calendar!A209,calendar!C209)</f>
        <v>Wednesday</v>
      </c>
      <c r="G574">
        <f>_xlfn.XLOOKUP(Sheet1[[#This Row],[day_id]],calendar!A209,calendar!E209)</f>
        <v>8</v>
      </c>
      <c r="H574">
        <f>_xlfn.XLOOKUP(Sheet1[[#This Row],[day_id]],calendar!A209,calendar!F209)</f>
        <v>2011</v>
      </c>
      <c r="I574" t="str">
        <f>_xlfn.XLOOKUP(Sheet1[[#This Row],[day_id]],calendar!A209,calendar!J209)</f>
        <v>No Event</v>
      </c>
      <c r="J574" t="str">
        <f>_xlfn.XLOOKUP(Sheet1[[#This Row],[day_id]],calendar!A209,calendar!K209)</f>
        <v>No Event Type</v>
      </c>
      <c r="K574">
        <f>_xlfn.XLOOKUP(Sheet1[[#This Row],[day_id]],calendar!A209,calendar!I209)</f>
        <v>0</v>
      </c>
    </row>
    <row r="575" spans="1:11" x14ac:dyDescent="0.2">
      <c r="A575" t="s">
        <v>370</v>
      </c>
      <c r="B575" t="s">
        <v>369</v>
      </c>
      <c r="C575" t="s">
        <v>210</v>
      </c>
      <c r="D575">
        <v>7</v>
      </c>
      <c r="E575" s="1">
        <f>_xlfn.XLOOKUP(Sheet1[[#This Row],[day_id]],calendar!A210,calendar!B210)</f>
        <v>40780</v>
      </c>
      <c r="F575" t="str">
        <f>_xlfn.XLOOKUP(Sheet1[[#This Row],[day_id]],calendar!A210,calendar!C210)</f>
        <v>Thursday</v>
      </c>
      <c r="G575">
        <f>_xlfn.XLOOKUP(Sheet1[[#This Row],[day_id]],calendar!A210,calendar!E210)</f>
        <v>8</v>
      </c>
      <c r="H575">
        <f>_xlfn.XLOOKUP(Sheet1[[#This Row],[day_id]],calendar!A210,calendar!F210)</f>
        <v>2011</v>
      </c>
      <c r="I575" t="str">
        <f>_xlfn.XLOOKUP(Sheet1[[#This Row],[day_id]],calendar!A210,calendar!J210)</f>
        <v>No Event</v>
      </c>
      <c r="J575" t="str">
        <f>_xlfn.XLOOKUP(Sheet1[[#This Row],[day_id]],calendar!A210,calendar!K210)</f>
        <v>No Event Type</v>
      </c>
      <c r="K575">
        <f>_xlfn.XLOOKUP(Sheet1[[#This Row],[day_id]],calendar!A210,calendar!I210)</f>
        <v>0</v>
      </c>
    </row>
    <row r="576" spans="1:11" x14ac:dyDescent="0.2">
      <c r="A576" t="s">
        <v>370</v>
      </c>
      <c r="B576" t="s">
        <v>369</v>
      </c>
      <c r="C576" t="s">
        <v>211</v>
      </c>
      <c r="D576">
        <v>7</v>
      </c>
      <c r="E576" s="1">
        <f>_xlfn.XLOOKUP(Sheet1[[#This Row],[day_id]],calendar!A211,calendar!B211)</f>
        <v>40781</v>
      </c>
      <c r="F576" t="str">
        <f>_xlfn.XLOOKUP(Sheet1[[#This Row],[day_id]],calendar!A211,calendar!C211)</f>
        <v>Friday</v>
      </c>
      <c r="G576">
        <f>_xlfn.XLOOKUP(Sheet1[[#This Row],[day_id]],calendar!A211,calendar!E211)</f>
        <v>8</v>
      </c>
      <c r="H576">
        <f>_xlfn.XLOOKUP(Sheet1[[#This Row],[day_id]],calendar!A211,calendar!F211)</f>
        <v>2011</v>
      </c>
      <c r="I576" t="str">
        <f>_xlfn.XLOOKUP(Sheet1[[#This Row],[day_id]],calendar!A211,calendar!J211)</f>
        <v>No Event</v>
      </c>
      <c r="J576" t="str">
        <f>_xlfn.XLOOKUP(Sheet1[[#This Row],[day_id]],calendar!A211,calendar!K211)</f>
        <v>No Event Type</v>
      </c>
      <c r="K576">
        <f>_xlfn.XLOOKUP(Sheet1[[#This Row],[day_id]],calendar!A211,calendar!I211)</f>
        <v>0</v>
      </c>
    </row>
    <row r="577" spans="1:11" x14ac:dyDescent="0.2">
      <c r="A577" t="s">
        <v>370</v>
      </c>
      <c r="B577" t="s">
        <v>369</v>
      </c>
      <c r="C577" t="s">
        <v>212</v>
      </c>
      <c r="D577">
        <v>19</v>
      </c>
      <c r="E577" s="1">
        <f>_xlfn.XLOOKUP(Sheet1[[#This Row],[day_id]],calendar!A212,calendar!B212)</f>
        <v>40782</v>
      </c>
      <c r="F577" t="str">
        <f>_xlfn.XLOOKUP(Sheet1[[#This Row],[day_id]],calendar!A212,calendar!C212)</f>
        <v>Saturday</v>
      </c>
      <c r="G577">
        <f>_xlfn.XLOOKUP(Sheet1[[#This Row],[day_id]],calendar!A212,calendar!E212)</f>
        <v>8</v>
      </c>
      <c r="H577">
        <f>_xlfn.XLOOKUP(Sheet1[[#This Row],[day_id]],calendar!A212,calendar!F212)</f>
        <v>2011</v>
      </c>
      <c r="I577" t="str">
        <f>_xlfn.XLOOKUP(Sheet1[[#This Row],[day_id]],calendar!A212,calendar!J212)</f>
        <v>No Event</v>
      </c>
      <c r="J577" t="str">
        <f>_xlfn.XLOOKUP(Sheet1[[#This Row],[day_id]],calendar!A212,calendar!K212)</f>
        <v>No Event Type</v>
      </c>
      <c r="K577">
        <f>_xlfn.XLOOKUP(Sheet1[[#This Row],[day_id]],calendar!A212,calendar!I212)</f>
        <v>0</v>
      </c>
    </row>
    <row r="578" spans="1:11" x14ac:dyDescent="0.2">
      <c r="A578" t="s">
        <v>370</v>
      </c>
      <c r="B578" t="s">
        <v>369</v>
      </c>
      <c r="C578" t="s">
        <v>213</v>
      </c>
      <c r="D578">
        <v>12</v>
      </c>
      <c r="E578" s="1">
        <f>_xlfn.XLOOKUP(Sheet1[[#This Row],[day_id]],calendar!A213,calendar!B213)</f>
        <v>40783</v>
      </c>
      <c r="F578" t="str">
        <f>_xlfn.XLOOKUP(Sheet1[[#This Row],[day_id]],calendar!A213,calendar!C213)</f>
        <v>Sunday</v>
      </c>
      <c r="G578">
        <f>_xlfn.XLOOKUP(Sheet1[[#This Row],[day_id]],calendar!A213,calendar!E213)</f>
        <v>8</v>
      </c>
      <c r="H578">
        <f>_xlfn.XLOOKUP(Sheet1[[#This Row],[day_id]],calendar!A213,calendar!F213)</f>
        <v>2011</v>
      </c>
      <c r="I578" t="str">
        <f>_xlfn.XLOOKUP(Sheet1[[#This Row],[day_id]],calendar!A213,calendar!J213)</f>
        <v>No Event</v>
      </c>
      <c r="J578" t="str">
        <f>_xlfn.XLOOKUP(Sheet1[[#This Row],[day_id]],calendar!A213,calendar!K213)</f>
        <v>No Event Type</v>
      </c>
      <c r="K578">
        <f>_xlfn.XLOOKUP(Sheet1[[#This Row],[day_id]],calendar!A213,calendar!I213)</f>
        <v>0</v>
      </c>
    </row>
    <row r="579" spans="1:11" x14ac:dyDescent="0.2">
      <c r="A579" t="s">
        <v>370</v>
      </c>
      <c r="B579" t="s">
        <v>369</v>
      </c>
      <c r="C579" t="s">
        <v>214</v>
      </c>
      <c r="D579">
        <v>15</v>
      </c>
      <c r="E579" s="1">
        <f>_xlfn.XLOOKUP(Sheet1[[#This Row],[day_id]],calendar!A214,calendar!B214)</f>
        <v>40784</v>
      </c>
      <c r="F579" t="str">
        <f>_xlfn.XLOOKUP(Sheet1[[#This Row],[day_id]],calendar!A214,calendar!C214)</f>
        <v>Monday</v>
      </c>
      <c r="G579">
        <f>_xlfn.XLOOKUP(Sheet1[[#This Row],[day_id]],calendar!A214,calendar!E214)</f>
        <v>8</v>
      </c>
      <c r="H579">
        <f>_xlfn.XLOOKUP(Sheet1[[#This Row],[day_id]],calendar!A214,calendar!F214)</f>
        <v>2011</v>
      </c>
      <c r="I579" t="str">
        <f>_xlfn.XLOOKUP(Sheet1[[#This Row],[day_id]],calendar!A214,calendar!J214)</f>
        <v>No Event</v>
      </c>
      <c r="J579" t="str">
        <f>_xlfn.XLOOKUP(Sheet1[[#This Row],[day_id]],calendar!A214,calendar!K214)</f>
        <v>No Event Type</v>
      </c>
      <c r="K579">
        <f>_xlfn.XLOOKUP(Sheet1[[#This Row],[day_id]],calendar!A214,calendar!I214)</f>
        <v>0</v>
      </c>
    </row>
    <row r="580" spans="1:11" x14ac:dyDescent="0.2">
      <c r="A580" t="s">
        <v>370</v>
      </c>
      <c r="B580" t="s">
        <v>369</v>
      </c>
      <c r="C580" t="s">
        <v>215</v>
      </c>
      <c r="D580">
        <v>12</v>
      </c>
      <c r="E580" s="1">
        <f>_xlfn.XLOOKUP(Sheet1[[#This Row],[day_id]],calendar!A215,calendar!B215)</f>
        <v>40785</v>
      </c>
      <c r="F580" t="str">
        <f>_xlfn.XLOOKUP(Sheet1[[#This Row],[day_id]],calendar!A215,calendar!C215)</f>
        <v>Tuesday</v>
      </c>
      <c r="G580">
        <f>_xlfn.XLOOKUP(Sheet1[[#This Row],[day_id]],calendar!A215,calendar!E215)</f>
        <v>8</v>
      </c>
      <c r="H580">
        <f>_xlfn.XLOOKUP(Sheet1[[#This Row],[day_id]],calendar!A215,calendar!F215)</f>
        <v>2011</v>
      </c>
      <c r="I580" t="str">
        <f>_xlfn.XLOOKUP(Sheet1[[#This Row],[day_id]],calendar!A215,calendar!J215)</f>
        <v>No Event</v>
      </c>
      <c r="J580" t="str">
        <f>_xlfn.XLOOKUP(Sheet1[[#This Row],[day_id]],calendar!A215,calendar!K215)</f>
        <v>No Event Type</v>
      </c>
      <c r="K580">
        <f>_xlfn.XLOOKUP(Sheet1[[#This Row],[day_id]],calendar!A215,calendar!I215)</f>
        <v>0</v>
      </c>
    </row>
    <row r="581" spans="1:11" x14ac:dyDescent="0.2">
      <c r="A581" t="s">
        <v>370</v>
      </c>
      <c r="B581" t="s">
        <v>369</v>
      </c>
      <c r="C581" t="s">
        <v>216</v>
      </c>
      <c r="D581">
        <v>5</v>
      </c>
      <c r="E581" s="1">
        <f>_xlfn.XLOOKUP(Sheet1[[#This Row],[day_id]],calendar!A216,calendar!B216)</f>
        <v>40786</v>
      </c>
      <c r="F581" t="str">
        <f>_xlfn.XLOOKUP(Sheet1[[#This Row],[day_id]],calendar!A216,calendar!C216)</f>
        <v>Wednesday</v>
      </c>
      <c r="G581">
        <f>_xlfn.XLOOKUP(Sheet1[[#This Row],[day_id]],calendar!A216,calendar!E216)</f>
        <v>8</v>
      </c>
      <c r="H581">
        <f>_xlfn.XLOOKUP(Sheet1[[#This Row],[day_id]],calendar!A216,calendar!F216)</f>
        <v>2011</v>
      </c>
      <c r="I581" t="str">
        <f>_xlfn.XLOOKUP(Sheet1[[#This Row],[day_id]],calendar!A216,calendar!J216)</f>
        <v>Eid al-Fitr</v>
      </c>
      <c r="J581" t="str">
        <f>_xlfn.XLOOKUP(Sheet1[[#This Row],[day_id]],calendar!A216,calendar!K216)</f>
        <v>Religious</v>
      </c>
      <c r="K581">
        <f>_xlfn.XLOOKUP(Sheet1[[#This Row],[day_id]],calendar!A216,calendar!I216)</f>
        <v>0</v>
      </c>
    </row>
    <row r="582" spans="1:11" x14ac:dyDescent="0.2">
      <c r="A582" t="s">
        <v>370</v>
      </c>
      <c r="B582" t="s">
        <v>369</v>
      </c>
      <c r="C582" t="s">
        <v>217</v>
      </c>
      <c r="D582">
        <v>4</v>
      </c>
      <c r="E582" s="1">
        <f>_xlfn.XLOOKUP(Sheet1[[#This Row],[day_id]],calendar!A217,calendar!B217)</f>
        <v>40787</v>
      </c>
      <c r="F582" t="str">
        <f>_xlfn.XLOOKUP(Sheet1[[#This Row],[day_id]],calendar!A217,calendar!C217)</f>
        <v>Thursday</v>
      </c>
      <c r="G582">
        <f>_xlfn.XLOOKUP(Sheet1[[#This Row],[day_id]],calendar!A217,calendar!E217)</f>
        <v>9</v>
      </c>
      <c r="H582">
        <f>_xlfn.XLOOKUP(Sheet1[[#This Row],[day_id]],calendar!A217,calendar!F217)</f>
        <v>2011</v>
      </c>
      <c r="I582" t="str">
        <f>_xlfn.XLOOKUP(Sheet1[[#This Row],[day_id]],calendar!A217,calendar!J217)</f>
        <v>No Event</v>
      </c>
      <c r="J582" t="str">
        <f>_xlfn.XLOOKUP(Sheet1[[#This Row],[day_id]],calendar!A217,calendar!K217)</f>
        <v>No Event Type</v>
      </c>
      <c r="K582">
        <f>_xlfn.XLOOKUP(Sheet1[[#This Row],[day_id]],calendar!A217,calendar!I217)</f>
        <v>1</v>
      </c>
    </row>
    <row r="583" spans="1:11" x14ac:dyDescent="0.2">
      <c r="A583" t="s">
        <v>370</v>
      </c>
      <c r="B583" t="s">
        <v>369</v>
      </c>
      <c r="C583" t="s">
        <v>218</v>
      </c>
      <c r="D583">
        <v>6</v>
      </c>
      <c r="E583" s="1">
        <f>_xlfn.XLOOKUP(Sheet1[[#This Row],[day_id]],calendar!A218,calendar!B218)</f>
        <v>40788</v>
      </c>
      <c r="F583" t="str">
        <f>_xlfn.XLOOKUP(Sheet1[[#This Row],[day_id]],calendar!A218,calendar!C218)</f>
        <v>Friday</v>
      </c>
      <c r="G583">
        <f>_xlfn.XLOOKUP(Sheet1[[#This Row],[day_id]],calendar!A218,calendar!E218)</f>
        <v>9</v>
      </c>
      <c r="H583">
        <f>_xlfn.XLOOKUP(Sheet1[[#This Row],[day_id]],calendar!A218,calendar!F218)</f>
        <v>2011</v>
      </c>
      <c r="I583" t="str">
        <f>_xlfn.XLOOKUP(Sheet1[[#This Row],[day_id]],calendar!A218,calendar!J218)</f>
        <v>No Event</v>
      </c>
      <c r="J583" t="str">
        <f>_xlfn.XLOOKUP(Sheet1[[#This Row],[day_id]],calendar!A218,calendar!K218)</f>
        <v>No Event Type</v>
      </c>
      <c r="K583">
        <f>_xlfn.XLOOKUP(Sheet1[[#This Row],[day_id]],calendar!A218,calendar!I218)</f>
        <v>1</v>
      </c>
    </row>
    <row r="584" spans="1:11" x14ac:dyDescent="0.2">
      <c r="A584" t="s">
        <v>370</v>
      </c>
      <c r="B584" t="s">
        <v>369</v>
      </c>
      <c r="C584" t="s">
        <v>219</v>
      </c>
      <c r="D584">
        <v>15</v>
      </c>
      <c r="E584" s="1">
        <f>_xlfn.XLOOKUP(Sheet1[[#This Row],[day_id]],calendar!A219,calendar!B219)</f>
        <v>40789</v>
      </c>
      <c r="F584" t="str">
        <f>_xlfn.XLOOKUP(Sheet1[[#This Row],[day_id]],calendar!A219,calendar!C219)</f>
        <v>Saturday</v>
      </c>
      <c r="G584">
        <f>_xlfn.XLOOKUP(Sheet1[[#This Row],[day_id]],calendar!A219,calendar!E219)</f>
        <v>9</v>
      </c>
      <c r="H584">
        <f>_xlfn.XLOOKUP(Sheet1[[#This Row],[day_id]],calendar!A219,calendar!F219)</f>
        <v>2011</v>
      </c>
      <c r="I584" t="str">
        <f>_xlfn.XLOOKUP(Sheet1[[#This Row],[day_id]],calendar!A219,calendar!J219)</f>
        <v>No Event</v>
      </c>
      <c r="J584" t="str">
        <f>_xlfn.XLOOKUP(Sheet1[[#This Row],[day_id]],calendar!A219,calendar!K219)</f>
        <v>No Event Type</v>
      </c>
      <c r="K584">
        <f>_xlfn.XLOOKUP(Sheet1[[#This Row],[day_id]],calendar!A219,calendar!I219)</f>
        <v>1</v>
      </c>
    </row>
    <row r="585" spans="1:11" x14ac:dyDescent="0.2">
      <c r="A585" t="s">
        <v>370</v>
      </c>
      <c r="B585" t="s">
        <v>369</v>
      </c>
      <c r="C585" t="s">
        <v>220</v>
      </c>
      <c r="D585">
        <v>6</v>
      </c>
      <c r="E585" s="1">
        <f>_xlfn.XLOOKUP(Sheet1[[#This Row],[day_id]],calendar!A220,calendar!B220)</f>
        <v>40790</v>
      </c>
      <c r="F585" t="str">
        <f>_xlfn.XLOOKUP(Sheet1[[#This Row],[day_id]],calendar!A220,calendar!C220)</f>
        <v>Sunday</v>
      </c>
      <c r="G585">
        <f>_xlfn.XLOOKUP(Sheet1[[#This Row],[day_id]],calendar!A220,calendar!E220)</f>
        <v>9</v>
      </c>
      <c r="H585">
        <f>_xlfn.XLOOKUP(Sheet1[[#This Row],[day_id]],calendar!A220,calendar!F220)</f>
        <v>2011</v>
      </c>
      <c r="I585" t="str">
        <f>_xlfn.XLOOKUP(Sheet1[[#This Row],[day_id]],calendar!A220,calendar!J220)</f>
        <v>No Event</v>
      </c>
      <c r="J585" t="str">
        <f>_xlfn.XLOOKUP(Sheet1[[#This Row],[day_id]],calendar!A220,calendar!K220)</f>
        <v>No Event Type</v>
      </c>
      <c r="K585">
        <f>_xlfn.XLOOKUP(Sheet1[[#This Row],[day_id]],calendar!A220,calendar!I220)</f>
        <v>1</v>
      </c>
    </row>
    <row r="586" spans="1:11" x14ac:dyDescent="0.2">
      <c r="A586" t="s">
        <v>370</v>
      </c>
      <c r="B586" t="s">
        <v>369</v>
      </c>
      <c r="C586" t="s">
        <v>221</v>
      </c>
      <c r="D586">
        <v>10</v>
      </c>
      <c r="E586" s="1">
        <f>_xlfn.XLOOKUP(Sheet1[[#This Row],[day_id]],calendar!A221,calendar!B221)</f>
        <v>40791</v>
      </c>
      <c r="F586" t="str">
        <f>_xlfn.XLOOKUP(Sheet1[[#This Row],[day_id]],calendar!A221,calendar!C221)</f>
        <v>Monday</v>
      </c>
      <c r="G586">
        <f>_xlfn.XLOOKUP(Sheet1[[#This Row],[day_id]],calendar!A221,calendar!E221)</f>
        <v>9</v>
      </c>
      <c r="H586">
        <f>_xlfn.XLOOKUP(Sheet1[[#This Row],[day_id]],calendar!A221,calendar!F221)</f>
        <v>2011</v>
      </c>
      <c r="I586" t="str">
        <f>_xlfn.XLOOKUP(Sheet1[[#This Row],[day_id]],calendar!A221,calendar!J221)</f>
        <v>LaborDay</v>
      </c>
      <c r="J586" t="str">
        <f>_xlfn.XLOOKUP(Sheet1[[#This Row],[day_id]],calendar!A221,calendar!K221)</f>
        <v>National</v>
      </c>
      <c r="K586">
        <f>_xlfn.XLOOKUP(Sheet1[[#This Row],[day_id]],calendar!A221,calendar!I221)</f>
        <v>1</v>
      </c>
    </row>
    <row r="587" spans="1:11" x14ac:dyDescent="0.2">
      <c r="A587" t="s">
        <v>370</v>
      </c>
      <c r="B587" t="s">
        <v>369</v>
      </c>
      <c r="C587" t="s">
        <v>222</v>
      </c>
      <c r="D587">
        <v>6</v>
      </c>
      <c r="E587" s="1">
        <f>_xlfn.XLOOKUP(Sheet1[[#This Row],[day_id]],calendar!A222,calendar!B222)</f>
        <v>40792</v>
      </c>
      <c r="F587" t="str">
        <f>_xlfn.XLOOKUP(Sheet1[[#This Row],[day_id]],calendar!A222,calendar!C222)</f>
        <v>Tuesday</v>
      </c>
      <c r="G587">
        <f>_xlfn.XLOOKUP(Sheet1[[#This Row],[day_id]],calendar!A222,calendar!E222)</f>
        <v>9</v>
      </c>
      <c r="H587">
        <f>_xlfn.XLOOKUP(Sheet1[[#This Row],[day_id]],calendar!A222,calendar!F222)</f>
        <v>2011</v>
      </c>
      <c r="I587" t="str">
        <f>_xlfn.XLOOKUP(Sheet1[[#This Row],[day_id]],calendar!A222,calendar!J222)</f>
        <v>No Event</v>
      </c>
      <c r="J587" t="str">
        <f>_xlfn.XLOOKUP(Sheet1[[#This Row],[day_id]],calendar!A222,calendar!K222)</f>
        <v>No Event Type</v>
      </c>
      <c r="K587">
        <f>_xlfn.XLOOKUP(Sheet1[[#This Row],[day_id]],calendar!A222,calendar!I222)</f>
        <v>1</v>
      </c>
    </row>
    <row r="588" spans="1:11" x14ac:dyDescent="0.2">
      <c r="A588" t="s">
        <v>370</v>
      </c>
      <c r="B588" t="s">
        <v>369</v>
      </c>
      <c r="C588" t="s">
        <v>223</v>
      </c>
      <c r="D588">
        <v>5</v>
      </c>
      <c r="E588" s="1">
        <f>_xlfn.XLOOKUP(Sheet1[[#This Row],[day_id]],calendar!A223,calendar!B223)</f>
        <v>40793</v>
      </c>
      <c r="F588" t="str">
        <f>_xlfn.XLOOKUP(Sheet1[[#This Row],[day_id]],calendar!A223,calendar!C223)</f>
        <v>Wednesday</v>
      </c>
      <c r="G588">
        <f>_xlfn.XLOOKUP(Sheet1[[#This Row],[day_id]],calendar!A223,calendar!E223)</f>
        <v>9</v>
      </c>
      <c r="H588">
        <f>_xlfn.XLOOKUP(Sheet1[[#This Row],[day_id]],calendar!A223,calendar!F223)</f>
        <v>2011</v>
      </c>
      <c r="I588" t="str">
        <f>_xlfn.XLOOKUP(Sheet1[[#This Row],[day_id]],calendar!A223,calendar!J223)</f>
        <v>No Event</v>
      </c>
      <c r="J588" t="str">
        <f>_xlfn.XLOOKUP(Sheet1[[#This Row],[day_id]],calendar!A223,calendar!K223)</f>
        <v>No Event Type</v>
      </c>
      <c r="K588">
        <f>_xlfn.XLOOKUP(Sheet1[[#This Row],[day_id]],calendar!A223,calendar!I223)</f>
        <v>1</v>
      </c>
    </row>
    <row r="589" spans="1:11" x14ac:dyDescent="0.2">
      <c r="A589" t="s">
        <v>370</v>
      </c>
      <c r="B589" t="s">
        <v>369</v>
      </c>
      <c r="C589" t="s">
        <v>224</v>
      </c>
      <c r="D589">
        <v>3</v>
      </c>
      <c r="E589" s="1">
        <f>_xlfn.XLOOKUP(Sheet1[[#This Row],[day_id]],calendar!A224,calendar!B224)</f>
        <v>40794</v>
      </c>
      <c r="F589" t="str">
        <f>_xlfn.XLOOKUP(Sheet1[[#This Row],[day_id]],calendar!A224,calendar!C224)</f>
        <v>Thursday</v>
      </c>
      <c r="G589">
        <f>_xlfn.XLOOKUP(Sheet1[[#This Row],[day_id]],calendar!A224,calendar!E224)</f>
        <v>9</v>
      </c>
      <c r="H589">
        <f>_xlfn.XLOOKUP(Sheet1[[#This Row],[day_id]],calendar!A224,calendar!F224)</f>
        <v>2011</v>
      </c>
      <c r="I589" t="str">
        <f>_xlfn.XLOOKUP(Sheet1[[#This Row],[day_id]],calendar!A224,calendar!J224)</f>
        <v>No Event</v>
      </c>
      <c r="J589" t="str">
        <f>_xlfn.XLOOKUP(Sheet1[[#This Row],[day_id]],calendar!A224,calendar!K224)</f>
        <v>No Event Type</v>
      </c>
      <c r="K589">
        <f>_xlfn.XLOOKUP(Sheet1[[#This Row],[day_id]],calendar!A224,calendar!I224)</f>
        <v>1</v>
      </c>
    </row>
    <row r="590" spans="1:11" x14ac:dyDescent="0.2">
      <c r="A590" t="s">
        <v>370</v>
      </c>
      <c r="B590" t="s">
        <v>369</v>
      </c>
      <c r="C590" t="s">
        <v>225</v>
      </c>
      <c r="D590">
        <v>8</v>
      </c>
      <c r="E590" s="1">
        <f>_xlfn.XLOOKUP(Sheet1[[#This Row],[day_id]],calendar!A225,calendar!B225)</f>
        <v>40795</v>
      </c>
      <c r="F590" t="str">
        <f>_xlfn.XLOOKUP(Sheet1[[#This Row],[day_id]],calendar!A225,calendar!C225)</f>
        <v>Friday</v>
      </c>
      <c r="G590">
        <f>_xlfn.XLOOKUP(Sheet1[[#This Row],[day_id]],calendar!A225,calendar!E225)</f>
        <v>9</v>
      </c>
      <c r="H590">
        <f>_xlfn.XLOOKUP(Sheet1[[#This Row],[day_id]],calendar!A225,calendar!F225)</f>
        <v>2011</v>
      </c>
      <c r="I590" t="str">
        <f>_xlfn.XLOOKUP(Sheet1[[#This Row],[day_id]],calendar!A225,calendar!J225)</f>
        <v>No Event</v>
      </c>
      <c r="J590" t="str">
        <f>_xlfn.XLOOKUP(Sheet1[[#This Row],[day_id]],calendar!A225,calendar!K225)</f>
        <v>No Event Type</v>
      </c>
      <c r="K590">
        <f>_xlfn.XLOOKUP(Sheet1[[#This Row],[day_id]],calendar!A225,calendar!I225)</f>
        <v>1</v>
      </c>
    </row>
    <row r="591" spans="1:11" x14ac:dyDescent="0.2">
      <c r="A591" t="s">
        <v>370</v>
      </c>
      <c r="B591" t="s">
        <v>369</v>
      </c>
      <c r="C591" t="s">
        <v>226</v>
      </c>
      <c r="D591">
        <v>11</v>
      </c>
      <c r="E591" s="1">
        <f>_xlfn.XLOOKUP(Sheet1[[#This Row],[day_id]],calendar!A226,calendar!B226)</f>
        <v>40796</v>
      </c>
      <c r="F591" t="str">
        <f>_xlfn.XLOOKUP(Sheet1[[#This Row],[day_id]],calendar!A226,calendar!C226)</f>
        <v>Saturday</v>
      </c>
      <c r="G591">
        <f>_xlfn.XLOOKUP(Sheet1[[#This Row],[day_id]],calendar!A226,calendar!E226)</f>
        <v>9</v>
      </c>
      <c r="H591">
        <f>_xlfn.XLOOKUP(Sheet1[[#This Row],[day_id]],calendar!A226,calendar!F226)</f>
        <v>2011</v>
      </c>
      <c r="I591" t="str">
        <f>_xlfn.XLOOKUP(Sheet1[[#This Row],[day_id]],calendar!A226,calendar!J226)</f>
        <v>No Event</v>
      </c>
      <c r="J591" t="str">
        <f>_xlfn.XLOOKUP(Sheet1[[#This Row],[day_id]],calendar!A226,calendar!K226)</f>
        <v>No Event Type</v>
      </c>
      <c r="K591">
        <f>_xlfn.XLOOKUP(Sheet1[[#This Row],[day_id]],calendar!A226,calendar!I226)</f>
        <v>1</v>
      </c>
    </row>
    <row r="592" spans="1:11" x14ac:dyDescent="0.2">
      <c r="A592" t="s">
        <v>370</v>
      </c>
      <c r="B592" t="s">
        <v>369</v>
      </c>
      <c r="C592" t="s">
        <v>227</v>
      </c>
      <c r="D592">
        <v>12</v>
      </c>
      <c r="E592" s="1">
        <f>_xlfn.XLOOKUP(Sheet1[[#This Row],[day_id]],calendar!A227,calendar!B227)</f>
        <v>40797</v>
      </c>
      <c r="F592" t="str">
        <f>_xlfn.XLOOKUP(Sheet1[[#This Row],[day_id]],calendar!A227,calendar!C227)</f>
        <v>Sunday</v>
      </c>
      <c r="G592">
        <f>_xlfn.XLOOKUP(Sheet1[[#This Row],[day_id]],calendar!A227,calendar!E227)</f>
        <v>9</v>
      </c>
      <c r="H592">
        <f>_xlfn.XLOOKUP(Sheet1[[#This Row],[day_id]],calendar!A227,calendar!F227)</f>
        <v>2011</v>
      </c>
      <c r="I592" t="str">
        <f>_xlfn.XLOOKUP(Sheet1[[#This Row],[day_id]],calendar!A227,calendar!J227)</f>
        <v>No Event</v>
      </c>
      <c r="J592" t="str">
        <f>_xlfn.XLOOKUP(Sheet1[[#This Row],[day_id]],calendar!A227,calendar!K227)</f>
        <v>No Event Type</v>
      </c>
      <c r="K592">
        <f>_xlfn.XLOOKUP(Sheet1[[#This Row],[day_id]],calendar!A227,calendar!I227)</f>
        <v>0</v>
      </c>
    </row>
    <row r="593" spans="1:11" x14ac:dyDescent="0.2">
      <c r="A593" t="s">
        <v>370</v>
      </c>
      <c r="B593" t="s">
        <v>369</v>
      </c>
      <c r="C593" t="s">
        <v>228</v>
      </c>
      <c r="D593">
        <v>3</v>
      </c>
      <c r="E593" s="1">
        <f>_xlfn.XLOOKUP(Sheet1[[#This Row],[day_id]],calendar!A228,calendar!B228)</f>
        <v>40798</v>
      </c>
      <c r="F593" t="str">
        <f>_xlfn.XLOOKUP(Sheet1[[#This Row],[day_id]],calendar!A228,calendar!C228)</f>
        <v>Monday</v>
      </c>
      <c r="G593">
        <f>_xlfn.XLOOKUP(Sheet1[[#This Row],[day_id]],calendar!A228,calendar!E228)</f>
        <v>9</v>
      </c>
      <c r="H593">
        <f>_xlfn.XLOOKUP(Sheet1[[#This Row],[day_id]],calendar!A228,calendar!F228)</f>
        <v>2011</v>
      </c>
      <c r="I593" t="str">
        <f>_xlfn.XLOOKUP(Sheet1[[#This Row],[day_id]],calendar!A228,calendar!J228)</f>
        <v>No Event</v>
      </c>
      <c r="J593" t="str">
        <f>_xlfn.XLOOKUP(Sheet1[[#This Row],[day_id]],calendar!A228,calendar!K228)</f>
        <v>No Event Type</v>
      </c>
      <c r="K593">
        <f>_xlfn.XLOOKUP(Sheet1[[#This Row],[day_id]],calendar!A228,calendar!I228)</f>
        <v>0</v>
      </c>
    </row>
    <row r="594" spans="1:11" x14ac:dyDescent="0.2">
      <c r="A594" t="s">
        <v>370</v>
      </c>
      <c r="B594" t="s">
        <v>369</v>
      </c>
      <c r="C594" t="s">
        <v>229</v>
      </c>
      <c r="D594">
        <v>3</v>
      </c>
      <c r="E594" s="1">
        <f>_xlfn.XLOOKUP(Sheet1[[#This Row],[day_id]],calendar!A229,calendar!B229)</f>
        <v>40799</v>
      </c>
      <c r="F594" t="str">
        <f>_xlfn.XLOOKUP(Sheet1[[#This Row],[day_id]],calendar!A229,calendar!C229)</f>
        <v>Tuesday</v>
      </c>
      <c r="G594">
        <f>_xlfn.XLOOKUP(Sheet1[[#This Row],[day_id]],calendar!A229,calendar!E229)</f>
        <v>9</v>
      </c>
      <c r="H594">
        <f>_xlfn.XLOOKUP(Sheet1[[#This Row],[day_id]],calendar!A229,calendar!F229)</f>
        <v>2011</v>
      </c>
      <c r="I594" t="str">
        <f>_xlfn.XLOOKUP(Sheet1[[#This Row],[day_id]],calendar!A229,calendar!J229)</f>
        <v>No Event</v>
      </c>
      <c r="J594" t="str">
        <f>_xlfn.XLOOKUP(Sheet1[[#This Row],[day_id]],calendar!A229,calendar!K229)</f>
        <v>No Event Type</v>
      </c>
      <c r="K594">
        <f>_xlfn.XLOOKUP(Sheet1[[#This Row],[day_id]],calendar!A229,calendar!I229)</f>
        <v>0</v>
      </c>
    </row>
    <row r="595" spans="1:11" x14ac:dyDescent="0.2">
      <c r="A595" t="s">
        <v>370</v>
      </c>
      <c r="B595" t="s">
        <v>369</v>
      </c>
      <c r="C595" t="s">
        <v>230</v>
      </c>
      <c r="D595">
        <v>6</v>
      </c>
      <c r="E595" s="1">
        <f>_xlfn.XLOOKUP(Sheet1[[#This Row],[day_id]],calendar!A230,calendar!B230)</f>
        <v>40800</v>
      </c>
      <c r="F595" t="str">
        <f>_xlfn.XLOOKUP(Sheet1[[#This Row],[day_id]],calendar!A230,calendar!C230)</f>
        <v>Wednesday</v>
      </c>
      <c r="G595">
        <f>_xlfn.XLOOKUP(Sheet1[[#This Row],[day_id]],calendar!A230,calendar!E230)</f>
        <v>9</v>
      </c>
      <c r="H595">
        <f>_xlfn.XLOOKUP(Sheet1[[#This Row],[day_id]],calendar!A230,calendar!F230)</f>
        <v>2011</v>
      </c>
      <c r="I595" t="str">
        <f>_xlfn.XLOOKUP(Sheet1[[#This Row],[day_id]],calendar!A230,calendar!J230)</f>
        <v>No Event</v>
      </c>
      <c r="J595" t="str">
        <f>_xlfn.XLOOKUP(Sheet1[[#This Row],[day_id]],calendar!A230,calendar!K230)</f>
        <v>No Event Type</v>
      </c>
      <c r="K595">
        <f>_xlfn.XLOOKUP(Sheet1[[#This Row],[day_id]],calendar!A230,calendar!I230)</f>
        <v>0</v>
      </c>
    </row>
    <row r="596" spans="1:11" x14ac:dyDescent="0.2">
      <c r="A596" t="s">
        <v>370</v>
      </c>
      <c r="B596" t="s">
        <v>369</v>
      </c>
      <c r="C596" t="s">
        <v>231</v>
      </c>
      <c r="D596">
        <v>10</v>
      </c>
      <c r="E596" s="1">
        <f>_xlfn.XLOOKUP(Sheet1[[#This Row],[day_id]],calendar!A231,calendar!B231)</f>
        <v>40801</v>
      </c>
      <c r="F596" t="str">
        <f>_xlfn.XLOOKUP(Sheet1[[#This Row],[day_id]],calendar!A231,calendar!C231)</f>
        <v>Thursday</v>
      </c>
      <c r="G596">
        <f>_xlfn.XLOOKUP(Sheet1[[#This Row],[day_id]],calendar!A231,calendar!E231)</f>
        <v>9</v>
      </c>
      <c r="H596">
        <f>_xlfn.XLOOKUP(Sheet1[[#This Row],[day_id]],calendar!A231,calendar!F231)</f>
        <v>2011</v>
      </c>
      <c r="I596" t="str">
        <f>_xlfn.XLOOKUP(Sheet1[[#This Row],[day_id]],calendar!A231,calendar!J231)</f>
        <v>No Event</v>
      </c>
      <c r="J596" t="str">
        <f>_xlfn.XLOOKUP(Sheet1[[#This Row],[day_id]],calendar!A231,calendar!K231)</f>
        <v>No Event Type</v>
      </c>
      <c r="K596">
        <f>_xlfn.XLOOKUP(Sheet1[[#This Row],[day_id]],calendar!A231,calendar!I231)</f>
        <v>0</v>
      </c>
    </row>
    <row r="597" spans="1:11" x14ac:dyDescent="0.2">
      <c r="A597" t="s">
        <v>370</v>
      </c>
      <c r="B597" t="s">
        <v>369</v>
      </c>
      <c r="C597" t="s">
        <v>232</v>
      </c>
      <c r="D597">
        <v>1</v>
      </c>
      <c r="E597" s="1">
        <f>_xlfn.XLOOKUP(Sheet1[[#This Row],[day_id]],calendar!A232,calendar!B232)</f>
        <v>40802</v>
      </c>
      <c r="F597" t="str">
        <f>_xlfn.XLOOKUP(Sheet1[[#This Row],[day_id]],calendar!A232,calendar!C232)</f>
        <v>Friday</v>
      </c>
      <c r="G597">
        <f>_xlfn.XLOOKUP(Sheet1[[#This Row],[day_id]],calendar!A232,calendar!E232)</f>
        <v>9</v>
      </c>
      <c r="H597">
        <f>_xlfn.XLOOKUP(Sheet1[[#This Row],[day_id]],calendar!A232,calendar!F232)</f>
        <v>2011</v>
      </c>
      <c r="I597" t="str">
        <f>_xlfn.XLOOKUP(Sheet1[[#This Row],[day_id]],calendar!A232,calendar!J232)</f>
        <v>No Event</v>
      </c>
      <c r="J597" t="str">
        <f>_xlfn.XLOOKUP(Sheet1[[#This Row],[day_id]],calendar!A232,calendar!K232)</f>
        <v>No Event Type</v>
      </c>
      <c r="K597">
        <f>_xlfn.XLOOKUP(Sheet1[[#This Row],[day_id]],calendar!A232,calendar!I232)</f>
        <v>0</v>
      </c>
    </row>
    <row r="598" spans="1:11" x14ac:dyDescent="0.2">
      <c r="A598" t="s">
        <v>370</v>
      </c>
      <c r="B598" t="s">
        <v>369</v>
      </c>
      <c r="C598" t="s">
        <v>233</v>
      </c>
      <c r="D598">
        <v>7</v>
      </c>
      <c r="E598" s="1">
        <f>_xlfn.XLOOKUP(Sheet1[[#This Row],[day_id]],calendar!A233,calendar!B233)</f>
        <v>40803</v>
      </c>
      <c r="F598" t="str">
        <f>_xlfn.XLOOKUP(Sheet1[[#This Row],[day_id]],calendar!A233,calendar!C233)</f>
        <v>Saturday</v>
      </c>
      <c r="G598">
        <f>_xlfn.XLOOKUP(Sheet1[[#This Row],[day_id]],calendar!A233,calendar!E233)</f>
        <v>9</v>
      </c>
      <c r="H598">
        <f>_xlfn.XLOOKUP(Sheet1[[#This Row],[day_id]],calendar!A233,calendar!F233)</f>
        <v>2011</v>
      </c>
      <c r="I598" t="str">
        <f>_xlfn.XLOOKUP(Sheet1[[#This Row],[day_id]],calendar!A233,calendar!J233)</f>
        <v>No Event</v>
      </c>
      <c r="J598" t="str">
        <f>_xlfn.XLOOKUP(Sheet1[[#This Row],[day_id]],calendar!A233,calendar!K233)</f>
        <v>No Event Type</v>
      </c>
      <c r="K598">
        <f>_xlfn.XLOOKUP(Sheet1[[#This Row],[day_id]],calendar!A233,calendar!I233)</f>
        <v>0</v>
      </c>
    </row>
    <row r="599" spans="1:11" x14ac:dyDescent="0.2">
      <c r="A599" t="s">
        <v>370</v>
      </c>
      <c r="B599" t="s">
        <v>369</v>
      </c>
      <c r="C599" t="s">
        <v>234</v>
      </c>
      <c r="D599">
        <v>22</v>
      </c>
      <c r="E599" s="1">
        <f>_xlfn.XLOOKUP(Sheet1[[#This Row],[day_id]],calendar!A234,calendar!B234)</f>
        <v>40804</v>
      </c>
      <c r="F599" t="str">
        <f>_xlfn.XLOOKUP(Sheet1[[#This Row],[day_id]],calendar!A234,calendar!C234)</f>
        <v>Sunday</v>
      </c>
      <c r="G599">
        <f>_xlfn.XLOOKUP(Sheet1[[#This Row],[day_id]],calendar!A234,calendar!E234)</f>
        <v>9</v>
      </c>
      <c r="H599">
        <f>_xlfn.XLOOKUP(Sheet1[[#This Row],[day_id]],calendar!A234,calendar!F234)</f>
        <v>2011</v>
      </c>
      <c r="I599" t="str">
        <f>_xlfn.XLOOKUP(Sheet1[[#This Row],[day_id]],calendar!A234,calendar!J234)</f>
        <v>No Event</v>
      </c>
      <c r="J599" t="str">
        <f>_xlfn.XLOOKUP(Sheet1[[#This Row],[day_id]],calendar!A234,calendar!K234)</f>
        <v>No Event Type</v>
      </c>
      <c r="K599">
        <f>_xlfn.XLOOKUP(Sheet1[[#This Row],[day_id]],calendar!A234,calendar!I234)</f>
        <v>0</v>
      </c>
    </row>
    <row r="600" spans="1:11" x14ac:dyDescent="0.2">
      <c r="A600" t="s">
        <v>370</v>
      </c>
      <c r="B600" t="s">
        <v>369</v>
      </c>
      <c r="C600" t="s">
        <v>235</v>
      </c>
      <c r="D600">
        <v>5</v>
      </c>
      <c r="E600" s="1">
        <f>_xlfn.XLOOKUP(Sheet1[[#This Row],[day_id]],calendar!A235,calendar!B235)</f>
        <v>40805</v>
      </c>
      <c r="F600" t="str">
        <f>_xlfn.XLOOKUP(Sheet1[[#This Row],[day_id]],calendar!A235,calendar!C235)</f>
        <v>Monday</v>
      </c>
      <c r="G600">
        <f>_xlfn.XLOOKUP(Sheet1[[#This Row],[day_id]],calendar!A235,calendar!E235)</f>
        <v>9</v>
      </c>
      <c r="H600">
        <f>_xlfn.XLOOKUP(Sheet1[[#This Row],[day_id]],calendar!A235,calendar!F235)</f>
        <v>2011</v>
      </c>
      <c r="I600" t="str">
        <f>_xlfn.XLOOKUP(Sheet1[[#This Row],[day_id]],calendar!A235,calendar!J235)</f>
        <v>No Event</v>
      </c>
      <c r="J600" t="str">
        <f>_xlfn.XLOOKUP(Sheet1[[#This Row],[day_id]],calendar!A235,calendar!K235)</f>
        <v>No Event Type</v>
      </c>
      <c r="K600">
        <f>_xlfn.XLOOKUP(Sheet1[[#This Row],[day_id]],calendar!A235,calendar!I235)</f>
        <v>0</v>
      </c>
    </row>
    <row r="601" spans="1:11" x14ac:dyDescent="0.2">
      <c r="A601" t="s">
        <v>370</v>
      </c>
      <c r="B601" t="s">
        <v>369</v>
      </c>
      <c r="C601" t="s">
        <v>236</v>
      </c>
      <c r="D601">
        <v>8</v>
      </c>
      <c r="E601" s="1">
        <f>_xlfn.XLOOKUP(Sheet1[[#This Row],[day_id]],calendar!A236,calendar!B236)</f>
        <v>40806</v>
      </c>
      <c r="F601" t="str">
        <f>_xlfn.XLOOKUP(Sheet1[[#This Row],[day_id]],calendar!A236,calendar!C236)</f>
        <v>Tuesday</v>
      </c>
      <c r="G601">
        <f>_xlfn.XLOOKUP(Sheet1[[#This Row],[day_id]],calendar!A236,calendar!E236)</f>
        <v>9</v>
      </c>
      <c r="H601">
        <f>_xlfn.XLOOKUP(Sheet1[[#This Row],[day_id]],calendar!A236,calendar!F236)</f>
        <v>2011</v>
      </c>
      <c r="I601" t="str">
        <f>_xlfn.XLOOKUP(Sheet1[[#This Row],[day_id]],calendar!A236,calendar!J236)</f>
        <v>No Event</v>
      </c>
      <c r="J601" t="str">
        <f>_xlfn.XLOOKUP(Sheet1[[#This Row],[day_id]],calendar!A236,calendar!K236)</f>
        <v>No Event Type</v>
      </c>
      <c r="K601">
        <f>_xlfn.XLOOKUP(Sheet1[[#This Row],[day_id]],calendar!A236,calendar!I236)</f>
        <v>0</v>
      </c>
    </row>
    <row r="602" spans="1:11" x14ac:dyDescent="0.2">
      <c r="A602" t="s">
        <v>370</v>
      </c>
      <c r="B602" t="s">
        <v>369</v>
      </c>
      <c r="C602" t="s">
        <v>237</v>
      </c>
      <c r="D602">
        <v>4</v>
      </c>
      <c r="E602" s="1">
        <f>_xlfn.XLOOKUP(Sheet1[[#This Row],[day_id]],calendar!A237,calendar!B237)</f>
        <v>40807</v>
      </c>
      <c r="F602" t="str">
        <f>_xlfn.XLOOKUP(Sheet1[[#This Row],[day_id]],calendar!A237,calendar!C237)</f>
        <v>Wednesday</v>
      </c>
      <c r="G602">
        <f>_xlfn.XLOOKUP(Sheet1[[#This Row],[day_id]],calendar!A237,calendar!E237)</f>
        <v>9</v>
      </c>
      <c r="H602">
        <f>_xlfn.XLOOKUP(Sheet1[[#This Row],[day_id]],calendar!A237,calendar!F237)</f>
        <v>2011</v>
      </c>
      <c r="I602" t="str">
        <f>_xlfn.XLOOKUP(Sheet1[[#This Row],[day_id]],calendar!A237,calendar!J237)</f>
        <v>No Event</v>
      </c>
      <c r="J602" t="str">
        <f>_xlfn.XLOOKUP(Sheet1[[#This Row],[day_id]],calendar!A237,calendar!K237)</f>
        <v>No Event Type</v>
      </c>
      <c r="K602">
        <f>_xlfn.XLOOKUP(Sheet1[[#This Row],[day_id]],calendar!A237,calendar!I237)</f>
        <v>0</v>
      </c>
    </row>
    <row r="603" spans="1:11" x14ac:dyDescent="0.2">
      <c r="A603" t="s">
        <v>370</v>
      </c>
      <c r="B603" t="s">
        <v>369</v>
      </c>
      <c r="C603" t="s">
        <v>238</v>
      </c>
      <c r="D603">
        <v>3</v>
      </c>
      <c r="E603" s="1">
        <f>_xlfn.XLOOKUP(Sheet1[[#This Row],[day_id]],calendar!A238,calendar!B238)</f>
        <v>40808</v>
      </c>
      <c r="F603" t="str">
        <f>_xlfn.XLOOKUP(Sheet1[[#This Row],[day_id]],calendar!A238,calendar!C238)</f>
        <v>Thursday</v>
      </c>
      <c r="G603">
        <f>_xlfn.XLOOKUP(Sheet1[[#This Row],[day_id]],calendar!A238,calendar!E238)</f>
        <v>9</v>
      </c>
      <c r="H603">
        <f>_xlfn.XLOOKUP(Sheet1[[#This Row],[day_id]],calendar!A238,calendar!F238)</f>
        <v>2011</v>
      </c>
      <c r="I603" t="str">
        <f>_xlfn.XLOOKUP(Sheet1[[#This Row],[day_id]],calendar!A238,calendar!J238)</f>
        <v>No Event</v>
      </c>
      <c r="J603" t="str">
        <f>_xlfn.XLOOKUP(Sheet1[[#This Row],[day_id]],calendar!A238,calendar!K238)</f>
        <v>No Event Type</v>
      </c>
      <c r="K603">
        <f>_xlfn.XLOOKUP(Sheet1[[#This Row],[day_id]],calendar!A238,calendar!I238)</f>
        <v>0</v>
      </c>
    </row>
    <row r="604" spans="1:11" x14ac:dyDescent="0.2">
      <c r="A604" t="s">
        <v>370</v>
      </c>
      <c r="B604" t="s">
        <v>369</v>
      </c>
      <c r="C604" t="s">
        <v>239</v>
      </c>
      <c r="D604">
        <v>3</v>
      </c>
      <c r="E604" s="1">
        <f>_xlfn.XLOOKUP(Sheet1[[#This Row],[day_id]],calendar!A239,calendar!B239)</f>
        <v>40809</v>
      </c>
      <c r="F604" t="str">
        <f>_xlfn.XLOOKUP(Sheet1[[#This Row],[day_id]],calendar!A239,calendar!C239)</f>
        <v>Friday</v>
      </c>
      <c r="G604">
        <f>_xlfn.XLOOKUP(Sheet1[[#This Row],[day_id]],calendar!A239,calendar!E239)</f>
        <v>9</v>
      </c>
      <c r="H604">
        <f>_xlfn.XLOOKUP(Sheet1[[#This Row],[day_id]],calendar!A239,calendar!F239)</f>
        <v>2011</v>
      </c>
      <c r="I604" t="str">
        <f>_xlfn.XLOOKUP(Sheet1[[#This Row],[day_id]],calendar!A239,calendar!J239)</f>
        <v>No Event</v>
      </c>
      <c r="J604" t="str">
        <f>_xlfn.XLOOKUP(Sheet1[[#This Row],[day_id]],calendar!A239,calendar!K239)</f>
        <v>No Event Type</v>
      </c>
      <c r="K604">
        <f>_xlfn.XLOOKUP(Sheet1[[#This Row],[day_id]],calendar!A239,calendar!I239)</f>
        <v>0</v>
      </c>
    </row>
    <row r="605" spans="1:11" x14ac:dyDescent="0.2">
      <c r="A605" t="s">
        <v>370</v>
      </c>
      <c r="B605" t="s">
        <v>369</v>
      </c>
      <c r="C605" t="s">
        <v>240</v>
      </c>
      <c r="D605">
        <v>14</v>
      </c>
      <c r="E605" s="1">
        <f>_xlfn.XLOOKUP(Sheet1[[#This Row],[day_id]],calendar!A240,calendar!B240)</f>
        <v>40810</v>
      </c>
      <c r="F605" t="str">
        <f>_xlfn.XLOOKUP(Sheet1[[#This Row],[day_id]],calendar!A240,calendar!C240)</f>
        <v>Saturday</v>
      </c>
      <c r="G605">
        <f>_xlfn.XLOOKUP(Sheet1[[#This Row],[day_id]],calendar!A240,calendar!E240)</f>
        <v>9</v>
      </c>
      <c r="H605">
        <f>_xlfn.XLOOKUP(Sheet1[[#This Row],[day_id]],calendar!A240,calendar!F240)</f>
        <v>2011</v>
      </c>
      <c r="I605" t="str">
        <f>_xlfn.XLOOKUP(Sheet1[[#This Row],[day_id]],calendar!A240,calendar!J240)</f>
        <v>No Event</v>
      </c>
      <c r="J605" t="str">
        <f>_xlfn.XLOOKUP(Sheet1[[#This Row],[day_id]],calendar!A240,calendar!K240)</f>
        <v>No Event Type</v>
      </c>
      <c r="K605">
        <f>_xlfn.XLOOKUP(Sheet1[[#This Row],[day_id]],calendar!A240,calendar!I240)</f>
        <v>0</v>
      </c>
    </row>
    <row r="606" spans="1:11" x14ac:dyDescent="0.2">
      <c r="A606" t="s">
        <v>370</v>
      </c>
      <c r="B606" t="s">
        <v>369</v>
      </c>
      <c r="C606" t="s">
        <v>241</v>
      </c>
      <c r="D606">
        <v>5</v>
      </c>
      <c r="E606" s="1">
        <f>_xlfn.XLOOKUP(Sheet1[[#This Row],[day_id]],calendar!A241,calendar!B241)</f>
        <v>40811</v>
      </c>
      <c r="F606" t="str">
        <f>_xlfn.XLOOKUP(Sheet1[[#This Row],[day_id]],calendar!A241,calendar!C241)</f>
        <v>Sunday</v>
      </c>
      <c r="G606">
        <f>_xlfn.XLOOKUP(Sheet1[[#This Row],[day_id]],calendar!A241,calendar!E241)</f>
        <v>9</v>
      </c>
      <c r="H606">
        <f>_xlfn.XLOOKUP(Sheet1[[#This Row],[day_id]],calendar!A241,calendar!F241)</f>
        <v>2011</v>
      </c>
      <c r="I606" t="str">
        <f>_xlfn.XLOOKUP(Sheet1[[#This Row],[day_id]],calendar!A241,calendar!J241)</f>
        <v>No Event</v>
      </c>
      <c r="J606" t="str">
        <f>_xlfn.XLOOKUP(Sheet1[[#This Row],[day_id]],calendar!A241,calendar!K241)</f>
        <v>No Event Type</v>
      </c>
      <c r="K606">
        <f>_xlfn.XLOOKUP(Sheet1[[#This Row],[day_id]],calendar!A241,calendar!I241)</f>
        <v>0</v>
      </c>
    </row>
    <row r="607" spans="1:11" x14ac:dyDescent="0.2">
      <c r="A607" t="s">
        <v>370</v>
      </c>
      <c r="B607" t="s">
        <v>369</v>
      </c>
      <c r="C607" t="s">
        <v>242</v>
      </c>
      <c r="D607">
        <v>9</v>
      </c>
      <c r="E607" s="1">
        <f>_xlfn.XLOOKUP(Sheet1[[#This Row],[day_id]],calendar!A242,calendar!B242)</f>
        <v>40812</v>
      </c>
      <c r="F607" t="str">
        <f>_xlfn.XLOOKUP(Sheet1[[#This Row],[day_id]],calendar!A242,calendar!C242)</f>
        <v>Monday</v>
      </c>
      <c r="G607">
        <f>_xlfn.XLOOKUP(Sheet1[[#This Row],[day_id]],calendar!A242,calendar!E242)</f>
        <v>9</v>
      </c>
      <c r="H607">
        <f>_xlfn.XLOOKUP(Sheet1[[#This Row],[day_id]],calendar!A242,calendar!F242)</f>
        <v>2011</v>
      </c>
      <c r="I607" t="str">
        <f>_xlfn.XLOOKUP(Sheet1[[#This Row],[day_id]],calendar!A242,calendar!J242)</f>
        <v>No Event</v>
      </c>
      <c r="J607" t="str">
        <f>_xlfn.XLOOKUP(Sheet1[[#This Row],[day_id]],calendar!A242,calendar!K242)</f>
        <v>No Event Type</v>
      </c>
      <c r="K607">
        <f>_xlfn.XLOOKUP(Sheet1[[#This Row],[day_id]],calendar!A242,calendar!I242)</f>
        <v>0</v>
      </c>
    </row>
    <row r="608" spans="1:11" x14ac:dyDescent="0.2">
      <c r="A608" t="s">
        <v>370</v>
      </c>
      <c r="B608" t="s">
        <v>369</v>
      </c>
      <c r="C608" t="s">
        <v>243</v>
      </c>
      <c r="D608">
        <v>0</v>
      </c>
      <c r="E608" s="1">
        <f>_xlfn.XLOOKUP(Sheet1[[#This Row],[day_id]],calendar!A243,calendar!B243)</f>
        <v>40813</v>
      </c>
      <c r="F608" t="str">
        <f>_xlfn.XLOOKUP(Sheet1[[#This Row],[day_id]],calendar!A243,calendar!C243)</f>
        <v>Tuesday</v>
      </c>
      <c r="G608">
        <f>_xlfn.XLOOKUP(Sheet1[[#This Row],[day_id]],calendar!A243,calendar!E243)</f>
        <v>9</v>
      </c>
      <c r="H608">
        <f>_xlfn.XLOOKUP(Sheet1[[#This Row],[day_id]],calendar!A243,calendar!F243)</f>
        <v>2011</v>
      </c>
      <c r="I608" t="str">
        <f>_xlfn.XLOOKUP(Sheet1[[#This Row],[day_id]],calendar!A243,calendar!J243)</f>
        <v>No Event</v>
      </c>
      <c r="J608" t="str">
        <f>_xlfn.XLOOKUP(Sheet1[[#This Row],[day_id]],calendar!A243,calendar!K243)</f>
        <v>No Event Type</v>
      </c>
      <c r="K608">
        <f>_xlfn.XLOOKUP(Sheet1[[#This Row],[day_id]],calendar!A243,calendar!I243)</f>
        <v>0</v>
      </c>
    </row>
    <row r="609" spans="1:11" x14ac:dyDescent="0.2">
      <c r="A609" t="s">
        <v>370</v>
      </c>
      <c r="B609" t="s">
        <v>369</v>
      </c>
      <c r="C609" t="s">
        <v>244</v>
      </c>
      <c r="D609">
        <v>7</v>
      </c>
      <c r="E609" s="1">
        <f>_xlfn.XLOOKUP(Sheet1[[#This Row],[day_id]],calendar!A244,calendar!B244)</f>
        <v>40814</v>
      </c>
      <c r="F609" t="str">
        <f>_xlfn.XLOOKUP(Sheet1[[#This Row],[day_id]],calendar!A244,calendar!C244)</f>
        <v>Wednesday</v>
      </c>
      <c r="G609">
        <f>_xlfn.XLOOKUP(Sheet1[[#This Row],[day_id]],calendar!A244,calendar!E244)</f>
        <v>9</v>
      </c>
      <c r="H609">
        <f>_xlfn.XLOOKUP(Sheet1[[#This Row],[day_id]],calendar!A244,calendar!F244)</f>
        <v>2011</v>
      </c>
      <c r="I609" t="str">
        <f>_xlfn.XLOOKUP(Sheet1[[#This Row],[day_id]],calendar!A244,calendar!J244)</f>
        <v>No Event</v>
      </c>
      <c r="J609" t="str">
        <f>_xlfn.XLOOKUP(Sheet1[[#This Row],[day_id]],calendar!A244,calendar!K244)</f>
        <v>No Event Type</v>
      </c>
      <c r="K609">
        <f>_xlfn.XLOOKUP(Sheet1[[#This Row],[day_id]],calendar!A244,calendar!I244)</f>
        <v>0</v>
      </c>
    </row>
    <row r="610" spans="1:11" x14ac:dyDescent="0.2">
      <c r="A610" t="s">
        <v>370</v>
      </c>
      <c r="B610" t="s">
        <v>369</v>
      </c>
      <c r="C610" t="s">
        <v>245</v>
      </c>
      <c r="D610">
        <v>13</v>
      </c>
      <c r="E610" s="1">
        <f>_xlfn.XLOOKUP(Sheet1[[#This Row],[day_id]],calendar!A245,calendar!B245)</f>
        <v>40815</v>
      </c>
      <c r="F610" t="str">
        <f>_xlfn.XLOOKUP(Sheet1[[#This Row],[day_id]],calendar!A245,calendar!C245)</f>
        <v>Thursday</v>
      </c>
      <c r="G610">
        <f>_xlfn.XLOOKUP(Sheet1[[#This Row],[day_id]],calendar!A245,calendar!E245)</f>
        <v>9</v>
      </c>
      <c r="H610">
        <f>_xlfn.XLOOKUP(Sheet1[[#This Row],[day_id]],calendar!A245,calendar!F245)</f>
        <v>2011</v>
      </c>
      <c r="I610" t="str">
        <f>_xlfn.XLOOKUP(Sheet1[[#This Row],[day_id]],calendar!A245,calendar!J245)</f>
        <v>No Event</v>
      </c>
      <c r="J610" t="str">
        <f>_xlfn.XLOOKUP(Sheet1[[#This Row],[day_id]],calendar!A245,calendar!K245)</f>
        <v>No Event Type</v>
      </c>
      <c r="K610">
        <f>_xlfn.XLOOKUP(Sheet1[[#This Row],[day_id]],calendar!A245,calendar!I245)</f>
        <v>0</v>
      </c>
    </row>
    <row r="611" spans="1:11" x14ac:dyDescent="0.2">
      <c r="A611" t="s">
        <v>370</v>
      </c>
      <c r="B611" t="s">
        <v>369</v>
      </c>
      <c r="C611" t="s">
        <v>246</v>
      </c>
      <c r="D611">
        <v>29</v>
      </c>
      <c r="E611" s="1">
        <f>_xlfn.XLOOKUP(Sheet1[[#This Row],[day_id]],calendar!A246,calendar!B246)</f>
        <v>40816</v>
      </c>
      <c r="F611" t="str">
        <f>_xlfn.XLOOKUP(Sheet1[[#This Row],[day_id]],calendar!A246,calendar!C246)</f>
        <v>Friday</v>
      </c>
      <c r="G611">
        <f>_xlfn.XLOOKUP(Sheet1[[#This Row],[day_id]],calendar!A246,calendar!E246)</f>
        <v>9</v>
      </c>
      <c r="H611">
        <f>_xlfn.XLOOKUP(Sheet1[[#This Row],[day_id]],calendar!A246,calendar!F246)</f>
        <v>2011</v>
      </c>
      <c r="I611" t="str">
        <f>_xlfn.XLOOKUP(Sheet1[[#This Row],[day_id]],calendar!A246,calendar!J246)</f>
        <v>No Event</v>
      </c>
      <c r="J611" t="str">
        <f>_xlfn.XLOOKUP(Sheet1[[#This Row],[day_id]],calendar!A246,calendar!K246)</f>
        <v>No Event Type</v>
      </c>
      <c r="K611">
        <f>_xlfn.XLOOKUP(Sheet1[[#This Row],[day_id]],calendar!A246,calendar!I246)</f>
        <v>0</v>
      </c>
    </row>
    <row r="612" spans="1:11" x14ac:dyDescent="0.2">
      <c r="A612" t="s">
        <v>370</v>
      </c>
      <c r="B612" t="s">
        <v>369</v>
      </c>
      <c r="C612" t="s">
        <v>247</v>
      </c>
      <c r="D612">
        <v>46</v>
      </c>
      <c r="E612" s="1">
        <f>_xlfn.XLOOKUP(Sheet1[[#This Row],[day_id]],calendar!A247,calendar!B247)</f>
        <v>40817</v>
      </c>
      <c r="F612" t="str">
        <f>_xlfn.XLOOKUP(Sheet1[[#This Row],[day_id]],calendar!A247,calendar!C247)</f>
        <v>Saturday</v>
      </c>
      <c r="G612">
        <f>_xlfn.XLOOKUP(Sheet1[[#This Row],[day_id]],calendar!A247,calendar!E247)</f>
        <v>10</v>
      </c>
      <c r="H612">
        <f>_xlfn.XLOOKUP(Sheet1[[#This Row],[day_id]],calendar!A247,calendar!F247)</f>
        <v>2011</v>
      </c>
      <c r="I612" t="str">
        <f>_xlfn.XLOOKUP(Sheet1[[#This Row],[day_id]],calendar!A247,calendar!J247)</f>
        <v>No Event</v>
      </c>
      <c r="J612" t="str">
        <f>_xlfn.XLOOKUP(Sheet1[[#This Row],[day_id]],calendar!A247,calendar!K247)</f>
        <v>No Event Type</v>
      </c>
      <c r="K612">
        <f>_xlfn.XLOOKUP(Sheet1[[#This Row],[day_id]],calendar!A247,calendar!I247)</f>
        <v>1</v>
      </c>
    </row>
    <row r="613" spans="1:11" x14ac:dyDescent="0.2">
      <c r="A613" t="s">
        <v>370</v>
      </c>
      <c r="B613" t="s">
        <v>369</v>
      </c>
      <c r="C613" t="s">
        <v>248</v>
      </c>
      <c r="D613">
        <v>22</v>
      </c>
      <c r="E613" s="1">
        <f>_xlfn.XLOOKUP(Sheet1[[#This Row],[day_id]],calendar!A248,calendar!B248)</f>
        <v>40818</v>
      </c>
      <c r="F613" t="str">
        <f>_xlfn.XLOOKUP(Sheet1[[#This Row],[day_id]],calendar!A248,calendar!C248)</f>
        <v>Sunday</v>
      </c>
      <c r="G613">
        <f>_xlfn.XLOOKUP(Sheet1[[#This Row],[day_id]],calendar!A248,calendar!E248)</f>
        <v>10</v>
      </c>
      <c r="H613">
        <f>_xlfn.XLOOKUP(Sheet1[[#This Row],[day_id]],calendar!A248,calendar!F248)</f>
        <v>2011</v>
      </c>
      <c r="I613" t="str">
        <f>_xlfn.XLOOKUP(Sheet1[[#This Row],[day_id]],calendar!A248,calendar!J248)</f>
        <v>No Event</v>
      </c>
      <c r="J613" t="str">
        <f>_xlfn.XLOOKUP(Sheet1[[#This Row],[day_id]],calendar!A248,calendar!K248)</f>
        <v>No Event Type</v>
      </c>
      <c r="K613">
        <f>_xlfn.XLOOKUP(Sheet1[[#This Row],[day_id]],calendar!A248,calendar!I248)</f>
        <v>1</v>
      </c>
    </row>
    <row r="614" spans="1:11" x14ac:dyDescent="0.2">
      <c r="A614" t="s">
        <v>370</v>
      </c>
      <c r="B614" t="s">
        <v>369</v>
      </c>
      <c r="C614" t="s">
        <v>249</v>
      </c>
      <c r="D614">
        <v>20</v>
      </c>
      <c r="E614" s="1">
        <f>_xlfn.XLOOKUP(Sheet1[[#This Row],[day_id]],calendar!A249,calendar!B249)</f>
        <v>40819</v>
      </c>
      <c r="F614" t="str">
        <f>_xlfn.XLOOKUP(Sheet1[[#This Row],[day_id]],calendar!A249,calendar!C249)</f>
        <v>Monday</v>
      </c>
      <c r="G614">
        <f>_xlfn.XLOOKUP(Sheet1[[#This Row],[day_id]],calendar!A249,calendar!E249)</f>
        <v>10</v>
      </c>
      <c r="H614">
        <f>_xlfn.XLOOKUP(Sheet1[[#This Row],[day_id]],calendar!A249,calendar!F249)</f>
        <v>2011</v>
      </c>
      <c r="I614" t="str">
        <f>_xlfn.XLOOKUP(Sheet1[[#This Row],[day_id]],calendar!A249,calendar!J249)</f>
        <v>No Event</v>
      </c>
      <c r="J614" t="str">
        <f>_xlfn.XLOOKUP(Sheet1[[#This Row],[day_id]],calendar!A249,calendar!K249)</f>
        <v>No Event Type</v>
      </c>
      <c r="K614">
        <f>_xlfn.XLOOKUP(Sheet1[[#This Row],[day_id]],calendar!A249,calendar!I249)</f>
        <v>1</v>
      </c>
    </row>
    <row r="615" spans="1:11" x14ac:dyDescent="0.2">
      <c r="A615" t="s">
        <v>370</v>
      </c>
      <c r="B615" t="s">
        <v>369</v>
      </c>
      <c r="C615" t="s">
        <v>250</v>
      </c>
      <c r="D615">
        <v>16</v>
      </c>
      <c r="E615" s="1">
        <f>_xlfn.XLOOKUP(Sheet1[[#This Row],[day_id]],calendar!A250,calendar!B250)</f>
        <v>40820</v>
      </c>
      <c r="F615" t="str">
        <f>_xlfn.XLOOKUP(Sheet1[[#This Row],[day_id]],calendar!A250,calendar!C250)</f>
        <v>Tuesday</v>
      </c>
      <c r="G615">
        <f>_xlfn.XLOOKUP(Sheet1[[#This Row],[day_id]],calendar!A250,calendar!E250)</f>
        <v>10</v>
      </c>
      <c r="H615">
        <f>_xlfn.XLOOKUP(Sheet1[[#This Row],[day_id]],calendar!A250,calendar!F250)</f>
        <v>2011</v>
      </c>
      <c r="I615" t="str">
        <f>_xlfn.XLOOKUP(Sheet1[[#This Row],[day_id]],calendar!A250,calendar!J250)</f>
        <v>No Event</v>
      </c>
      <c r="J615" t="str">
        <f>_xlfn.XLOOKUP(Sheet1[[#This Row],[day_id]],calendar!A250,calendar!K250)</f>
        <v>No Event Type</v>
      </c>
      <c r="K615">
        <f>_xlfn.XLOOKUP(Sheet1[[#This Row],[day_id]],calendar!A250,calendar!I250)</f>
        <v>1</v>
      </c>
    </row>
    <row r="616" spans="1:11" x14ac:dyDescent="0.2">
      <c r="A616" t="s">
        <v>370</v>
      </c>
      <c r="B616" t="s">
        <v>369</v>
      </c>
      <c r="C616" t="s">
        <v>251</v>
      </c>
      <c r="D616">
        <v>15</v>
      </c>
      <c r="E616" s="1">
        <f>_xlfn.XLOOKUP(Sheet1[[#This Row],[day_id]],calendar!A251,calendar!B251)</f>
        <v>40821</v>
      </c>
      <c r="F616" t="str">
        <f>_xlfn.XLOOKUP(Sheet1[[#This Row],[day_id]],calendar!A251,calendar!C251)</f>
        <v>Wednesday</v>
      </c>
      <c r="G616">
        <f>_xlfn.XLOOKUP(Sheet1[[#This Row],[day_id]],calendar!A251,calendar!E251)</f>
        <v>10</v>
      </c>
      <c r="H616">
        <f>_xlfn.XLOOKUP(Sheet1[[#This Row],[day_id]],calendar!A251,calendar!F251)</f>
        <v>2011</v>
      </c>
      <c r="I616" t="str">
        <f>_xlfn.XLOOKUP(Sheet1[[#This Row],[day_id]],calendar!A251,calendar!J251)</f>
        <v>No Event</v>
      </c>
      <c r="J616" t="str">
        <f>_xlfn.XLOOKUP(Sheet1[[#This Row],[day_id]],calendar!A251,calendar!K251)</f>
        <v>No Event Type</v>
      </c>
      <c r="K616">
        <f>_xlfn.XLOOKUP(Sheet1[[#This Row],[day_id]],calendar!A251,calendar!I251)</f>
        <v>1</v>
      </c>
    </row>
    <row r="617" spans="1:11" x14ac:dyDescent="0.2">
      <c r="A617" t="s">
        <v>370</v>
      </c>
      <c r="B617" t="s">
        <v>369</v>
      </c>
      <c r="C617" t="s">
        <v>252</v>
      </c>
      <c r="D617">
        <v>17</v>
      </c>
      <c r="E617" s="1">
        <f>_xlfn.XLOOKUP(Sheet1[[#This Row],[day_id]],calendar!A252,calendar!B252)</f>
        <v>40822</v>
      </c>
      <c r="F617" t="str">
        <f>_xlfn.XLOOKUP(Sheet1[[#This Row],[day_id]],calendar!A252,calendar!C252)</f>
        <v>Thursday</v>
      </c>
      <c r="G617">
        <f>_xlfn.XLOOKUP(Sheet1[[#This Row],[day_id]],calendar!A252,calendar!E252)</f>
        <v>10</v>
      </c>
      <c r="H617">
        <f>_xlfn.XLOOKUP(Sheet1[[#This Row],[day_id]],calendar!A252,calendar!F252)</f>
        <v>2011</v>
      </c>
      <c r="I617" t="str">
        <f>_xlfn.XLOOKUP(Sheet1[[#This Row],[day_id]],calendar!A252,calendar!J252)</f>
        <v>No Event</v>
      </c>
      <c r="J617" t="str">
        <f>_xlfn.XLOOKUP(Sheet1[[#This Row],[day_id]],calendar!A252,calendar!K252)</f>
        <v>No Event Type</v>
      </c>
      <c r="K617">
        <f>_xlfn.XLOOKUP(Sheet1[[#This Row],[day_id]],calendar!A252,calendar!I252)</f>
        <v>1</v>
      </c>
    </row>
    <row r="618" spans="1:11" x14ac:dyDescent="0.2">
      <c r="A618" t="s">
        <v>370</v>
      </c>
      <c r="B618" t="s">
        <v>369</v>
      </c>
      <c r="C618" t="s">
        <v>253</v>
      </c>
      <c r="D618">
        <v>14</v>
      </c>
      <c r="E618" s="1">
        <f>_xlfn.XLOOKUP(Sheet1[[#This Row],[day_id]],calendar!A253,calendar!B253)</f>
        <v>40823</v>
      </c>
      <c r="F618" t="str">
        <f>_xlfn.XLOOKUP(Sheet1[[#This Row],[day_id]],calendar!A253,calendar!C253)</f>
        <v>Friday</v>
      </c>
      <c r="G618">
        <f>_xlfn.XLOOKUP(Sheet1[[#This Row],[day_id]],calendar!A253,calendar!E253)</f>
        <v>10</v>
      </c>
      <c r="H618">
        <f>_xlfn.XLOOKUP(Sheet1[[#This Row],[day_id]],calendar!A253,calendar!F253)</f>
        <v>2011</v>
      </c>
      <c r="I618" t="str">
        <f>_xlfn.XLOOKUP(Sheet1[[#This Row],[day_id]],calendar!A253,calendar!J253)</f>
        <v>No Event</v>
      </c>
      <c r="J618" t="str">
        <f>_xlfn.XLOOKUP(Sheet1[[#This Row],[day_id]],calendar!A253,calendar!K253)</f>
        <v>No Event Type</v>
      </c>
      <c r="K618">
        <f>_xlfn.XLOOKUP(Sheet1[[#This Row],[day_id]],calendar!A253,calendar!I253)</f>
        <v>1</v>
      </c>
    </row>
    <row r="619" spans="1:11" x14ac:dyDescent="0.2">
      <c r="A619" t="s">
        <v>370</v>
      </c>
      <c r="B619" t="s">
        <v>369</v>
      </c>
      <c r="C619" t="s">
        <v>254</v>
      </c>
      <c r="D619">
        <v>20</v>
      </c>
      <c r="E619" s="1">
        <f>_xlfn.XLOOKUP(Sheet1[[#This Row],[day_id]],calendar!A254,calendar!B254)</f>
        <v>40824</v>
      </c>
      <c r="F619" t="str">
        <f>_xlfn.XLOOKUP(Sheet1[[#This Row],[day_id]],calendar!A254,calendar!C254)</f>
        <v>Saturday</v>
      </c>
      <c r="G619">
        <f>_xlfn.XLOOKUP(Sheet1[[#This Row],[day_id]],calendar!A254,calendar!E254)</f>
        <v>10</v>
      </c>
      <c r="H619">
        <f>_xlfn.XLOOKUP(Sheet1[[#This Row],[day_id]],calendar!A254,calendar!F254)</f>
        <v>2011</v>
      </c>
      <c r="I619" t="str">
        <f>_xlfn.XLOOKUP(Sheet1[[#This Row],[day_id]],calendar!A254,calendar!J254)</f>
        <v>No Event</v>
      </c>
      <c r="J619" t="str">
        <f>_xlfn.XLOOKUP(Sheet1[[#This Row],[day_id]],calendar!A254,calendar!K254)</f>
        <v>No Event Type</v>
      </c>
      <c r="K619">
        <f>_xlfn.XLOOKUP(Sheet1[[#This Row],[day_id]],calendar!A254,calendar!I254)</f>
        <v>1</v>
      </c>
    </row>
    <row r="620" spans="1:11" x14ac:dyDescent="0.2">
      <c r="A620" t="s">
        <v>370</v>
      </c>
      <c r="B620" t="s">
        <v>369</v>
      </c>
      <c r="C620" t="s">
        <v>255</v>
      </c>
      <c r="D620">
        <v>13</v>
      </c>
      <c r="E620" s="1">
        <f>_xlfn.XLOOKUP(Sheet1[[#This Row],[day_id]],calendar!A255,calendar!B255)</f>
        <v>40825</v>
      </c>
      <c r="F620" t="str">
        <f>_xlfn.XLOOKUP(Sheet1[[#This Row],[day_id]],calendar!A255,calendar!C255)</f>
        <v>Sunday</v>
      </c>
      <c r="G620">
        <f>_xlfn.XLOOKUP(Sheet1[[#This Row],[day_id]],calendar!A255,calendar!E255)</f>
        <v>10</v>
      </c>
      <c r="H620">
        <f>_xlfn.XLOOKUP(Sheet1[[#This Row],[day_id]],calendar!A255,calendar!F255)</f>
        <v>2011</v>
      </c>
      <c r="I620" t="str">
        <f>_xlfn.XLOOKUP(Sheet1[[#This Row],[day_id]],calendar!A255,calendar!J255)</f>
        <v>No Event</v>
      </c>
      <c r="J620" t="str">
        <f>_xlfn.XLOOKUP(Sheet1[[#This Row],[day_id]],calendar!A255,calendar!K255)</f>
        <v>No Event Type</v>
      </c>
      <c r="K620">
        <f>_xlfn.XLOOKUP(Sheet1[[#This Row],[day_id]],calendar!A255,calendar!I255)</f>
        <v>1</v>
      </c>
    </row>
    <row r="621" spans="1:11" x14ac:dyDescent="0.2">
      <c r="A621" t="s">
        <v>370</v>
      </c>
      <c r="B621" t="s">
        <v>369</v>
      </c>
      <c r="C621" t="s">
        <v>256</v>
      </c>
      <c r="D621">
        <v>3</v>
      </c>
      <c r="E621" s="1">
        <f>_xlfn.XLOOKUP(Sheet1[[#This Row],[day_id]],calendar!A256,calendar!B256)</f>
        <v>40826</v>
      </c>
      <c r="F621" t="str">
        <f>_xlfn.XLOOKUP(Sheet1[[#This Row],[day_id]],calendar!A256,calendar!C256)</f>
        <v>Monday</v>
      </c>
      <c r="G621">
        <f>_xlfn.XLOOKUP(Sheet1[[#This Row],[day_id]],calendar!A256,calendar!E256)</f>
        <v>10</v>
      </c>
      <c r="H621">
        <f>_xlfn.XLOOKUP(Sheet1[[#This Row],[day_id]],calendar!A256,calendar!F256)</f>
        <v>2011</v>
      </c>
      <c r="I621" t="str">
        <f>_xlfn.XLOOKUP(Sheet1[[#This Row],[day_id]],calendar!A256,calendar!J256)</f>
        <v>ColumbusDay</v>
      </c>
      <c r="J621" t="str">
        <f>_xlfn.XLOOKUP(Sheet1[[#This Row],[day_id]],calendar!A256,calendar!K256)</f>
        <v>National</v>
      </c>
      <c r="K621">
        <f>_xlfn.XLOOKUP(Sheet1[[#This Row],[day_id]],calendar!A256,calendar!I256)</f>
        <v>1</v>
      </c>
    </row>
    <row r="622" spans="1:11" x14ac:dyDescent="0.2">
      <c r="A622" t="s">
        <v>370</v>
      </c>
      <c r="B622" t="s">
        <v>369</v>
      </c>
      <c r="C622" t="s">
        <v>257</v>
      </c>
      <c r="D622">
        <v>19</v>
      </c>
      <c r="E622" s="1">
        <f>_xlfn.XLOOKUP(Sheet1[[#This Row],[day_id]],calendar!A257,calendar!B257)</f>
        <v>40827</v>
      </c>
      <c r="F622" t="str">
        <f>_xlfn.XLOOKUP(Sheet1[[#This Row],[day_id]],calendar!A257,calendar!C257)</f>
        <v>Tuesday</v>
      </c>
      <c r="G622">
        <f>_xlfn.XLOOKUP(Sheet1[[#This Row],[day_id]],calendar!A257,calendar!E257)</f>
        <v>10</v>
      </c>
      <c r="H622">
        <f>_xlfn.XLOOKUP(Sheet1[[#This Row],[day_id]],calendar!A257,calendar!F257)</f>
        <v>2011</v>
      </c>
      <c r="I622" t="str">
        <f>_xlfn.XLOOKUP(Sheet1[[#This Row],[day_id]],calendar!A257,calendar!J257)</f>
        <v>No Event</v>
      </c>
      <c r="J622" t="str">
        <f>_xlfn.XLOOKUP(Sheet1[[#This Row],[day_id]],calendar!A257,calendar!K257)</f>
        <v>No Event Type</v>
      </c>
      <c r="K622">
        <f>_xlfn.XLOOKUP(Sheet1[[#This Row],[day_id]],calendar!A257,calendar!I257)</f>
        <v>0</v>
      </c>
    </row>
    <row r="623" spans="1:11" x14ac:dyDescent="0.2">
      <c r="A623" t="s">
        <v>370</v>
      </c>
      <c r="B623" t="s">
        <v>369</v>
      </c>
      <c r="C623" t="s">
        <v>258</v>
      </c>
      <c r="D623">
        <v>11</v>
      </c>
      <c r="E623" s="1">
        <f>_xlfn.XLOOKUP(Sheet1[[#This Row],[day_id]],calendar!A258,calendar!B258)</f>
        <v>40828</v>
      </c>
      <c r="F623" t="str">
        <f>_xlfn.XLOOKUP(Sheet1[[#This Row],[day_id]],calendar!A258,calendar!C258)</f>
        <v>Wednesday</v>
      </c>
      <c r="G623">
        <f>_xlfn.XLOOKUP(Sheet1[[#This Row],[day_id]],calendar!A258,calendar!E258)</f>
        <v>10</v>
      </c>
      <c r="H623">
        <f>_xlfn.XLOOKUP(Sheet1[[#This Row],[day_id]],calendar!A258,calendar!F258)</f>
        <v>2011</v>
      </c>
      <c r="I623" t="str">
        <f>_xlfn.XLOOKUP(Sheet1[[#This Row],[day_id]],calendar!A258,calendar!J258)</f>
        <v>No Event</v>
      </c>
      <c r="J623" t="str">
        <f>_xlfn.XLOOKUP(Sheet1[[#This Row],[day_id]],calendar!A258,calendar!K258)</f>
        <v>No Event Type</v>
      </c>
      <c r="K623">
        <f>_xlfn.XLOOKUP(Sheet1[[#This Row],[day_id]],calendar!A258,calendar!I258)</f>
        <v>0</v>
      </c>
    </row>
    <row r="624" spans="1:11" x14ac:dyDescent="0.2">
      <c r="A624" t="s">
        <v>370</v>
      </c>
      <c r="B624" t="s">
        <v>369</v>
      </c>
      <c r="C624" t="s">
        <v>259</v>
      </c>
      <c r="D624">
        <v>2</v>
      </c>
      <c r="E624" s="1">
        <f>_xlfn.XLOOKUP(Sheet1[[#This Row],[day_id]],calendar!A259,calendar!B259)</f>
        <v>40829</v>
      </c>
      <c r="F624" t="str">
        <f>_xlfn.XLOOKUP(Sheet1[[#This Row],[day_id]],calendar!A259,calendar!C259)</f>
        <v>Thursday</v>
      </c>
      <c r="G624">
        <f>_xlfn.XLOOKUP(Sheet1[[#This Row],[day_id]],calendar!A259,calendar!E259)</f>
        <v>10</v>
      </c>
      <c r="H624">
        <f>_xlfn.XLOOKUP(Sheet1[[#This Row],[day_id]],calendar!A259,calendar!F259)</f>
        <v>2011</v>
      </c>
      <c r="I624" t="str">
        <f>_xlfn.XLOOKUP(Sheet1[[#This Row],[day_id]],calendar!A259,calendar!J259)</f>
        <v>No Event</v>
      </c>
      <c r="J624" t="str">
        <f>_xlfn.XLOOKUP(Sheet1[[#This Row],[day_id]],calendar!A259,calendar!K259)</f>
        <v>No Event Type</v>
      </c>
      <c r="K624">
        <f>_xlfn.XLOOKUP(Sheet1[[#This Row],[day_id]],calendar!A259,calendar!I259)</f>
        <v>0</v>
      </c>
    </row>
    <row r="625" spans="1:11" x14ac:dyDescent="0.2">
      <c r="A625" t="s">
        <v>370</v>
      </c>
      <c r="B625" t="s">
        <v>369</v>
      </c>
      <c r="C625" t="s">
        <v>260</v>
      </c>
      <c r="D625">
        <v>20</v>
      </c>
      <c r="E625" s="1">
        <f>_xlfn.XLOOKUP(Sheet1[[#This Row],[day_id]],calendar!A260,calendar!B260)</f>
        <v>40830</v>
      </c>
      <c r="F625" t="str">
        <f>_xlfn.XLOOKUP(Sheet1[[#This Row],[day_id]],calendar!A260,calendar!C260)</f>
        <v>Friday</v>
      </c>
      <c r="G625">
        <f>_xlfn.XLOOKUP(Sheet1[[#This Row],[day_id]],calendar!A260,calendar!E260)</f>
        <v>10</v>
      </c>
      <c r="H625">
        <f>_xlfn.XLOOKUP(Sheet1[[#This Row],[day_id]],calendar!A260,calendar!F260)</f>
        <v>2011</v>
      </c>
      <c r="I625" t="str">
        <f>_xlfn.XLOOKUP(Sheet1[[#This Row],[day_id]],calendar!A260,calendar!J260)</f>
        <v>No Event</v>
      </c>
      <c r="J625" t="str">
        <f>_xlfn.XLOOKUP(Sheet1[[#This Row],[day_id]],calendar!A260,calendar!K260)</f>
        <v>No Event Type</v>
      </c>
      <c r="K625">
        <f>_xlfn.XLOOKUP(Sheet1[[#This Row],[day_id]],calendar!A260,calendar!I260)</f>
        <v>0</v>
      </c>
    </row>
    <row r="626" spans="1:11" x14ac:dyDescent="0.2">
      <c r="A626" t="s">
        <v>370</v>
      </c>
      <c r="B626" t="s">
        <v>369</v>
      </c>
      <c r="C626" t="s">
        <v>261</v>
      </c>
      <c r="D626">
        <v>11</v>
      </c>
      <c r="E626" s="1">
        <f>_xlfn.XLOOKUP(Sheet1[[#This Row],[day_id]],calendar!A261,calendar!B261)</f>
        <v>40831</v>
      </c>
      <c r="F626" t="str">
        <f>_xlfn.XLOOKUP(Sheet1[[#This Row],[day_id]],calendar!A261,calendar!C261)</f>
        <v>Saturday</v>
      </c>
      <c r="G626">
        <f>_xlfn.XLOOKUP(Sheet1[[#This Row],[day_id]],calendar!A261,calendar!E261)</f>
        <v>10</v>
      </c>
      <c r="H626">
        <f>_xlfn.XLOOKUP(Sheet1[[#This Row],[day_id]],calendar!A261,calendar!F261)</f>
        <v>2011</v>
      </c>
      <c r="I626" t="str">
        <f>_xlfn.XLOOKUP(Sheet1[[#This Row],[day_id]],calendar!A261,calendar!J261)</f>
        <v>No Event</v>
      </c>
      <c r="J626" t="str">
        <f>_xlfn.XLOOKUP(Sheet1[[#This Row],[day_id]],calendar!A261,calendar!K261)</f>
        <v>No Event Type</v>
      </c>
      <c r="K626">
        <f>_xlfn.XLOOKUP(Sheet1[[#This Row],[day_id]],calendar!A261,calendar!I261)</f>
        <v>0</v>
      </c>
    </row>
    <row r="627" spans="1:11" x14ac:dyDescent="0.2">
      <c r="A627" t="s">
        <v>370</v>
      </c>
      <c r="B627" t="s">
        <v>369</v>
      </c>
      <c r="C627" t="s">
        <v>262</v>
      </c>
      <c r="D627">
        <v>15</v>
      </c>
      <c r="E627" s="1">
        <f>_xlfn.XLOOKUP(Sheet1[[#This Row],[day_id]],calendar!A262,calendar!B262)</f>
        <v>40832</v>
      </c>
      <c r="F627" t="str">
        <f>_xlfn.XLOOKUP(Sheet1[[#This Row],[day_id]],calendar!A262,calendar!C262)</f>
        <v>Sunday</v>
      </c>
      <c r="G627">
        <f>_xlfn.XLOOKUP(Sheet1[[#This Row],[day_id]],calendar!A262,calendar!E262)</f>
        <v>10</v>
      </c>
      <c r="H627">
        <f>_xlfn.XLOOKUP(Sheet1[[#This Row],[day_id]],calendar!A262,calendar!F262)</f>
        <v>2011</v>
      </c>
      <c r="I627" t="str">
        <f>_xlfn.XLOOKUP(Sheet1[[#This Row],[day_id]],calendar!A262,calendar!J262)</f>
        <v>No Event</v>
      </c>
      <c r="J627" t="str">
        <f>_xlfn.XLOOKUP(Sheet1[[#This Row],[day_id]],calendar!A262,calendar!K262)</f>
        <v>No Event Type</v>
      </c>
      <c r="K627">
        <f>_xlfn.XLOOKUP(Sheet1[[#This Row],[day_id]],calendar!A262,calendar!I262)</f>
        <v>0</v>
      </c>
    </row>
    <row r="628" spans="1:11" x14ac:dyDescent="0.2">
      <c r="A628" t="s">
        <v>370</v>
      </c>
      <c r="B628" t="s">
        <v>369</v>
      </c>
      <c r="C628" t="s">
        <v>263</v>
      </c>
      <c r="D628">
        <v>11</v>
      </c>
      <c r="E628" s="1">
        <f>_xlfn.XLOOKUP(Sheet1[[#This Row],[day_id]],calendar!A263,calendar!B263)</f>
        <v>40833</v>
      </c>
      <c r="F628" t="str">
        <f>_xlfn.XLOOKUP(Sheet1[[#This Row],[day_id]],calendar!A263,calendar!C263)</f>
        <v>Monday</v>
      </c>
      <c r="G628">
        <f>_xlfn.XLOOKUP(Sheet1[[#This Row],[day_id]],calendar!A263,calendar!E263)</f>
        <v>10</v>
      </c>
      <c r="H628">
        <f>_xlfn.XLOOKUP(Sheet1[[#This Row],[day_id]],calendar!A263,calendar!F263)</f>
        <v>2011</v>
      </c>
      <c r="I628" t="str">
        <f>_xlfn.XLOOKUP(Sheet1[[#This Row],[day_id]],calendar!A263,calendar!J263)</f>
        <v>No Event</v>
      </c>
      <c r="J628" t="str">
        <f>_xlfn.XLOOKUP(Sheet1[[#This Row],[day_id]],calendar!A263,calendar!K263)</f>
        <v>No Event Type</v>
      </c>
      <c r="K628">
        <f>_xlfn.XLOOKUP(Sheet1[[#This Row],[day_id]],calendar!A263,calendar!I263)</f>
        <v>0</v>
      </c>
    </row>
    <row r="629" spans="1:11" x14ac:dyDescent="0.2">
      <c r="A629" t="s">
        <v>370</v>
      </c>
      <c r="B629" t="s">
        <v>369</v>
      </c>
      <c r="C629" t="s">
        <v>264</v>
      </c>
      <c r="D629">
        <v>20</v>
      </c>
      <c r="E629" s="1">
        <f>_xlfn.XLOOKUP(Sheet1[[#This Row],[day_id]],calendar!A264,calendar!B264)</f>
        <v>40834</v>
      </c>
      <c r="F629" t="str">
        <f>_xlfn.XLOOKUP(Sheet1[[#This Row],[day_id]],calendar!A264,calendar!C264)</f>
        <v>Tuesday</v>
      </c>
      <c r="G629">
        <f>_xlfn.XLOOKUP(Sheet1[[#This Row],[day_id]],calendar!A264,calendar!E264)</f>
        <v>10</v>
      </c>
      <c r="H629">
        <f>_xlfn.XLOOKUP(Sheet1[[#This Row],[day_id]],calendar!A264,calendar!F264)</f>
        <v>2011</v>
      </c>
      <c r="I629" t="str">
        <f>_xlfn.XLOOKUP(Sheet1[[#This Row],[day_id]],calendar!A264,calendar!J264)</f>
        <v>No Event</v>
      </c>
      <c r="J629" t="str">
        <f>_xlfn.XLOOKUP(Sheet1[[#This Row],[day_id]],calendar!A264,calendar!K264)</f>
        <v>No Event Type</v>
      </c>
      <c r="K629">
        <f>_xlfn.XLOOKUP(Sheet1[[#This Row],[day_id]],calendar!A264,calendar!I264)</f>
        <v>0</v>
      </c>
    </row>
    <row r="630" spans="1:11" x14ac:dyDescent="0.2">
      <c r="A630" t="s">
        <v>370</v>
      </c>
      <c r="B630" t="s">
        <v>369</v>
      </c>
      <c r="C630" t="s">
        <v>265</v>
      </c>
      <c r="D630">
        <v>7</v>
      </c>
      <c r="E630" s="1">
        <f>_xlfn.XLOOKUP(Sheet1[[#This Row],[day_id]],calendar!A265,calendar!B265)</f>
        <v>40835</v>
      </c>
      <c r="F630" t="str">
        <f>_xlfn.XLOOKUP(Sheet1[[#This Row],[day_id]],calendar!A265,calendar!C265)</f>
        <v>Wednesday</v>
      </c>
      <c r="G630">
        <f>_xlfn.XLOOKUP(Sheet1[[#This Row],[day_id]],calendar!A265,calendar!E265)</f>
        <v>10</v>
      </c>
      <c r="H630">
        <f>_xlfn.XLOOKUP(Sheet1[[#This Row],[day_id]],calendar!A265,calendar!F265)</f>
        <v>2011</v>
      </c>
      <c r="I630" t="str">
        <f>_xlfn.XLOOKUP(Sheet1[[#This Row],[day_id]],calendar!A265,calendar!J265)</f>
        <v>No Event</v>
      </c>
      <c r="J630" t="str">
        <f>_xlfn.XLOOKUP(Sheet1[[#This Row],[day_id]],calendar!A265,calendar!K265)</f>
        <v>No Event Type</v>
      </c>
      <c r="K630">
        <f>_xlfn.XLOOKUP(Sheet1[[#This Row],[day_id]],calendar!A265,calendar!I265)</f>
        <v>0</v>
      </c>
    </row>
    <row r="631" spans="1:11" x14ac:dyDescent="0.2">
      <c r="A631" t="s">
        <v>370</v>
      </c>
      <c r="B631" t="s">
        <v>369</v>
      </c>
      <c r="C631" t="s">
        <v>266</v>
      </c>
      <c r="D631">
        <v>6</v>
      </c>
      <c r="E631" s="1">
        <f>_xlfn.XLOOKUP(Sheet1[[#This Row],[day_id]],calendar!A266,calendar!B266)</f>
        <v>40836</v>
      </c>
      <c r="F631" t="str">
        <f>_xlfn.XLOOKUP(Sheet1[[#This Row],[day_id]],calendar!A266,calendar!C266)</f>
        <v>Thursday</v>
      </c>
      <c r="G631">
        <f>_xlfn.XLOOKUP(Sheet1[[#This Row],[day_id]],calendar!A266,calendar!E266)</f>
        <v>10</v>
      </c>
      <c r="H631">
        <f>_xlfn.XLOOKUP(Sheet1[[#This Row],[day_id]],calendar!A266,calendar!F266)</f>
        <v>2011</v>
      </c>
      <c r="I631" t="str">
        <f>_xlfn.XLOOKUP(Sheet1[[#This Row],[day_id]],calendar!A266,calendar!J266)</f>
        <v>No Event</v>
      </c>
      <c r="J631" t="str">
        <f>_xlfn.XLOOKUP(Sheet1[[#This Row],[day_id]],calendar!A266,calendar!K266)</f>
        <v>No Event Type</v>
      </c>
      <c r="K631">
        <f>_xlfn.XLOOKUP(Sheet1[[#This Row],[day_id]],calendar!A266,calendar!I266)</f>
        <v>0</v>
      </c>
    </row>
    <row r="632" spans="1:11" x14ac:dyDescent="0.2">
      <c r="A632" t="s">
        <v>370</v>
      </c>
      <c r="B632" t="s">
        <v>369</v>
      </c>
      <c r="C632" t="s">
        <v>267</v>
      </c>
      <c r="D632">
        <v>7</v>
      </c>
      <c r="E632" s="1">
        <f>_xlfn.XLOOKUP(Sheet1[[#This Row],[day_id]],calendar!A267,calendar!B267)</f>
        <v>40837</v>
      </c>
      <c r="F632" t="str">
        <f>_xlfn.XLOOKUP(Sheet1[[#This Row],[day_id]],calendar!A267,calendar!C267)</f>
        <v>Friday</v>
      </c>
      <c r="G632">
        <f>_xlfn.XLOOKUP(Sheet1[[#This Row],[day_id]],calendar!A267,calendar!E267)</f>
        <v>10</v>
      </c>
      <c r="H632">
        <f>_xlfn.XLOOKUP(Sheet1[[#This Row],[day_id]],calendar!A267,calendar!F267)</f>
        <v>2011</v>
      </c>
      <c r="I632" t="str">
        <f>_xlfn.XLOOKUP(Sheet1[[#This Row],[day_id]],calendar!A267,calendar!J267)</f>
        <v>No Event</v>
      </c>
      <c r="J632" t="str">
        <f>_xlfn.XLOOKUP(Sheet1[[#This Row],[day_id]],calendar!A267,calendar!K267)</f>
        <v>No Event Type</v>
      </c>
      <c r="K632">
        <f>_xlfn.XLOOKUP(Sheet1[[#This Row],[day_id]],calendar!A267,calendar!I267)</f>
        <v>0</v>
      </c>
    </row>
    <row r="633" spans="1:11" x14ac:dyDescent="0.2">
      <c r="A633" t="s">
        <v>370</v>
      </c>
      <c r="B633" t="s">
        <v>369</v>
      </c>
      <c r="C633" t="s">
        <v>268</v>
      </c>
      <c r="D633">
        <v>14</v>
      </c>
      <c r="E633" s="1">
        <f>_xlfn.XLOOKUP(Sheet1[[#This Row],[day_id]],calendar!A268,calendar!B268)</f>
        <v>40838</v>
      </c>
      <c r="F633" t="str">
        <f>_xlfn.XLOOKUP(Sheet1[[#This Row],[day_id]],calendar!A268,calendar!C268)</f>
        <v>Saturday</v>
      </c>
      <c r="G633">
        <f>_xlfn.XLOOKUP(Sheet1[[#This Row],[day_id]],calendar!A268,calendar!E268)</f>
        <v>10</v>
      </c>
      <c r="H633">
        <f>_xlfn.XLOOKUP(Sheet1[[#This Row],[day_id]],calendar!A268,calendar!F268)</f>
        <v>2011</v>
      </c>
      <c r="I633" t="str">
        <f>_xlfn.XLOOKUP(Sheet1[[#This Row],[day_id]],calendar!A268,calendar!J268)</f>
        <v>No Event</v>
      </c>
      <c r="J633" t="str">
        <f>_xlfn.XLOOKUP(Sheet1[[#This Row],[day_id]],calendar!A268,calendar!K268)</f>
        <v>No Event Type</v>
      </c>
      <c r="K633">
        <f>_xlfn.XLOOKUP(Sheet1[[#This Row],[day_id]],calendar!A268,calendar!I268)</f>
        <v>0</v>
      </c>
    </row>
    <row r="634" spans="1:11" x14ac:dyDescent="0.2">
      <c r="A634" t="s">
        <v>370</v>
      </c>
      <c r="B634" t="s">
        <v>369</v>
      </c>
      <c r="C634" t="s">
        <v>269</v>
      </c>
      <c r="D634">
        <v>14</v>
      </c>
      <c r="E634" s="1">
        <f>_xlfn.XLOOKUP(Sheet1[[#This Row],[day_id]],calendar!A269,calendar!B269)</f>
        <v>40839</v>
      </c>
      <c r="F634" t="str">
        <f>_xlfn.XLOOKUP(Sheet1[[#This Row],[day_id]],calendar!A269,calendar!C269)</f>
        <v>Sunday</v>
      </c>
      <c r="G634">
        <f>_xlfn.XLOOKUP(Sheet1[[#This Row],[day_id]],calendar!A269,calendar!E269)</f>
        <v>10</v>
      </c>
      <c r="H634">
        <f>_xlfn.XLOOKUP(Sheet1[[#This Row],[day_id]],calendar!A269,calendar!F269)</f>
        <v>2011</v>
      </c>
      <c r="I634" t="str">
        <f>_xlfn.XLOOKUP(Sheet1[[#This Row],[day_id]],calendar!A269,calendar!J269)</f>
        <v>No Event</v>
      </c>
      <c r="J634" t="str">
        <f>_xlfn.XLOOKUP(Sheet1[[#This Row],[day_id]],calendar!A269,calendar!K269)</f>
        <v>No Event Type</v>
      </c>
      <c r="K634">
        <f>_xlfn.XLOOKUP(Sheet1[[#This Row],[day_id]],calendar!A269,calendar!I269)</f>
        <v>0</v>
      </c>
    </row>
    <row r="635" spans="1:11" x14ac:dyDescent="0.2">
      <c r="A635" t="s">
        <v>370</v>
      </c>
      <c r="B635" t="s">
        <v>369</v>
      </c>
      <c r="C635" t="s">
        <v>270</v>
      </c>
      <c r="D635">
        <v>3</v>
      </c>
      <c r="E635" s="1">
        <f>_xlfn.XLOOKUP(Sheet1[[#This Row],[day_id]],calendar!A270,calendar!B270)</f>
        <v>40840</v>
      </c>
      <c r="F635" t="str">
        <f>_xlfn.XLOOKUP(Sheet1[[#This Row],[day_id]],calendar!A270,calendar!C270)</f>
        <v>Monday</v>
      </c>
      <c r="G635">
        <f>_xlfn.XLOOKUP(Sheet1[[#This Row],[day_id]],calendar!A270,calendar!E270)</f>
        <v>10</v>
      </c>
      <c r="H635">
        <f>_xlfn.XLOOKUP(Sheet1[[#This Row],[day_id]],calendar!A270,calendar!F270)</f>
        <v>2011</v>
      </c>
      <c r="I635" t="str">
        <f>_xlfn.XLOOKUP(Sheet1[[#This Row],[day_id]],calendar!A270,calendar!J270)</f>
        <v>No Event</v>
      </c>
      <c r="J635" t="str">
        <f>_xlfn.XLOOKUP(Sheet1[[#This Row],[day_id]],calendar!A270,calendar!K270)</f>
        <v>No Event Type</v>
      </c>
      <c r="K635">
        <f>_xlfn.XLOOKUP(Sheet1[[#This Row],[day_id]],calendar!A270,calendar!I270)</f>
        <v>0</v>
      </c>
    </row>
    <row r="636" spans="1:11" x14ac:dyDescent="0.2">
      <c r="A636" t="s">
        <v>370</v>
      </c>
      <c r="B636" t="s">
        <v>369</v>
      </c>
      <c r="C636" t="s">
        <v>271</v>
      </c>
      <c r="D636">
        <v>2</v>
      </c>
      <c r="E636" s="1">
        <f>_xlfn.XLOOKUP(Sheet1[[#This Row],[day_id]],calendar!A271,calendar!B271)</f>
        <v>40841</v>
      </c>
      <c r="F636" t="str">
        <f>_xlfn.XLOOKUP(Sheet1[[#This Row],[day_id]],calendar!A271,calendar!C271)</f>
        <v>Tuesday</v>
      </c>
      <c r="G636">
        <f>_xlfn.XLOOKUP(Sheet1[[#This Row],[day_id]],calendar!A271,calendar!E271)</f>
        <v>10</v>
      </c>
      <c r="H636">
        <f>_xlfn.XLOOKUP(Sheet1[[#This Row],[day_id]],calendar!A271,calendar!F271)</f>
        <v>2011</v>
      </c>
      <c r="I636" t="str">
        <f>_xlfn.XLOOKUP(Sheet1[[#This Row],[day_id]],calendar!A271,calendar!J271)</f>
        <v>No Event</v>
      </c>
      <c r="J636" t="str">
        <f>_xlfn.XLOOKUP(Sheet1[[#This Row],[day_id]],calendar!A271,calendar!K271)</f>
        <v>No Event Type</v>
      </c>
      <c r="K636">
        <f>_xlfn.XLOOKUP(Sheet1[[#This Row],[day_id]],calendar!A271,calendar!I271)</f>
        <v>0</v>
      </c>
    </row>
    <row r="637" spans="1:11" x14ac:dyDescent="0.2">
      <c r="A637" t="s">
        <v>370</v>
      </c>
      <c r="B637" t="s">
        <v>369</v>
      </c>
      <c r="C637" t="s">
        <v>272</v>
      </c>
      <c r="D637">
        <v>10</v>
      </c>
      <c r="E637" s="1">
        <f>_xlfn.XLOOKUP(Sheet1[[#This Row],[day_id]],calendar!A272,calendar!B272)</f>
        <v>40842</v>
      </c>
      <c r="F637" t="str">
        <f>_xlfn.XLOOKUP(Sheet1[[#This Row],[day_id]],calendar!A272,calendar!C272)</f>
        <v>Wednesday</v>
      </c>
      <c r="G637">
        <f>_xlfn.XLOOKUP(Sheet1[[#This Row],[day_id]],calendar!A272,calendar!E272)</f>
        <v>10</v>
      </c>
      <c r="H637">
        <f>_xlfn.XLOOKUP(Sheet1[[#This Row],[day_id]],calendar!A272,calendar!F272)</f>
        <v>2011</v>
      </c>
      <c r="I637" t="str">
        <f>_xlfn.XLOOKUP(Sheet1[[#This Row],[day_id]],calendar!A272,calendar!J272)</f>
        <v>No Event</v>
      </c>
      <c r="J637" t="str">
        <f>_xlfn.XLOOKUP(Sheet1[[#This Row],[day_id]],calendar!A272,calendar!K272)</f>
        <v>No Event Type</v>
      </c>
      <c r="K637">
        <f>_xlfn.XLOOKUP(Sheet1[[#This Row],[day_id]],calendar!A272,calendar!I272)</f>
        <v>0</v>
      </c>
    </row>
    <row r="638" spans="1:11" x14ac:dyDescent="0.2">
      <c r="A638" t="s">
        <v>370</v>
      </c>
      <c r="B638" t="s">
        <v>369</v>
      </c>
      <c r="C638" t="s">
        <v>273</v>
      </c>
      <c r="D638">
        <v>2</v>
      </c>
      <c r="E638" s="1">
        <f>_xlfn.XLOOKUP(Sheet1[[#This Row],[day_id]],calendar!A273,calendar!B273)</f>
        <v>40843</v>
      </c>
      <c r="F638" t="str">
        <f>_xlfn.XLOOKUP(Sheet1[[#This Row],[day_id]],calendar!A273,calendar!C273)</f>
        <v>Thursday</v>
      </c>
      <c r="G638">
        <f>_xlfn.XLOOKUP(Sheet1[[#This Row],[day_id]],calendar!A273,calendar!E273)</f>
        <v>10</v>
      </c>
      <c r="H638">
        <f>_xlfn.XLOOKUP(Sheet1[[#This Row],[day_id]],calendar!A273,calendar!F273)</f>
        <v>2011</v>
      </c>
      <c r="I638" t="str">
        <f>_xlfn.XLOOKUP(Sheet1[[#This Row],[day_id]],calendar!A273,calendar!J273)</f>
        <v>No Event</v>
      </c>
      <c r="J638" t="str">
        <f>_xlfn.XLOOKUP(Sheet1[[#This Row],[day_id]],calendar!A273,calendar!K273)</f>
        <v>No Event Type</v>
      </c>
      <c r="K638">
        <f>_xlfn.XLOOKUP(Sheet1[[#This Row],[day_id]],calendar!A273,calendar!I273)</f>
        <v>0</v>
      </c>
    </row>
    <row r="639" spans="1:11" x14ac:dyDescent="0.2">
      <c r="A639" t="s">
        <v>370</v>
      </c>
      <c r="B639" t="s">
        <v>369</v>
      </c>
      <c r="C639" t="s">
        <v>274</v>
      </c>
      <c r="D639">
        <v>0</v>
      </c>
      <c r="E639" s="1">
        <f>_xlfn.XLOOKUP(Sheet1[[#This Row],[day_id]],calendar!A274,calendar!B274)</f>
        <v>40844</v>
      </c>
      <c r="F639" t="str">
        <f>_xlfn.XLOOKUP(Sheet1[[#This Row],[day_id]],calendar!A274,calendar!C274)</f>
        <v>Friday</v>
      </c>
      <c r="G639">
        <f>_xlfn.XLOOKUP(Sheet1[[#This Row],[day_id]],calendar!A274,calendar!E274)</f>
        <v>10</v>
      </c>
      <c r="H639">
        <f>_xlfn.XLOOKUP(Sheet1[[#This Row],[day_id]],calendar!A274,calendar!F274)</f>
        <v>2011</v>
      </c>
      <c r="I639" t="str">
        <f>_xlfn.XLOOKUP(Sheet1[[#This Row],[day_id]],calendar!A274,calendar!J274)</f>
        <v>No Event</v>
      </c>
      <c r="J639" t="str">
        <f>_xlfn.XLOOKUP(Sheet1[[#This Row],[day_id]],calendar!A274,calendar!K274)</f>
        <v>No Event Type</v>
      </c>
      <c r="K639">
        <f>_xlfn.XLOOKUP(Sheet1[[#This Row],[day_id]],calendar!A274,calendar!I274)</f>
        <v>0</v>
      </c>
    </row>
    <row r="640" spans="1:11" x14ac:dyDescent="0.2">
      <c r="A640" t="s">
        <v>370</v>
      </c>
      <c r="B640" t="s">
        <v>369</v>
      </c>
      <c r="C640" t="s">
        <v>275</v>
      </c>
      <c r="D640">
        <v>14</v>
      </c>
      <c r="E640" s="1">
        <f>_xlfn.XLOOKUP(Sheet1[[#This Row],[day_id]],calendar!A275,calendar!B275)</f>
        <v>40845</v>
      </c>
      <c r="F640" t="str">
        <f>_xlfn.XLOOKUP(Sheet1[[#This Row],[day_id]],calendar!A275,calendar!C275)</f>
        <v>Saturday</v>
      </c>
      <c r="G640">
        <f>_xlfn.XLOOKUP(Sheet1[[#This Row],[day_id]],calendar!A275,calendar!E275)</f>
        <v>10</v>
      </c>
      <c r="H640">
        <f>_xlfn.XLOOKUP(Sheet1[[#This Row],[day_id]],calendar!A275,calendar!F275)</f>
        <v>2011</v>
      </c>
      <c r="I640" t="str">
        <f>_xlfn.XLOOKUP(Sheet1[[#This Row],[day_id]],calendar!A275,calendar!J275)</f>
        <v>No Event</v>
      </c>
      <c r="J640" t="str">
        <f>_xlfn.XLOOKUP(Sheet1[[#This Row],[day_id]],calendar!A275,calendar!K275)</f>
        <v>No Event Type</v>
      </c>
      <c r="K640">
        <f>_xlfn.XLOOKUP(Sheet1[[#This Row],[day_id]],calendar!A275,calendar!I275)</f>
        <v>0</v>
      </c>
    </row>
    <row r="641" spans="1:11" x14ac:dyDescent="0.2">
      <c r="A641" t="s">
        <v>370</v>
      </c>
      <c r="B641" t="s">
        <v>369</v>
      </c>
      <c r="C641" t="s">
        <v>276</v>
      </c>
      <c r="D641">
        <v>11</v>
      </c>
      <c r="E641" s="1">
        <f>_xlfn.XLOOKUP(Sheet1[[#This Row],[day_id]],calendar!A276,calendar!B276)</f>
        <v>40846</v>
      </c>
      <c r="F641" t="str">
        <f>_xlfn.XLOOKUP(Sheet1[[#This Row],[day_id]],calendar!A276,calendar!C276)</f>
        <v>Sunday</v>
      </c>
      <c r="G641">
        <f>_xlfn.XLOOKUP(Sheet1[[#This Row],[day_id]],calendar!A276,calendar!E276)</f>
        <v>10</v>
      </c>
      <c r="H641">
        <f>_xlfn.XLOOKUP(Sheet1[[#This Row],[day_id]],calendar!A276,calendar!F276)</f>
        <v>2011</v>
      </c>
      <c r="I641" t="str">
        <f>_xlfn.XLOOKUP(Sheet1[[#This Row],[day_id]],calendar!A276,calendar!J276)</f>
        <v>No Event</v>
      </c>
      <c r="J641" t="str">
        <f>_xlfn.XLOOKUP(Sheet1[[#This Row],[day_id]],calendar!A276,calendar!K276)</f>
        <v>No Event Type</v>
      </c>
      <c r="K641">
        <f>_xlfn.XLOOKUP(Sheet1[[#This Row],[day_id]],calendar!A276,calendar!I276)</f>
        <v>0</v>
      </c>
    </row>
    <row r="642" spans="1:11" x14ac:dyDescent="0.2">
      <c r="A642" t="s">
        <v>370</v>
      </c>
      <c r="B642" t="s">
        <v>369</v>
      </c>
      <c r="C642" t="s">
        <v>277</v>
      </c>
      <c r="D642">
        <v>1</v>
      </c>
      <c r="E642" s="1">
        <f>_xlfn.XLOOKUP(Sheet1[[#This Row],[day_id]],calendar!A277,calendar!B277)</f>
        <v>40847</v>
      </c>
      <c r="F642" t="str">
        <f>_xlfn.XLOOKUP(Sheet1[[#This Row],[day_id]],calendar!A277,calendar!C277)</f>
        <v>Monday</v>
      </c>
      <c r="G642">
        <f>_xlfn.XLOOKUP(Sheet1[[#This Row],[day_id]],calendar!A277,calendar!E277)</f>
        <v>10</v>
      </c>
      <c r="H642">
        <f>_xlfn.XLOOKUP(Sheet1[[#This Row],[day_id]],calendar!A277,calendar!F277)</f>
        <v>2011</v>
      </c>
      <c r="I642" t="str">
        <f>_xlfn.XLOOKUP(Sheet1[[#This Row],[day_id]],calendar!A277,calendar!J277)</f>
        <v>Halloween</v>
      </c>
      <c r="J642" t="str">
        <f>_xlfn.XLOOKUP(Sheet1[[#This Row],[day_id]],calendar!A277,calendar!K277)</f>
        <v>Cultural</v>
      </c>
      <c r="K642">
        <f>_xlfn.XLOOKUP(Sheet1[[#This Row],[day_id]],calendar!A277,calendar!I277)</f>
        <v>0</v>
      </c>
    </row>
    <row r="643" spans="1:11" x14ac:dyDescent="0.2">
      <c r="A643" t="s">
        <v>370</v>
      </c>
      <c r="B643" t="s">
        <v>369</v>
      </c>
      <c r="C643" t="s">
        <v>278</v>
      </c>
      <c r="D643">
        <v>13</v>
      </c>
      <c r="E643" s="1">
        <f>_xlfn.XLOOKUP(Sheet1[[#This Row],[day_id]],calendar!A278,calendar!B278)</f>
        <v>40848</v>
      </c>
      <c r="F643" t="str">
        <f>_xlfn.XLOOKUP(Sheet1[[#This Row],[day_id]],calendar!A278,calendar!C278)</f>
        <v>Tuesday</v>
      </c>
      <c r="G643">
        <f>_xlfn.XLOOKUP(Sheet1[[#This Row],[day_id]],calendar!A278,calendar!E278)</f>
        <v>11</v>
      </c>
      <c r="H643">
        <f>_xlfn.XLOOKUP(Sheet1[[#This Row],[day_id]],calendar!A278,calendar!F278)</f>
        <v>2011</v>
      </c>
      <c r="I643" t="str">
        <f>_xlfn.XLOOKUP(Sheet1[[#This Row],[day_id]],calendar!A278,calendar!J278)</f>
        <v>No Event</v>
      </c>
      <c r="J643" t="str">
        <f>_xlfn.XLOOKUP(Sheet1[[#This Row],[day_id]],calendar!A278,calendar!K278)</f>
        <v>No Event Type</v>
      </c>
      <c r="K643">
        <f>_xlfn.XLOOKUP(Sheet1[[#This Row],[day_id]],calendar!A278,calendar!I278)</f>
        <v>1</v>
      </c>
    </row>
    <row r="644" spans="1:11" x14ac:dyDescent="0.2">
      <c r="A644" t="s">
        <v>370</v>
      </c>
      <c r="B644" t="s">
        <v>369</v>
      </c>
      <c r="C644" t="s">
        <v>279</v>
      </c>
      <c r="D644">
        <v>20</v>
      </c>
      <c r="E644" s="1">
        <f>_xlfn.XLOOKUP(Sheet1[[#This Row],[day_id]],calendar!A279,calendar!B279)</f>
        <v>40849</v>
      </c>
      <c r="F644" t="str">
        <f>_xlfn.XLOOKUP(Sheet1[[#This Row],[day_id]],calendar!A279,calendar!C279)</f>
        <v>Wednesday</v>
      </c>
      <c r="G644">
        <f>_xlfn.XLOOKUP(Sheet1[[#This Row],[day_id]],calendar!A279,calendar!E279)</f>
        <v>11</v>
      </c>
      <c r="H644">
        <f>_xlfn.XLOOKUP(Sheet1[[#This Row],[day_id]],calendar!A279,calendar!F279)</f>
        <v>2011</v>
      </c>
      <c r="I644" t="str">
        <f>_xlfn.XLOOKUP(Sheet1[[#This Row],[day_id]],calendar!A279,calendar!J279)</f>
        <v>No Event</v>
      </c>
      <c r="J644" t="str">
        <f>_xlfn.XLOOKUP(Sheet1[[#This Row],[day_id]],calendar!A279,calendar!K279)</f>
        <v>No Event Type</v>
      </c>
      <c r="K644">
        <f>_xlfn.XLOOKUP(Sheet1[[#This Row],[day_id]],calendar!A279,calendar!I279)</f>
        <v>1</v>
      </c>
    </row>
    <row r="645" spans="1:11" x14ac:dyDescent="0.2">
      <c r="A645" t="s">
        <v>370</v>
      </c>
      <c r="B645" t="s">
        <v>369</v>
      </c>
      <c r="C645" t="s">
        <v>280</v>
      </c>
      <c r="D645">
        <v>3</v>
      </c>
      <c r="E645" s="1">
        <f>_xlfn.XLOOKUP(Sheet1[[#This Row],[day_id]],calendar!A280,calendar!B280)</f>
        <v>40850</v>
      </c>
      <c r="F645" t="str">
        <f>_xlfn.XLOOKUP(Sheet1[[#This Row],[day_id]],calendar!A280,calendar!C280)</f>
        <v>Thursday</v>
      </c>
      <c r="G645">
        <f>_xlfn.XLOOKUP(Sheet1[[#This Row],[day_id]],calendar!A280,calendar!E280)</f>
        <v>11</v>
      </c>
      <c r="H645">
        <f>_xlfn.XLOOKUP(Sheet1[[#This Row],[day_id]],calendar!A280,calendar!F280)</f>
        <v>2011</v>
      </c>
      <c r="I645" t="str">
        <f>_xlfn.XLOOKUP(Sheet1[[#This Row],[day_id]],calendar!A280,calendar!J280)</f>
        <v>No Event</v>
      </c>
      <c r="J645" t="str">
        <f>_xlfn.XLOOKUP(Sheet1[[#This Row],[day_id]],calendar!A280,calendar!K280)</f>
        <v>No Event Type</v>
      </c>
      <c r="K645">
        <f>_xlfn.XLOOKUP(Sheet1[[#This Row],[day_id]],calendar!A280,calendar!I280)</f>
        <v>1</v>
      </c>
    </row>
    <row r="646" spans="1:11" x14ac:dyDescent="0.2">
      <c r="A646" t="s">
        <v>370</v>
      </c>
      <c r="B646" t="s">
        <v>369</v>
      </c>
      <c r="C646" t="s">
        <v>281</v>
      </c>
      <c r="D646">
        <v>6</v>
      </c>
      <c r="E646" s="1">
        <f>_xlfn.XLOOKUP(Sheet1[[#This Row],[day_id]],calendar!A281,calendar!B281)</f>
        <v>40851</v>
      </c>
      <c r="F646" t="str">
        <f>_xlfn.XLOOKUP(Sheet1[[#This Row],[day_id]],calendar!A281,calendar!C281)</f>
        <v>Friday</v>
      </c>
      <c r="G646">
        <f>_xlfn.XLOOKUP(Sheet1[[#This Row],[day_id]],calendar!A281,calendar!E281)</f>
        <v>11</v>
      </c>
      <c r="H646">
        <f>_xlfn.XLOOKUP(Sheet1[[#This Row],[day_id]],calendar!A281,calendar!F281)</f>
        <v>2011</v>
      </c>
      <c r="I646" t="str">
        <f>_xlfn.XLOOKUP(Sheet1[[#This Row],[day_id]],calendar!A281,calendar!J281)</f>
        <v>No Event</v>
      </c>
      <c r="J646" t="str">
        <f>_xlfn.XLOOKUP(Sheet1[[#This Row],[day_id]],calendar!A281,calendar!K281)</f>
        <v>No Event Type</v>
      </c>
      <c r="K646">
        <f>_xlfn.XLOOKUP(Sheet1[[#This Row],[day_id]],calendar!A281,calendar!I281)</f>
        <v>1</v>
      </c>
    </row>
    <row r="647" spans="1:11" x14ac:dyDescent="0.2">
      <c r="A647" t="s">
        <v>370</v>
      </c>
      <c r="B647" t="s">
        <v>369</v>
      </c>
      <c r="C647" t="s">
        <v>282</v>
      </c>
      <c r="D647">
        <v>6</v>
      </c>
      <c r="E647" s="1">
        <f>_xlfn.XLOOKUP(Sheet1[[#This Row],[day_id]],calendar!A282,calendar!B282)</f>
        <v>40852</v>
      </c>
      <c r="F647" t="str">
        <f>_xlfn.XLOOKUP(Sheet1[[#This Row],[day_id]],calendar!A282,calendar!C282)</f>
        <v>Saturday</v>
      </c>
      <c r="G647">
        <f>_xlfn.XLOOKUP(Sheet1[[#This Row],[day_id]],calendar!A282,calendar!E282)</f>
        <v>11</v>
      </c>
      <c r="H647">
        <f>_xlfn.XLOOKUP(Sheet1[[#This Row],[day_id]],calendar!A282,calendar!F282)</f>
        <v>2011</v>
      </c>
      <c r="I647" t="str">
        <f>_xlfn.XLOOKUP(Sheet1[[#This Row],[day_id]],calendar!A282,calendar!J282)</f>
        <v>No Event</v>
      </c>
      <c r="J647" t="str">
        <f>_xlfn.XLOOKUP(Sheet1[[#This Row],[day_id]],calendar!A282,calendar!K282)</f>
        <v>No Event Type</v>
      </c>
      <c r="K647">
        <f>_xlfn.XLOOKUP(Sheet1[[#This Row],[day_id]],calendar!A282,calendar!I282)</f>
        <v>1</v>
      </c>
    </row>
    <row r="648" spans="1:11" x14ac:dyDescent="0.2">
      <c r="A648" t="s">
        <v>370</v>
      </c>
      <c r="B648" t="s">
        <v>369</v>
      </c>
      <c r="C648" t="s">
        <v>283</v>
      </c>
      <c r="D648">
        <v>7</v>
      </c>
      <c r="E648" s="1">
        <f>_xlfn.XLOOKUP(Sheet1[[#This Row],[day_id]],calendar!A283,calendar!B283)</f>
        <v>40853</v>
      </c>
      <c r="F648" t="str">
        <f>_xlfn.XLOOKUP(Sheet1[[#This Row],[day_id]],calendar!A283,calendar!C283)</f>
        <v>Sunday</v>
      </c>
      <c r="G648">
        <f>_xlfn.XLOOKUP(Sheet1[[#This Row],[day_id]],calendar!A283,calendar!E283)</f>
        <v>11</v>
      </c>
      <c r="H648">
        <f>_xlfn.XLOOKUP(Sheet1[[#This Row],[day_id]],calendar!A283,calendar!F283)</f>
        <v>2011</v>
      </c>
      <c r="I648" t="str">
        <f>_xlfn.XLOOKUP(Sheet1[[#This Row],[day_id]],calendar!A283,calendar!J283)</f>
        <v>No Event</v>
      </c>
      <c r="J648" t="str">
        <f>_xlfn.XLOOKUP(Sheet1[[#This Row],[day_id]],calendar!A283,calendar!K283)</f>
        <v>No Event Type</v>
      </c>
      <c r="K648">
        <f>_xlfn.XLOOKUP(Sheet1[[#This Row],[day_id]],calendar!A283,calendar!I283)</f>
        <v>1</v>
      </c>
    </row>
    <row r="649" spans="1:11" x14ac:dyDescent="0.2">
      <c r="A649" t="s">
        <v>370</v>
      </c>
      <c r="B649" t="s">
        <v>369</v>
      </c>
      <c r="C649" t="s">
        <v>284</v>
      </c>
      <c r="D649">
        <v>13</v>
      </c>
      <c r="E649" s="1">
        <f>_xlfn.XLOOKUP(Sheet1[[#This Row],[day_id]],calendar!A284,calendar!B284)</f>
        <v>40854</v>
      </c>
      <c r="F649" t="str">
        <f>_xlfn.XLOOKUP(Sheet1[[#This Row],[day_id]],calendar!A284,calendar!C284)</f>
        <v>Monday</v>
      </c>
      <c r="G649">
        <f>_xlfn.XLOOKUP(Sheet1[[#This Row],[day_id]],calendar!A284,calendar!E284)</f>
        <v>11</v>
      </c>
      <c r="H649">
        <f>_xlfn.XLOOKUP(Sheet1[[#This Row],[day_id]],calendar!A284,calendar!F284)</f>
        <v>2011</v>
      </c>
      <c r="I649" t="str">
        <f>_xlfn.XLOOKUP(Sheet1[[#This Row],[day_id]],calendar!A284,calendar!J284)</f>
        <v>EidAlAdha</v>
      </c>
      <c r="J649" t="str">
        <f>_xlfn.XLOOKUP(Sheet1[[#This Row],[day_id]],calendar!A284,calendar!K284)</f>
        <v>Religious</v>
      </c>
      <c r="K649">
        <f>_xlfn.XLOOKUP(Sheet1[[#This Row],[day_id]],calendar!A284,calendar!I284)</f>
        <v>1</v>
      </c>
    </row>
    <row r="650" spans="1:11" x14ac:dyDescent="0.2">
      <c r="A650" t="s">
        <v>370</v>
      </c>
      <c r="B650" t="s">
        <v>369</v>
      </c>
      <c r="C650" t="s">
        <v>285</v>
      </c>
      <c r="D650">
        <v>7</v>
      </c>
      <c r="E650" s="1">
        <f>_xlfn.XLOOKUP(Sheet1[[#This Row],[day_id]],calendar!A285,calendar!B285)</f>
        <v>40855</v>
      </c>
      <c r="F650" t="str">
        <f>_xlfn.XLOOKUP(Sheet1[[#This Row],[day_id]],calendar!A285,calendar!C285)</f>
        <v>Tuesday</v>
      </c>
      <c r="G650">
        <f>_xlfn.XLOOKUP(Sheet1[[#This Row],[day_id]],calendar!A285,calendar!E285)</f>
        <v>11</v>
      </c>
      <c r="H650">
        <f>_xlfn.XLOOKUP(Sheet1[[#This Row],[day_id]],calendar!A285,calendar!F285)</f>
        <v>2011</v>
      </c>
      <c r="I650" t="str">
        <f>_xlfn.XLOOKUP(Sheet1[[#This Row],[day_id]],calendar!A285,calendar!J285)</f>
        <v>No Event</v>
      </c>
      <c r="J650" t="str">
        <f>_xlfn.XLOOKUP(Sheet1[[#This Row],[day_id]],calendar!A285,calendar!K285)</f>
        <v>No Event Type</v>
      </c>
      <c r="K650">
        <f>_xlfn.XLOOKUP(Sheet1[[#This Row],[day_id]],calendar!A285,calendar!I285)</f>
        <v>1</v>
      </c>
    </row>
    <row r="651" spans="1:11" x14ac:dyDescent="0.2">
      <c r="A651" t="s">
        <v>370</v>
      </c>
      <c r="B651" t="s">
        <v>369</v>
      </c>
      <c r="C651" t="s">
        <v>286</v>
      </c>
      <c r="D651">
        <v>4</v>
      </c>
      <c r="E651" s="1">
        <f>_xlfn.XLOOKUP(Sheet1[[#This Row],[day_id]],calendar!A286,calendar!B286)</f>
        <v>40856</v>
      </c>
      <c r="F651" t="str">
        <f>_xlfn.XLOOKUP(Sheet1[[#This Row],[day_id]],calendar!A286,calendar!C286)</f>
        <v>Wednesday</v>
      </c>
      <c r="G651">
        <f>_xlfn.XLOOKUP(Sheet1[[#This Row],[day_id]],calendar!A286,calendar!E286)</f>
        <v>11</v>
      </c>
      <c r="H651">
        <f>_xlfn.XLOOKUP(Sheet1[[#This Row],[day_id]],calendar!A286,calendar!F286)</f>
        <v>2011</v>
      </c>
      <c r="I651" t="str">
        <f>_xlfn.XLOOKUP(Sheet1[[#This Row],[day_id]],calendar!A286,calendar!J286)</f>
        <v>No Event</v>
      </c>
      <c r="J651" t="str">
        <f>_xlfn.XLOOKUP(Sheet1[[#This Row],[day_id]],calendar!A286,calendar!K286)</f>
        <v>No Event Type</v>
      </c>
      <c r="K651">
        <f>_xlfn.XLOOKUP(Sheet1[[#This Row],[day_id]],calendar!A286,calendar!I286)</f>
        <v>1</v>
      </c>
    </row>
    <row r="652" spans="1:11" x14ac:dyDescent="0.2">
      <c r="A652" t="s">
        <v>370</v>
      </c>
      <c r="B652" t="s">
        <v>369</v>
      </c>
      <c r="C652" t="s">
        <v>287</v>
      </c>
      <c r="D652">
        <v>12</v>
      </c>
      <c r="E652" s="1">
        <f>_xlfn.XLOOKUP(Sheet1[[#This Row],[day_id]],calendar!A287,calendar!B287)</f>
        <v>40857</v>
      </c>
      <c r="F652" t="str">
        <f>_xlfn.XLOOKUP(Sheet1[[#This Row],[day_id]],calendar!A287,calendar!C287)</f>
        <v>Thursday</v>
      </c>
      <c r="G652">
        <f>_xlfn.XLOOKUP(Sheet1[[#This Row],[day_id]],calendar!A287,calendar!E287)</f>
        <v>11</v>
      </c>
      <c r="H652">
        <f>_xlfn.XLOOKUP(Sheet1[[#This Row],[day_id]],calendar!A287,calendar!F287)</f>
        <v>2011</v>
      </c>
      <c r="I652" t="str">
        <f>_xlfn.XLOOKUP(Sheet1[[#This Row],[day_id]],calendar!A287,calendar!J287)</f>
        <v>No Event</v>
      </c>
      <c r="J652" t="str">
        <f>_xlfn.XLOOKUP(Sheet1[[#This Row],[day_id]],calendar!A287,calendar!K287)</f>
        <v>No Event Type</v>
      </c>
      <c r="K652">
        <f>_xlfn.XLOOKUP(Sheet1[[#This Row],[day_id]],calendar!A287,calendar!I287)</f>
        <v>1</v>
      </c>
    </row>
    <row r="653" spans="1:11" x14ac:dyDescent="0.2">
      <c r="A653" t="s">
        <v>370</v>
      </c>
      <c r="B653" t="s">
        <v>369</v>
      </c>
      <c r="C653" t="s">
        <v>288</v>
      </c>
      <c r="D653">
        <v>12</v>
      </c>
      <c r="E653" s="1">
        <f>_xlfn.XLOOKUP(Sheet1[[#This Row],[day_id]],calendar!A288,calendar!B288)</f>
        <v>40858</v>
      </c>
      <c r="F653" t="str">
        <f>_xlfn.XLOOKUP(Sheet1[[#This Row],[day_id]],calendar!A288,calendar!C288)</f>
        <v>Friday</v>
      </c>
      <c r="G653">
        <f>_xlfn.XLOOKUP(Sheet1[[#This Row],[day_id]],calendar!A288,calendar!E288)</f>
        <v>11</v>
      </c>
      <c r="H653">
        <f>_xlfn.XLOOKUP(Sheet1[[#This Row],[day_id]],calendar!A288,calendar!F288)</f>
        <v>2011</v>
      </c>
      <c r="I653" t="str">
        <f>_xlfn.XLOOKUP(Sheet1[[#This Row],[day_id]],calendar!A288,calendar!J288)</f>
        <v>VeteransDay</v>
      </c>
      <c r="J653" t="str">
        <f>_xlfn.XLOOKUP(Sheet1[[#This Row],[day_id]],calendar!A288,calendar!K288)</f>
        <v>National</v>
      </c>
      <c r="K653">
        <f>_xlfn.XLOOKUP(Sheet1[[#This Row],[day_id]],calendar!A288,calendar!I288)</f>
        <v>0</v>
      </c>
    </row>
    <row r="654" spans="1:11" x14ac:dyDescent="0.2">
      <c r="A654" t="s">
        <v>370</v>
      </c>
      <c r="B654" t="s">
        <v>369</v>
      </c>
      <c r="C654" t="s">
        <v>289</v>
      </c>
      <c r="D654">
        <v>4</v>
      </c>
      <c r="E654" s="1">
        <f>_xlfn.XLOOKUP(Sheet1[[#This Row],[day_id]],calendar!A289,calendar!B289)</f>
        <v>40859</v>
      </c>
      <c r="F654" t="str">
        <f>_xlfn.XLOOKUP(Sheet1[[#This Row],[day_id]],calendar!A289,calendar!C289)</f>
        <v>Saturday</v>
      </c>
      <c r="G654">
        <f>_xlfn.XLOOKUP(Sheet1[[#This Row],[day_id]],calendar!A289,calendar!E289)</f>
        <v>11</v>
      </c>
      <c r="H654">
        <f>_xlfn.XLOOKUP(Sheet1[[#This Row],[day_id]],calendar!A289,calendar!F289)</f>
        <v>2011</v>
      </c>
      <c r="I654" t="str">
        <f>_xlfn.XLOOKUP(Sheet1[[#This Row],[day_id]],calendar!A289,calendar!J289)</f>
        <v>No Event</v>
      </c>
      <c r="J654" t="str">
        <f>_xlfn.XLOOKUP(Sheet1[[#This Row],[day_id]],calendar!A289,calendar!K289)</f>
        <v>No Event Type</v>
      </c>
      <c r="K654">
        <f>_xlfn.XLOOKUP(Sheet1[[#This Row],[day_id]],calendar!A289,calendar!I289)</f>
        <v>0</v>
      </c>
    </row>
    <row r="655" spans="1:11" x14ac:dyDescent="0.2">
      <c r="A655" t="s">
        <v>370</v>
      </c>
      <c r="B655" t="s">
        <v>369</v>
      </c>
      <c r="C655" t="s">
        <v>290</v>
      </c>
      <c r="D655">
        <v>4</v>
      </c>
      <c r="E655" s="1">
        <f>_xlfn.XLOOKUP(Sheet1[[#This Row],[day_id]],calendar!A290,calendar!B290)</f>
        <v>40860</v>
      </c>
      <c r="F655" t="str">
        <f>_xlfn.XLOOKUP(Sheet1[[#This Row],[day_id]],calendar!A290,calendar!C290)</f>
        <v>Sunday</v>
      </c>
      <c r="G655">
        <f>_xlfn.XLOOKUP(Sheet1[[#This Row],[day_id]],calendar!A290,calendar!E290)</f>
        <v>11</v>
      </c>
      <c r="H655">
        <f>_xlfn.XLOOKUP(Sheet1[[#This Row],[day_id]],calendar!A290,calendar!F290)</f>
        <v>2011</v>
      </c>
      <c r="I655" t="str">
        <f>_xlfn.XLOOKUP(Sheet1[[#This Row],[day_id]],calendar!A290,calendar!J290)</f>
        <v>No Event</v>
      </c>
      <c r="J655" t="str">
        <f>_xlfn.XLOOKUP(Sheet1[[#This Row],[day_id]],calendar!A290,calendar!K290)</f>
        <v>No Event Type</v>
      </c>
      <c r="K655">
        <f>_xlfn.XLOOKUP(Sheet1[[#This Row],[day_id]],calendar!A290,calendar!I290)</f>
        <v>0</v>
      </c>
    </row>
    <row r="656" spans="1:11" x14ac:dyDescent="0.2">
      <c r="A656" t="s">
        <v>370</v>
      </c>
      <c r="B656" t="s">
        <v>369</v>
      </c>
      <c r="C656" t="s">
        <v>291</v>
      </c>
      <c r="D656">
        <v>6</v>
      </c>
      <c r="E656" s="1">
        <f>_xlfn.XLOOKUP(Sheet1[[#This Row],[day_id]],calendar!A291,calendar!B291)</f>
        <v>40861</v>
      </c>
      <c r="F656" t="str">
        <f>_xlfn.XLOOKUP(Sheet1[[#This Row],[day_id]],calendar!A291,calendar!C291)</f>
        <v>Monday</v>
      </c>
      <c r="G656">
        <f>_xlfn.XLOOKUP(Sheet1[[#This Row],[day_id]],calendar!A291,calendar!E291)</f>
        <v>11</v>
      </c>
      <c r="H656">
        <f>_xlfn.XLOOKUP(Sheet1[[#This Row],[day_id]],calendar!A291,calendar!F291)</f>
        <v>2011</v>
      </c>
      <c r="I656" t="str">
        <f>_xlfn.XLOOKUP(Sheet1[[#This Row],[day_id]],calendar!A291,calendar!J291)</f>
        <v>No Event</v>
      </c>
      <c r="J656" t="str">
        <f>_xlfn.XLOOKUP(Sheet1[[#This Row],[day_id]],calendar!A291,calendar!K291)</f>
        <v>No Event Type</v>
      </c>
      <c r="K656">
        <f>_xlfn.XLOOKUP(Sheet1[[#This Row],[day_id]],calendar!A291,calendar!I291)</f>
        <v>0</v>
      </c>
    </row>
    <row r="657" spans="1:11" x14ac:dyDescent="0.2">
      <c r="A657" t="s">
        <v>370</v>
      </c>
      <c r="B657" t="s">
        <v>369</v>
      </c>
      <c r="C657" t="s">
        <v>292</v>
      </c>
      <c r="D657">
        <v>5</v>
      </c>
      <c r="E657" s="1">
        <f>_xlfn.XLOOKUP(Sheet1[[#This Row],[day_id]],calendar!A292,calendar!B292)</f>
        <v>40862</v>
      </c>
      <c r="F657" t="str">
        <f>_xlfn.XLOOKUP(Sheet1[[#This Row],[day_id]],calendar!A292,calendar!C292)</f>
        <v>Tuesday</v>
      </c>
      <c r="G657">
        <f>_xlfn.XLOOKUP(Sheet1[[#This Row],[day_id]],calendar!A292,calendar!E292)</f>
        <v>11</v>
      </c>
      <c r="H657">
        <f>_xlfn.XLOOKUP(Sheet1[[#This Row],[day_id]],calendar!A292,calendar!F292)</f>
        <v>2011</v>
      </c>
      <c r="I657" t="str">
        <f>_xlfn.XLOOKUP(Sheet1[[#This Row],[day_id]],calendar!A292,calendar!J292)</f>
        <v>No Event</v>
      </c>
      <c r="J657" t="str">
        <f>_xlfn.XLOOKUP(Sheet1[[#This Row],[day_id]],calendar!A292,calendar!K292)</f>
        <v>No Event Type</v>
      </c>
      <c r="K657">
        <f>_xlfn.XLOOKUP(Sheet1[[#This Row],[day_id]],calendar!A292,calendar!I292)</f>
        <v>0</v>
      </c>
    </row>
    <row r="658" spans="1:11" x14ac:dyDescent="0.2">
      <c r="A658" t="s">
        <v>370</v>
      </c>
      <c r="B658" t="s">
        <v>369</v>
      </c>
      <c r="C658" t="s">
        <v>293</v>
      </c>
      <c r="D658">
        <v>1</v>
      </c>
      <c r="E658" s="1">
        <f>_xlfn.XLOOKUP(Sheet1[[#This Row],[day_id]],calendar!A293,calendar!B293)</f>
        <v>40863</v>
      </c>
      <c r="F658" t="str">
        <f>_xlfn.XLOOKUP(Sheet1[[#This Row],[day_id]],calendar!A293,calendar!C293)</f>
        <v>Wednesday</v>
      </c>
      <c r="G658">
        <f>_xlfn.XLOOKUP(Sheet1[[#This Row],[day_id]],calendar!A293,calendar!E293)</f>
        <v>11</v>
      </c>
      <c r="H658">
        <f>_xlfn.XLOOKUP(Sheet1[[#This Row],[day_id]],calendar!A293,calendar!F293)</f>
        <v>2011</v>
      </c>
      <c r="I658" t="str">
        <f>_xlfn.XLOOKUP(Sheet1[[#This Row],[day_id]],calendar!A293,calendar!J293)</f>
        <v>No Event</v>
      </c>
      <c r="J658" t="str">
        <f>_xlfn.XLOOKUP(Sheet1[[#This Row],[day_id]],calendar!A293,calendar!K293)</f>
        <v>No Event Type</v>
      </c>
      <c r="K658">
        <f>_xlfn.XLOOKUP(Sheet1[[#This Row],[day_id]],calendar!A293,calendar!I293)</f>
        <v>0</v>
      </c>
    </row>
    <row r="659" spans="1:11" x14ac:dyDescent="0.2">
      <c r="A659" t="s">
        <v>370</v>
      </c>
      <c r="B659" t="s">
        <v>369</v>
      </c>
      <c r="C659" t="s">
        <v>294</v>
      </c>
      <c r="D659">
        <v>2</v>
      </c>
      <c r="E659" s="1">
        <f>_xlfn.XLOOKUP(Sheet1[[#This Row],[day_id]],calendar!A294,calendar!B294)</f>
        <v>40864</v>
      </c>
      <c r="F659" t="str">
        <f>_xlfn.XLOOKUP(Sheet1[[#This Row],[day_id]],calendar!A294,calendar!C294)</f>
        <v>Thursday</v>
      </c>
      <c r="G659">
        <f>_xlfn.XLOOKUP(Sheet1[[#This Row],[day_id]],calendar!A294,calendar!E294)</f>
        <v>11</v>
      </c>
      <c r="H659">
        <f>_xlfn.XLOOKUP(Sheet1[[#This Row],[day_id]],calendar!A294,calendar!F294)</f>
        <v>2011</v>
      </c>
      <c r="I659" t="str">
        <f>_xlfn.XLOOKUP(Sheet1[[#This Row],[day_id]],calendar!A294,calendar!J294)</f>
        <v>No Event</v>
      </c>
      <c r="J659" t="str">
        <f>_xlfn.XLOOKUP(Sheet1[[#This Row],[day_id]],calendar!A294,calendar!K294)</f>
        <v>No Event Type</v>
      </c>
      <c r="K659">
        <f>_xlfn.XLOOKUP(Sheet1[[#This Row],[day_id]],calendar!A294,calendar!I294)</f>
        <v>0</v>
      </c>
    </row>
    <row r="660" spans="1:11" x14ac:dyDescent="0.2">
      <c r="A660" t="s">
        <v>370</v>
      </c>
      <c r="B660" t="s">
        <v>369</v>
      </c>
      <c r="C660" t="s">
        <v>295</v>
      </c>
      <c r="D660">
        <v>1</v>
      </c>
      <c r="E660" s="1">
        <f>_xlfn.XLOOKUP(Sheet1[[#This Row],[day_id]],calendar!A295,calendar!B295)</f>
        <v>40865</v>
      </c>
      <c r="F660" t="str">
        <f>_xlfn.XLOOKUP(Sheet1[[#This Row],[day_id]],calendar!A295,calendar!C295)</f>
        <v>Friday</v>
      </c>
      <c r="G660">
        <f>_xlfn.XLOOKUP(Sheet1[[#This Row],[day_id]],calendar!A295,calendar!E295)</f>
        <v>11</v>
      </c>
      <c r="H660">
        <f>_xlfn.XLOOKUP(Sheet1[[#This Row],[day_id]],calendar!A295,calendar!F295)</f>
        <v>2011</v>
      </c>
      <c r="I660" t="str">
        <f>_xlfn.XLOOKUP(Sheet1[[#This Row],[day_id]],calendar!A295,calendar!J295)</f>
        <v>No Event</v>
      </c>
      <c r="J660" t="str">
        <f>_xlfn.XLOOKUP(Sheet1[[#This Row],[day_id]],calendar!A295,calendar!K295)</f>
        <v>No Event Type</v>
      </c>
      <c r="K660">
        <f>_xlfn.XLOOKUP(Sheet1[[#This Row],[day_id]],calendar!A295,calendar!I295)</f>
        <v>0</v>
      </c>
    </row>
    <row r="661" spans="1:11" x14ac:dyDescent="0.2">
      <c r="A661" t="s">
        <v>370</v>
      </c>
      <c r="B661" t="s">
        <v>369</v>
      </c>
      <c r="C661" t="s">
        <v>296</v>
      </c>
      <c r="D661">
        <v>0</v>
      </c>
      <c r="E661" s="1">
        <f>_xlfn.XLOOKUP(Sheet1[[#This Row],[day_id]],calendar!A296,calendar!B296)</f>
        <v>40866</v>
      </c>
      <c r="F661" t="str">
        <f>_xlfn.XLOOKUP(Sheet1[[#This Row],[day_id]],calendar!A296,calendar!C296)</f>
        <v>Saturday</v>
      </c>
      <c r="G661">
        <f>_xlfn.XLOOKUP(Sheet1[[#This Row],[day_id]],calendar!A296,calendar!E296)</f>
        <v>11</v>
      </c>
      <c r="H661">
        <f>_xlfn.XLOOKUP(Sheet1[[#This Row],[day_id]],calendar!A296,calendar!F296)</f>
        <v>2011</v>
      </c>
      <c r="I661" t="str">
        <f>_xlfn.XLOOKUP(Sheet1[[#This Row],[day_id]],calendar!A296,calendar!J296)</f>
        <v>No Event</v>
      </c>
      <c r="J661" t="str">
        <f>_xlfn.XLOOKUP(Sheet1[[#This Row],[day_id]],calendar!A296,calendar!K296)</f>
        <v>No Event Type</v>
      </c>
      <c r="K661">
        <f>_xlfn.XLOOKUP(Sheet1[[#This Row],[day_id]],calendar!A296,calendar!I296)</f>
        <v>0</v>
      </c>
    </row>
    <row r="662" spans="1:11" x14ac:dyDescent="0.2">
      <c r="A662" t="s">
        <v>370</v>
      </c>
      <c r="B662" t="s">
        <v>369</v>
      </c>
      <c r="C662" t="s">
        <v>297</v>
      </c>
      <c r="D662">
        <v>1</v>
      </c>
      <c r="E662" s="1">
        <f>_xlfn.XLOOKUP(Sheet1[[#This Row],[day_id]],calendar!A297,calendar!B297)</f>
        <v>40867</v>
      </c>
      <c r="F662" t="str">
        <f>_xlfn.XLOOKUP(Sheet1[[#This Row],[day_id]],calendar!A297,calendar!C297)</f>
        <v>Sunday</v>
      </c>
      <c r="G662">
        <f>_xlfn.XLOOKUP(Sheet1[[#This Row],[day_id]],calendar!A297,calendar!E297)</f>
        <v>11</v>
      </c>
      <c r="H662">
        <f>_xlfn.XLOOKUP(Sheet1[[#This Row],[day_id]],calendar!A297,calendar!F297)</f>
        <v>2011</v>
      </c>
      <c r="I662" t="str">
        <f>_xlfn.XLOOKUP(Sheet1[[#This Row],[day_id]],calendar!A297,calendar!J297)</f>
        <v>No Event</v>
      </c>
      <c r="J662" t="str">
        <f>_xlfn.XLOOKUP(Sheet1[[#This Row],[day_id]],calendar!A297,calendar!K297)</f>
        <v>No Event Type</v>
      </c>
      <c r="K662">
        <f>_xlfn.XLOOKUP(Sheet1[[#This Row],[day_id]],calendar!A297,calendar!I297)</f>
        <v>0</v>
      </c>
    </row>
    <row r="663" spans="1:11" x14ac:dyDescent="0.2">
      <c r="A663" t="s">
        <v>370</v>
      </c>
      <c r="B663" t="s">
        <v>369</v>
      </c>
      <c r="C663" t="s">
        <v>298</v>
      </c>
      <c r="D663">
        <v>1</v>
      </c>
      <c r="E663" s="1">
        <f>_xlfn.XLOOKUP(Sheet1[[#This Row],[day_id]],calendar!A298,calendar!B298)</f>
        <v>40868</v>
      </c>
      <c r="F663" t="str">
        <f>_xlfn.XLOOKUP(Sheet1[[#This Row],[day_id]],calendar!A298,calendar!C298)</f>
        <v>Monday</v>
      </c>
      <c r="G663">
        <f>_xlfn.XLOOKUP(Sheet1[[#This Row],[day_id]],calendar!A298,calendar!E298)</f>
        <v>11</v>
      </c>
      <c r="H663">
        <f>_xlfn.XLOOKUP(Sheet1[[#This Row],[day_id]],calendar!A298,calendar!F298)</f>
        <v>2011</v>
      </c>
      <c r="I663" t="str">
        <f>_xlfn.XLOOKUP(Sheet1[[#This Row],[day_id]],calendar!A298,calendar!J298)</f>
        <v>No Event</v>
      </c>
      <c r="J663" t="str">
        <f>_xlfn.XLOOKUP(Sheet1[[#This Row],[day_id]],calendar!A298,calendar!K298)</f>
        <v>No Event Type</v>
      </c>
      <c r="K663">
        <f>_xlfn.XLOOKUP(Sheet1[[#This Row],[day_id]],calendar!A298,calendar!I298)</f>
        <v>0</v>
      </c>
    </row>
    <row r="664" spans="1:11" x14ac:dyDescent="0.2">
      <c r="A664" t="s">
        <v>370</v>
      </c>
      <c r="B664" t="s">
        <v>369</v>
      </c>
      <c r="C664" t="s">
        <v>299</v>
      </c>
      <c r="D664">
        <v>0</v>
      </c>
      <c r="E664" s="1">
        <f>_xlfn.XLOOKUP(Sheet1[[#This Row],[day_id]],calendar!A299,calendar!B299)</f>
        <v>40869</v>
      </c>
      <c r="F664" t="str">
        <f>_xlfn.XLOOKUP(Sheet1[[#This Row],[day_id]],calendar!A299,calendar!C299)</f>
        <v>Tuesday</v>
      </c>
      <c r="G664">
        <f>_xlfn.XLOOKUP(Sheet1[[#This Row],[day_id]],calendar!A299,calendar!E299)</f>
        <v>11</v>
      </c>
      <c r="H664">
        <f>_xlfn.XLOOKUP(Sheet1[[#This Row],[day_id]],calendar!A299,calendar!F299)</f>
        <v>2011</v>
      </c>
      <c r="I664" t="str">
        <f>_xlfn.XLOOKUP(Sheet1[[#This Row],[day_id]],calendar!A299,calendar!J299)</f>
        <v>No Event</v>
      </c>
      <c r="J664" t="str">
        <f>_xlfn.XLOOKUP(Sheet1[[#This Row],[day_id]],calendar!A299,calendar!K299)</f>
        <v>No Event Type</v>
      </c>
      <c r="K664">
        <f>_xlfn.XLOOKUP(Sheet1[[#This Row],[day_id]],calendar!A299,calendar!I299)</f>
        <v>0</v>
      </c>
    </row>
    <row r="665" spans="1:11" x14ac:dyDescent="0.2">
      <c r="A665" t="s">
        <v>370</v>
      </c>
      <c r="B665" t="s">
        <v>369</v>
      </c>
      <c r="C665" t="s">
        <v>300</v>
      </c>
      <c r="D665">
        <v>1</v>
      </c>
      <c r="E665" s="1">
        <f>_xlfn.XLOOKUP(Sheet1[[#This Row],[day_id]],calendar!A300,calendar!B300)</f>
        <v>40870</v>
      </c>
      <c r="F665" t="str">
        <f>_xlfn.XLOOKUP(Sheet1[[#This Row],[day_id]],calendar!A300,calendar!C300)</f>
        <v>Wednesday</v>
      </c>
      <c r="G665">
        <f>_xlfn.XLOOKUP(Sheet1[[#This Row],[day_id]],calendar!A300,calendar!E300)</f>
        <v>11</v>
      </c>
      <c r="H665">
        <f>_xlfn.XLOOKUP(Sheet1[[#This Row],[day_id]],calendar!A300,calendar!F300)</f>
        <v>2011</v>
      </c>
      <c r="I665" t="str">
        <f>_xlfn.XLOOKUP(Sheet1[[#This Row],[day_id]],calendar!A300,calendar!J300)</f>
        <v>No Event</v>
      </c>
      <c r="J665" t="str">
        <f>_xlfn.XLOOKUP(Sheet1[[#This Row],[day_id]],calendar!A300,calendar!K300)</f>
        <v>No Event Type</v>
      </c>
      <c r="K665">
        <f>_xlfn.XLOOKUP(Sheet1[[#This Row],[day_id]],calendar!A300,calendar!I300)</f>
        <v>0</v>
      </c>
    </row>
    <row r="666" spans="1:11" x14ac:dyDescent="0.2">
      <c r="A666" t="s">
        <v>370</v>
      </c>
      <c r="B666" t="s">
        <v>369</v>
      </c>
      <c r="C666" t="s">
        <v>301</v>
      </c>
      <c r="D666">
        <v>1</v>
      </c>
      <c r="E666" s="1">
        <f>_xlfn.XLOOKUP(Sheet1[[#This Row],[day_id]],calendar!A301,calendar!B301)</f>
        <v>40871</v>
      </c>
      <c r="F666" t="str">
        <f>_xlfn.XLOOKUP(Sheet1[[#This Row],[day_id]],calendar!A301,calendar!C301)</f>
        <v>Thursday</v>
      </c>
      <c r="G666">
        <f>_xlfn.XLOOKUP(Sheet1[[#This Row],[day_id]],calendar!A301,calendar!E301)</f>
        <v>11</v>
      </c>
      <c r="H666">
        <f>_xlfn.XLOOKUP(Sheet1[[#This Row],[day_id]],calendar!A301,calendar!F301)</f>
        <v>2011</v>
      </c>
      <c r="I666" t="str">
        <f>_xlfn.XLOOKUP(Sheet1[[#This Row],[day_id]],calendar!A301,calendar!J301)</f>
        <v>Thanksgiving</v>
      </c>
      <c r="J666" t="str">
        <f>_xlfn.XLOOKUP(Sheet1[[#This Row],[day_id]],calendar!A301,calendar!K301)</f>
        <v>National</v>
      </c>
      <c r="K666">
        <f>_xlfn.XLOOKUP(Sheet1[[#This Row],[day_id]],calendar!A301,calendar!I301)</f>
        <v>0</v>
      </c>
    </row>
    <row r="667" spans="1:11" x14ac:dyDescent="0.2">
      <c r="A667" t="s">
        <v>370</v>
      </c>
      <c r="B667" t="s">
        <v>369</v>
      </c>
      <c r="C667" t="s">
        <v>302</v>
      </c>
      <c r="D667">
        <v>18</v>
      </c>
      <c r="E667" s="1">
        <f>_xlfn.XLOOKUP(Sheet1[[#This Row],[day_id]],calendar!A302,calendar!B302)</f>
        <v>40872</v>
      </c>
      <c r="F667" t="str">
        <f>_xlfn.XLOOKUP(Sheet1[[#This Row],[day_id]],calendar!A302,calendar!C302)</f>
        <v>Friday</v>
      </c>
      <c r="G667">
        <f>_xlfn.XLOOKUP(Sheet1[[#This Row],[day_id]],calendar!A302,calendar!E302)</f>
        <v>11</v>
      </c>
      <c r="H667">
        <f>_xlfn.XLOOKUP(Sheet1[[#This Row],[day_id]],calendar!A302,calendar!F302)</f>
        <v>2011</v>
      </c>
      <c r="I667" t="str">
        <f>_xlfn.XLOOKUP(Sheet1[[#This Row],[day_id]],calendar!A302,calendar!J302)</f>
        <v>No Event</v>
      </c>
      <c r="J667" t="str">
        <f>_xlfn.XLOOKUP(Sheet1[[#This Row],[day_id]],calendar!A302,calendar!K302)</f>
        <v>No Event Type</v>
      </c>
      <c r="K667">
        <f>_xlfn.XLOOKUP(Sheet1[[#This Row],[day_id]],calendar!A302,calendar!I302)</f>
        <v>0</v>
      </c>
    </row>
    <row r="668" spans="1:11" x14ac:dyDescent="0.2">
      <c r="A668" t="s">
        <v>370</v>
      </c>
      <c r="B668" t="s">
        <v>369</v>
      </c>
      <c r="C668" t="s">
        <v>303</v>
      </c>
      <c r="D668">
        <v>28</v>
      </c>
      <c r="E668" s="1">
        <f>_xlfn.XLOOKUP(Sheet1[[#This Row],[day_id]],calendar!A303,calendar!B303)</f>
        <v>40873</v>
      </c>
      <c r="F668" t="str">
        <f>_xlfn.XLOOKUP(Sheet1[[#This Row],[day_id]],calendar!A303,calendar!C303)</f>
        <v>Saturday</v>
      </c>
      <c r="G668">
        <f>_xlfn.XLOOKUP(Sheet1[[#This Row],[day_id]],calendar!A303,calendar!E303)</f>
        <v>11</v>
      </c>
      <c r="H668">
        <f>_xlfn.XLOOKUP(Sheet1[[#This Row],[day_id]],calendar!A303,calendar!F303)</f>
        <v>2011</v>
      </c>
      <c r="I668" t="str">
        <f>_xlfn.XLOOKUP(Sheet1[[#This Row],[day_id]],calendar!A303,calendar!J303)</f>
        <v>No Event</v>
      </c>
      <c r="J668" t="str">
        <f>_xlfn.XLOOKUP(Sheet1[[#This Row],[day_id]],calendar!A303,calendar!K303)</f>
        <v>No Event Type</v>
      </c>
      <c r="K668">
        <f>_xlfn.XLOOKUP(Sheet1[[#This Row],[day_id]],calendar!A303,calendar!I303)</f>
        <v>0</v>
      </c>
    </row>
    <row r="669" spans="1:11" x14ac:dyDescent="0.2">
      <c r="A669" t="s">
        <v>370</v>
      </c>
      <c r="B669" t="s">
        <v>369</v>
      </c>
      <c r="C669" t="s">
        <v>304</v>
      </c>
      <c r="D669">
        <v>20</v>
      </c>
      <c r="E669" s="1">
        <f>_xlfn.XLOOKUP(Sheet1[[#This Row],[day_id]],calendar!A304,calendar!B304)</f>
        <v>40874</v>
      </c>
      <c r="F669" t="str">
        <f>_xlfn.XLOOKUP(Sheet1[[#This Row],[day_id]],calendar!A304,calendar!C304)</f>
        <v>Sunday</v>
      </c>
      <c r="G669">
        <f>_xlfn.XLOOKUP(Sheet1[[#This Row],[day_id]],calendar!A304,calendar!E304)</f>
        <v>11</v>
      </c>
      <c r="H669">
        <f>_xlfn.XLOOKUP(Sheet1[[#This Row],[day_id]],calendar!A304,calendar!F304)</f>
        <v>2011</v>
      </c>
      <c r="I669" t="str">
        <f>_xlfn.XLOOKUP(Sheet1[[#This Row],[day_id]],calendar!A304,calendar!J304)</f>
        <v>No Event</v>
      </c>
      <c r="J669" t="str">
        <f>_xlfn.XLOOKUP(Sheet1[[#This Row],[day_id]],calendar!A304,calendar!K304)</f>
        <v>No Event Type</v>
      </c>
      <c r="K669">
        <f>_xlfn.XLOOKUP(Sheet1[[#This Row],[day_id]],calendar!A304,calendar!I304)</f>
        <v>0</v>
      </c>
    </row>
    <row r="670" spans="1:11" x14ac:dyDescent="0.2">
      <c r="A670" t="s">
        <v>370</v>
      </c>
      <c r="B670" t="s">
        <v>369</v>
      </c>
      <c r="C670" t="s">
        <v>305</v>
      </c>
      <c r="D670">
        <v>20</v>
      </c>
      <c r="E670" s="1">
        <f>_xlfn.XLOOKUP(Sheet1[[#This Row],[day_id]],calendar!A305,calendar!B305)</f>
        <v>40875</v>
      </c>
      <c r="F670" t="str">
        <f>_xlfn.XLOOKUP(Sheet1[[#This Row],[day_id]],calendar!A305,calendar!C305)</f>
        <v>Monday</v>
      </c>
      <c r="G670">
        <f>_xlfn.XLOOKUP(Sheet1[[#This Row],[day_id]],calendar!A305,calendar!E305)</f>
        <v>11</v>
      </c>
      <c r="H670">
        <f>_xlfn.XLOOKUP(Sheet1[[#This Row],[day_id]],calendar!A305,calendar!F305)</f>
        <v>2011</v>
      </c>
      <c r="I670" t="str">
        <f>_xlfn.XLOOKUP(Sheet1[[#This Row],[day_id]],calendar!A305,calendar!J305)</f>
        <v>No Event</v>
      </c>
      <c r="J670" t="str">
        <f>_xlfn.XLOOKUP(Sheet1[[#This Row],[day_id]],calendar!A305,calendar!K305)</f>
        <v>No Event Type</v>
      </c>
      <c r="K670">
        <f>_xlfn.XLOOKUP(Sheet1[[#This Row],[day_id]],calendar!A305,calendar!I305)</f>
        <v>0</v>
      </c>
    </row>
    <row r="671" spans="1:11" x14ac:dyDescent="0.2">
      <c r="A671" t="s">
        <v>370</v>
      </c>
      <c r="B671" t="s">
        <v>369</v>
      </c>
      <c r="C671" t="s">
        <v>306</v>
      </c>
      <c r="D671">
        <v>10</v>
      </c>
      <c r="E671" s="1">
        <f>_xlfn.XLOOKUP(Sheet1[[#This Row],[day_id]],calendar!A306,calendar!B306)</f>
        <v>40876</v>
      </c>
      <c r="F671" t="str">
        <f>_xlfn.XLOOKUP(Sheet1[[#This Row],[day_id]],calendar!A306,calendar!C306)</f>
        <v>Tuesday</v>
      </c>
      <c r="G671">
        <f>_xlfn.XLOOKUP(Sheet1[[#This Row],[day_id]],calendar!A306,calendar!E306)</f>
        <v>11</v>
      </c>
      <c r="H671">
        <f>_xlfn.XLOOKUP(Sheet1[[#This Row],[day_id]],calendar!A306,calendar!F306)</f>
        <v>2011</v>
      </c>
      <c r="I671" t="str">
        <f>_xlfn.XLOOKUP(Sheet1[[#This Row],[day_id]],calendar!A306,calendar!J306)</f>
        <v>No Event</v>
      </c>
      <c r="J671" t="str">
        <f>_xlfn.XLOOKUP(Sheet1[[#This Row],[day_id]],calendar!A306,calendar!K306)</f>
        <v>No Event Type</v>
      </c>
      <c r="K671">
        <f>_xlfn.XLOOKUP(Sheet1[[#This Row],[day_id]],calendar!A306,calendar!I306)</f>
        <v>0</v>
      </c>
    </row>
    <row r="672" spans="1:11" x14ac:dyDescent="0.2">
      <c r="A672" t="s">
        <v>370</v>
      </c>
      <c r="B672" t="s">
        <v>369</v>
      </c>
      <c r="C672" t="s">
        <v>307</v>
      </c>
      <c r="D672">
        <v>10</v>
      </c>
      <c r="E672" s="1">
        <f>_xlfn.XLOOKUP(Sheet1[[#This Row],[day_id]],calendar!A307,calendar!B307)</f>
        <v>40877</v>
      </c>
      <c r="F672" t="str">
        <f>_xlfn.XLOOKUP(Sheet1[[#This Row],[day_id]],calendar!A307,calendar!C307)</f>
        <v>Wednesday</v>
      </c>
      <c r="G672">
        <f>_xlfn.XLOOKUP(Sheet1[[#This Row],[day_id]],calendar!A307,calendar!E307)</f>
        <v>11</v>
      </c>
      <c r="H672">
        <f>_xlfn.XLOOKUP(Sheet1[[#This Row],[day_id]],calendar!A307,calendar!F307)</f>
        <v>2011</v>
      </c>
      <c r="I672" t="str">
        <f>_xlfn.XLOOKUP(Sheet1[[#This Row],[day_id]],calendar!A307,calendar!J307)</f>
        <v>No Event</v>
      </c>
      <c r="J672" t="str">
        <f>_xlfn.XLOOKUP(Sheet1[[#This Row],[day_id]],calendar!A307,calendar!K307)</f>
        <v>No Event Type</v>
      </c>
      <c r="K672">
        <f>_xlfn.XLOOKUP(Sheet1[[#This Row],[day_id]],calendar!A307,calendar!I307)</f>
        <v>0</v>
      </c>
    </row>
    <row r="673" spans="1:11" x14ac:dyDescent="0.2">
      <c r="A673" t="s">
        <v>370</v>
      </c>
      <c r="B673" t="s">
        <v>369</v>
      </c>
      <c r="C673" t="s">
        <v>308</v>
      </c>
      <c r="D673">
        <v>6</v>
      </c>
      <c r="E673" s="1">
        <f>_xlfn.XLOOKUP(Sheet1[[#This Row],[day_id]],calendar!A308,calendar!B308)</f>
        <v>40878</v>
      </c>
      <c r="F673" t="str">
        <f>_xlfn.XLOOKUP(Sheet1[[#This Row],[day_id]],calendar!A308,calendar!C308)</f>
        <v>Thursday</v>
      </c>
      <c r="G673">
        <f>_xlfn.XLOOKUP(Sheet1[[#This Row],[day_id]],calendar!A308,calendar!E308)</f>
        <v>12</v>
      </c>
      <c r="H673">
        <f>_xlfn.XLOOKUP(Sheet1[[#This Row],[day_id]],calendar!A308,calendar!F308)</f>
        <v>2011</v>
      </c>
      <c r="I673" t="str">
        <f>_xlfn.XLOOKUP(Sheet1[[#This Row],[day_id]],calendar!A308,calendar!J308)</f>
        <v>No Event</v>
      </c>
      <c r="J673" t="str">
        <f>_xlfn.XLOOKUP(Sheet1[[#This Row],[day_id]],calendar!A308,calendar!K308)</f>
        <v>No Event Type</v>
      </c>
      <c r="K673">
        <f>_xlfn.XLOOKUP(Sheet1[[#This Row],[day_id]],calendar!A308,calendar!I308)</f>
        <v>1</v>
      </c>
    </row>
    <row r="674" spans="1:11" x14ac:dyDescent="0.2">
      <c r="A674" t="s">
        <v>370</v>
      </c>
      <c r="B674" t="s">
        <v>369</v>
      </c>
      <c r="C674" t="s">
        <v>309</v>
      </c>
      <c r="D674">
        <v>10</v>
      </c>
      <c r="E674" s="1">
        <f>_xlfn.XLOOKUP(Sheet1[[#This Row],[day_id]],calendar!A309,calendar!B309)</f>
        <v>40879</v>
      </c>
      <c r="F674" t="str">
        <f>_xlfn.XLOOKUP(Sheet1[[#This Row],[day_id]],calendar!A309,calendar!C309)</f>
        <v>Friday</v>
      </c>
      <c r="G674">
        <f>_xlfn.XLOOKUP(Sheet1[[#This Row],[day_id]],calendar!A309,calendar!E309)</f>
        <v>12</v>
      </c>
      <c r="H674">
        <f>_xlfn.XLOOKUP(Sheet1[[#This Row],[day_id]],calendar!A309,calendar!F309)</f>
        <v>2011</v>
      </c>
      <c r="I674" t="str">
        <f>_xlfn.XLOOKUP(Sheet1[[#This Row],[day_id]],calendar!A309,calendar!J309)</f>
        <v>No Event</v>
      </c>
      <c r="J674" t="str">
        <f>_xlfn.XLOOKUP(Sheet1[[#This Row],[day_id]],calendar!A309,calendar!K309)</f>
        <v>No Event Type</v>
      </c>
      <c r="K674">
        <f>_xlfn.XLOOKUP(Sheet1[[#This Row],[day_id]],calendar!A309,calendar!I309)</f>
        <v>1</v>
      </c>
    </row>
    <row r="675" spans="1:11" x14ac:dyDescent="0.2">
      <c r="A675" t="s">
        <v>370</v>
      </c>
      <c r="B675" t="s">
        <v>369</v>
      </c>
      <c r="C675" t="s">
        <v>310</v>
      </c>
      <c r="D675">
        <v>4</v>
      </c>
      <c r="E675" s="1">
        <f>_xlfn.XLOOKUP(Sheet1[[#This Row],[day_id]],calendar!A310,calendar!B310)</f>
        <v>40880</v>
      </c>
      <c r="F675" t="str">
        <f>_xlfn.XLOOKUP(Sheet1[[#This Row],[day_id]],calendar!A310,calendar!C310)</f>
        <v>Saturday</v>
      </c>
      <c r="G675">
        <f>_xlfn.XLOOKUP(Sheet1[[#This Row],[day_id]],calendar!A310,calendar!E310)</f>
        <v>12</v>
      </c>
      <c r="H675">
        <f>_xlfn.XLOOKUP(Sheet1[[#This Row],[day_id]],calendar!A310,calendar!F310)</f>
        <v>2011</v>
      </c>
      <c r="I675" t="str">
        <f>_xlfn.XLOOKUP(Sheet1[[#This Row],[day_id]],calendar!A310,calendar!J310)</f>
        <v>No Event</v>
      </c>
      <c r="J675" t="str">
        <f>_xlfn.XLOOKUP(Sheet1[[#This Row],[day_id]],calendar!A310,calendar!K310)</f>
        <v>No Event Type</v>
      </c>
      <c r="K675">
        <f>_xlfn.XLOOKUP(Sheet1[[#This Row],[day_id]],calendar!A310,calendar!I310)</f>
        <v>1</v>
      </c>
    </row>
    <row r="676" spans="1:11" x14ac:dyDescent="0.2">
      <c r="A676" t="s">
        <v>370</v>
      </c>
      <c r="B676" t="s">
        <v>369</v>
      </c>
      <c r="C676" t="s">
        <v>311</v>
      </c>
      <c r="D676">
        <v>5</v>
      </c>
      <c r="E676" s="1">
        <f>_xlfn.XLOOKUP(Sheet1[[#This Row],[day_id]],calendar!A311,calendar!B311)</f>
        <v>40881</v>
      </c>
      <c r="F676" t="str">
        <f>_xlfn.XLOOKUP(Sheet1[[#This Row],[day_id]],calendar!A311,calendar!C311)</f>
        <v>Sunday</v>
      </c>
      <c r="G676">
        <f>_xlfn.XLOOKUP(Sheet1[[#This Row],[day_id]],calendar!A311,calendar!E311)</f>
        <v>12</v>
      </c>
      <c r="H676">
        <f>_xlfn.XLOOKUP(Sheet1[[#This Row],[day_id]],calendar!A311,calendar!F311)</f>
        <v>2011</v>
      </c>
      <c r="I676" t="str">
        <f>_xlfn.XLOOKUP(Sheet1[[#This Row],[day_id]],calendar!A311,calendar!J311)</f>
        <v>No Event</v>
      </c>
      <c r="J676" t="str">
        <f>_xlfn.XLOOKUP(Sheet1[[#This Row],[day_id]],calendar!A311,calendar!K311)</f>
        <v>No Event Type</v>
      </c>
      <c r="K676">
        <f>_xlfn.XLOOKUP(Sheet1[[#This Row],[day_id]],calendar!A311,calendar!I311)</f>
        <v>1</v>
      </c>
    </row>
    <row r="677" spans="1:11" x14ac:dyDescent="0.2">
      <c r="A677" t="s">
        <v>370</v>
      </c>
      <c r="B677" t="s">
        <v>369</v>
      </c>
      <c r="C677" t="s">
        <v>312</v>
      </c>
      <c r="D677">
        <v>11</v>
      </c>
      <c r="E677" s="1">
        <f>_xlfn.XLOOKUP(Sheet1[[#This Row],[day_id]],calendar!A312,calendar!B312)</f>
        <v>40882</v>
      </c>
      <c r="F677" t="str">
        <f>_xlfn.XLOOKUP(Sheet1[[#This Row],[day_id]],calendar!A312,calendar!C312)</f>
        <v>Monday</v>
      </c>
      <c r="G677">
        <f>_xlfn.XLOOKUP(Sheet1[[#This Row],[day_id]],calendar!A312,calendar!E312)</f>
        <v>12</v>
      </c>
      <c r="H677">
        <f>_xlfn.XLOOKUP(Sheet1[[#This Row],[day_id]],calendar!A312,calendar!F312)</f>
        <v>2011</v>
      </c>
      <c r="I677" t="str">
        <f>_xlfn.XLOOKUP(Sheet1[[#This Row],[day_id]],calendar!A312,calendar!J312)</f>
        <v>No Event</v>
      </c>
      <c r="J677" t="str">
        <f>_xlfn.XLOOKUP(Sheet1[[#This Row],[day_id]],calendar!A312,calendar!K312)</f>
        <v>No Event Type</v>
      </c>
      <c r="K677">
        <f>_xlfn.XLOOKUP(Sheet1[[#This Row],[day_id]],calendar!A312,calendar!I312)</f>
        <v>1</v>
      </c>
    </row>
    <row r="678" spans="1:11" x14ac:dyDescent="0.2">
      <c r="A678" t="s">
        <v>370</v>
      </c>
      <c r="B678" t="s">
        <v>369</v>
      </c>
      <c r="C678" t="s">
        <v>313</v>
      </c>
      <c r="D678">
        <v>4</v>
      </c>
      <c r="E678" s="1">
        <f>_xlfn.XLOOKUP(Sheet1[[#This Row],[day_id]],calendar!A313,calendar!B313)</f>
        <v>40883</v>
      </c>
      <c r="F678" t="str">
        <f>_xlfn.XLOOKUP(Sheet1[[#This Row],[day_id]],calendar!A313,calendar!C313)</f>
        <v>Tuesday</v>
      </c>
      <c r="G678">
        <f>_xlfn.XLOOKUP(Sheet1[[#This Row],[day_id]],calendar!A313,calendar!E313)</f>
        <v>12</v>
      </c>
      <c r="H678">
        <f>_xlfn.XLOOKUP(Sheet1[[#This Row],[day_id]],calendar!A313,calendar!F313)</f>
        <v>2011</v>
      </c>
      <c r="I678" t="str">
        <f>_xlfn.XLOOKUP(Sheet1[[#This Row],[day_id]],calendar!A313,calendar!J313)</f>
        <v>No Event</v>
      </c>
      <c r="J678" t="str">
        <f>_xlfn.XLOOKUP(Sheet1[[#This Row],[day_id]],calendar!A313,calendar!K313)</f>
        <v>No Event Type</v>
      </c>
      <c r="K678">
        <f>_xlfn.XLOOKUP(Sheet1[[#This Row],[day_id]],calendar!A313,calendar!I313)</f>
        <v>1</v>
      </c>
    </row>
    <row r="679" spans="1:11" x14ac:dyDescent="0.2">
      <c r="A679" t="s">
        <v>370</v>
      </c>
      <c r="B679" t="s">
        <v>369</v>
      </c>
      <c r="C679" t="s">
        <v>314</v>
      </c>
      <c r="D679">
        <v>7</v>
      </c>
      <c r="E679" s="1">
        <f>_xlfn.XLOOKUP(Sheet1[[#This Row],[day_id]],calendar!A314,calendar!B314)</f>
        <v>40884</v>
      </c>
      <c r="F679" t="str">
        <f>_xlfn.XLOOKUP(Sheet1[[#This Row],[day_id]],calendar!A314,calendar!C314)</f>
        <v>Wednesday</v>
      </c>
      <c r="G679">
        <f>_xlfn.XLOOKUP(Sheet1[[#This Row],[day_id]],calendar!A314,calendar!E314)</f>
        <v>12</v>
      </c>
      <c r="H679">
        <f>_xlfn.XLOOKUP(Sheet1[[#This Row],[day_id]],calendar!A314,calendar!F314)</f>
        <v>2011</v>
      </c>
      <c r="I679" t="str">
        <f>_xlfn.XLOOKUP(Sheet1[[#This Row],[day_id]],calendar!A314,calendar!J314)</f>
        <v>No Event</v>
      </c>
      <c r="J679" t="str">
        <f>_xlfn.XLOOKUP(Sheet1[[#This Row],[day_id]],calendar!A314,calendar!K314)</f>
        <v>No Event Type</v>
      </c>
      <c r="K679">
        <f>_xlfn.XLOOKUP(Sheet1[[#This Row],[day_id]],calendar!A314,calendar!I314)</f>
        <v>1</v>
      </c>
    </row>
    <row r="680" spans="1:11" x14ac:dyDescent="0.2">
      <c r="A680" t="s">
        <v>370</v>
      </c>
      <c r="B680" t="s">
        <v>369</v>
      </c>
      <c r="C680" t="s">
        <v>315</v>
      </c>
      <c r="D680">
        <v>3</v>
      </c>
      <c r="E680" s="1">
        <f>_xlfn.XLOOKUP(Sheet1[[#This Row],[day_id]],calendar!A315,calendar!B315)</f>
        <v>40885</v>
      </c>
      <c r="F680" t="str">
        <f>_xlfn.XLOOKUP(Sheet1[[#This Row],[day_id]],calendar!A315,calendar!C315)</f>
        <v>Thursday</v>
      </c>
      <c r="G680">
        <f>_xlfn.XLOOKUP(Sheet1[[#This Row],[day_id]],calendar!A315,calendar!E315)</f>
        <v>12</v>
      </c>
      <c r="H680">
        <f>_xlfn.XLOOKUP(Sheet1[[#This Row],[day_id]],calendar!A315,calendar!F315)</f>
        <v>2011</v>
      </c>
      <c r="I680" t="str">
        <f>_xlfn.XLOOKUP(Sheet1[[#This Row],[day_id]],calendar!A315,calendar!J315)</f>
        <v>No Event</v>
      </c>
      <c r="J680" t="str">
        <f>_xlfn.XLOOKUP(Sheet1[[#This Row],[day_id]],calendar!A315,calendar!K315)</f>
        <v>No Event Type</v>
      </c>
      <c r="K680">
        <f>_xlfn.XLOOKUP(Sheet1[[#This Row],[day_id]],calendar!A315,calendar!I315)</f>
        <v>1</v>
      </c>
    </row>
    <row r="681" spans="1:11" x14ac:dyDescent="0.2">
      <c r="A681" t="s">
        <v>370</v>
      </c>
      <c r="B681" t="s">
        <v>369</v>
      </c>
      <c r="C681" t="s">
        <v>316</v>
      </c>
      <c r="D681">
        <v>11</v>
      </c>
      <c r="E681" s="1">
        <f>_xlfn.XLOOKUP(Sheet1[[#This Row],[day_id]],calendar!A316,calendar!B316)</f>
        <v>40886</v>
      </c>
      <c r="F681" t="str">
        <f>_xlfn.XLOOKUP(Sheet1[[#This Row],[day_id]],calendar!A316,calendar!C316)</f>
        <v>Friday</v>
      </c>
      <c r="G681">
        <f>_xlfn.XLOOKUP(Sheet1[[#This Row],[day_id]],calendar!A316,calendar!E316)</f>
        <v>12</v>
      </c>
      <c r="H681">
        <f>_xlfn.XLOOKUP(Sheet1[[#This Row],[day_id]],calendar!A316,calendar!F316)</f>
        <v>2011</v>
      </c>
      <c r="I681" t="str">
        <f>_xlfn.XLOOKUP(Sheet1[[#This Row],[day_id]],calendar!A316,calendar!J316)</f>
        <v>No Event</v>
      </c>
      <c r="J681" t="str">
        <f>_xlfn.XLOOKUP(Sheet1[[#This Row],[day_id]],calendar!A316,calendar!K316)</f>
        <v>No Event Type</v>
      </c>
      <c r="K681">
        <f>_xlfn.XLOOKUP(Sheet1[[#This Row],[day_id]],calendar!A316,calendar!I316)</f>
        <v>1</v>
      </c>
    </row>
    <row r="682" spans="1:11" x14ac:dyDescent="0.2">
      <c r="A682" t="s">
        <v>370</v>
      </c>
      <c r="B682" t="s">
        <v>369</v>
      </c>
      <c r="C682" t="s">
        <v>317</v>
      </c>
      <c r="D682">
        <v>10</v>
      </c>
      <c r="E682" s="1">
        <f>_xlfn.XLOOKUP(Sheet1[[#This Row],[day_id]],calendar!A317,calendar!B317)</f>
        <v>40887</v>
      </c>
      <c r="F682" t="str">
        <f>_xlfn.XLOOKUP(Sheet1[[#This Row],[day_id]],calendar!A317,calendar!C317)</f>
        <v>Saturday</v>
      </c>
      <c r="G682">
        <f>_xlfn.XLOOKUP(Sheet1[[#This Row],[day_id]],calendar!A317,calendar!E317)</f>
        <v>12</v>
      </c>
      <c r="H682">
        <f>_xlfn.XLOOKUP(Sheet1[[#This Row],[day_id]],calendar!A317,calendar!F317)</f>
        <v>2011</v>
      </c>
      <c r="I682" t="str">
        <f>_xlfn.XLOOKUP(Sheet1[[#This Row],[day_id]],calendar!A317,calendar!J317)</f>
        <v>No Event</v>
      </c>
      <c r="J682" t="str">
        <f>_xlfn.XLOOKUP(Sheet1[[#This Row],[day_id]],calendar!A317,calendar!K317)</f>
        <v>No Event Type</v>
      </c>
      <c r="K682">
        <f>_xlfn.XLOOKUP(Sheet1[[#This Row],[day_id]],calendar!A317,calendar!I317)</f>
        <v>1</v>
      </c>
    </row>
    <row r="683" spans="1:11" x14ac:dyDescent="0.2">
      <c r="A683" t="s">
        <v>370</v>
      </c>
      <c r="B683" t="s">
        <v>369</v>
      </c>
      <c r="C683" t="s">
        <v>318</v>
      </c>
      <c r="D683">
        <v>3</v>
      </c>
      <c r="E683" s="1">
        <f>_xlfn.XLOOKUP(Sheet1[[#This Row],[day_id]],calendar!A318,calendar!B318)</f>
        <v>40888</v>
      </c>
      <c r="F683" t="str">
        <f>_xlfn.XLOOKUP(Sheet1[[#This Row],[day_id]],calendar!A318,calendar!C318)</f>
        <v>Sunday</v>
      </c>
      <c r="G683">
        <f>_xlfn.XLOOKUP(Sheet1[[#This Row],[day_id]],calendar!A318,calendar!E318)</f>
        <v>12</v>
      </c>
      <c r="H683">
        <f>_xlfn.XLOOKUP(Sheet1[[#This Row],[day_id]],calendar!A318,calendar!F318)</f>
        <v>2011</v>
      </c>
      <c r="I683" t="str">
        <f>_xlfn.XLOOKUP(Sheet1[[#This Row],[day_id]],calendar!A318,calendar!J318)</f>
        <v>No Event</v>
      </c>
      <c r="J683" t="str">
        <f>_xlfn.XLOOKUP(Sheet1[[#This Row],[day_id]],calendar!A318,calendar!K318)</f>
        <v>No Event Type</v>
      </c>
      <c r="K683">
        <f>_xlfn.XLOOKUP(Sheet1[[#This Row],[day_id]],calendar!A318,calendar!I318)</f>
        <v>0</v>
      </c>
    </row>
    <row r="684" spans="1:11" x14ac:dyDescent="0.2">
      <c r="A684" t="s">
        <v>370</v>
      </c>
      <c r="B684" t="s">
        <v>369</v>
      </c>
      <c r="C684" t="s">
        <v>319</v>
      </c>
      <c r="D684">
        <v>4</v>
      </c>
      <c r="E684" s="1">
        <f>_xlfn.XLOOKUP(Sheet1[[#This Row],[day_id]],calendar!A319,calendar!B319)</f>
        <v>40889</v>
      </c>
      <c r="F684" t="str">
        <f>_xlfn.XLOOKUP(Sheet1[[#This Row],[day_id]],calendar!A319,calendar!C319)</f>
        <v>Monday</v>
      </c>
      <c r="G684">
        <f>_xlfn.XLOOKUP(Sheet1[[#This Row],[day_id]],calendar!A319,calendar!E319)</f>
        <v>12</v>
      </c>
      <c r="H684">
        <f>_xlfn.XLOOKUP(Sheet1[[#This Row],[day_id]],calendar!A319,calendar!F319)</f>
        <v>2011</v>
      </c>
      <c r="I684" t="str">
        <f>_xlfn.XLOOKUP(Sheet1[[#This Row],[day_id]],calendar!A319,calendar!J319)</f>
        <v>No Event</v>
      </c>
      <c r="J684" t="str">
        <f>_xlfn.XLOOKUP(Sheet1[[#This Row],[day_id]],calendar!A319,calendar!K319)</f>
        <v>No Event Type</v>
      </c>
      <c r="K684">
        <f>_xlfn.XLOOKUP(Sheet1[[#This Row],[day_id]],calendar!A319,calendar!I319)</f>
        <v>0</v>
      </c>
    </row>
    <row r="685" spans="1:11" x14ac:dyDescent="0.2">
      <c r="A685" t="s">
        <v>370</v>
      </c>
      <c r="B685" t="s">
        <v>369</v>
      </c>
      <c r="C685" t="s">
        <v>320</v>
      </c>
      <c r="D685">
        <v>2</v>
      </c>
      <c r="E685" s="1">
        <f>_xlfn.XLOOKUP(Sheet1[[#This Row],[day_id]],calendar!A320,calendar!B320)</f>
        <v>40890</v>
      </c>
      <c r="F685" t="str">
        <f>_xlfn.XLOOKUP(Sheet1[[#This Row],[day_id]],calendar!A320,calendar!C320)</f>
        <v>Tuesday</v>
      </c>
      <c r="G685">
        <f>_xlfn.XLOOKUP(Sheet1[[#This Row],[day_id]],calendar!A320,calendar!E320)</f>
        <v>12</v>
      </c>
      <c r="H685">
        <f>_xlfn.XLOOKUP(Sheet1[[#This Row],[day_id]],calendar!A320,calendar!F320)</f>
        <v>2011</v>
      </c>
      <c r="I685" t="str">
        <f>_xlfn.XLOOKUP(Sheet1[[#This Row],[day_id]],calendar!A320,calendar!J320)</f>
        <v>No Event</v>
      </c>
      <c r="J685" t="str">
        <f>_xlfn.XLOOKUP(Sheet1[[#This Row],[day_id]],calendar!A320,calendar!K320)</f>
        <v>No Event Type</v>
      </c>
      <c r="K685">
        <f>_xlfn.XLOOKUP(Sheet1[[#This Row],[day_id]],calendar!A320,calendar!I320)</f>
        <v>0</v>
      </c>
    </row>
    <row r="686" spans="1:11" x14ac:dyDescent="0.2">
      <c r="A686" t="s">
        <v>370</v>
      </c>
      <c r="B686" t="s">
        <v>369</v>
      </c>
      <c r="C686" t="s">
        <v>321</v>
      </c>
      <c r="D686">
        <v>8</v>
      </c>
      <c r="E686" s="1">
        <f>_xlfn.XLOOKUP(Sheet1[[#This Row],[day_id]],calendar!A321,calendar!B321)</f>
        <v>40891</v>
      </c>
      <c r="F686" t="str">
        <f>_xlfn.XLOOKUP(Sheet1[[#This Row],[day_id]],calendar!A321,calendar!C321)</f>
        <v>Wednesday</v>
      </c>
      <c r="G686">
        <f>_xlfn.XLOOKUP(Sheet1[[#This Row],[day_id]],calendar!A321,calendar!E321)</f>
        <v>12</v>
      </c>
      <c r="H686">
        <f>_xlfn.XLOOKUP(Sheet1[[#This Row],[day_id]],calendar!A321,calendar!F321)</f>
        <v>2011</v>
      </c>
      <c r="I686" t="str">
        <f>_xlfn.XLOOKUP(Sheet1[[#This Row],[day_id]],calendar!A321,calendar!J321)</f>
        <v>No Event</v>
      </c>
      <c r="J686" t="str">
        <f>_xlfn.XLOOKUP(Sheet1[[#This Row],[day_id]],calendar!A321,calendar!K321)</f>
        <v>No Event Type</v>
      </c>
      <c r="K686">
        <f>_xlfn.XLOOKUP(Sheet1[[#This Row],[day_id]],calendar!A321,calendar!I321)</f>
        <v>0</v>
      </c>
    </row>
    <row r="687" spans="1:11" x14ac:dyDescent="0.2">
      <c r="A687" t="s">
        <v>370</v>
      </c>
      <c r="B687" t="s">
        <v>369</v>
      </c>
      <c r="C687" t="s">
        <v>322</v>
      </c>
      <c r="D687">
        <v>3</v>
      </c>
      <c r="E687" s="1">
        <f>_xlfn.XLOOKUP(Sheet1[[#This Row],[day_id]],calendar!A322,calendar!B322)</f>
        <v>40892</v>
      </c>
      <c r="F687" t="str">
        <f>_xlfn.XLOOKUP(Sheet1[[#This Row],[day_id]],calendar!A322,calendar!C322)</f>
        <v>Thursday</v>
      </c>
      <c r="G687">
        <f>_xlfn.XLOOKUP(Sheet1[[#This Row],[day_id]],calendar!A322,calendar!E322)</f>
        <v>12</v>
      </c>
      <c r="H687">
        <f>_xlfn.XLOOKUP(Sheet1[[#This Row],[day_id]],calendar!A322,calendar!F322)</f>
        <v>2011</v>
      </c>
      <c r="I687" t="str">
        <f>_xlfn.XLOOKUP(Sheet1[[#This Row],[day_id]],calendar!A322,calendar!J322)</f>
        <v>No Event</v>
      </c>
      <c r="J687" t="str">
        <f>_xlfn.XLOOKUP(Sheet1[[#This Row],[day_id]],calendar!A322,calendar!K322)</f>
        <v>No Event Type</v>
      </c>
      <c r="K687">
        <f>_xlfn.XLOOKUP(Sheet1[[#This Row],[day_id]],calendar!A322,calendar!I322)</f>
        <v>0</v>
      </c>
    </row>
    <row r="688" spans="1:11" x14ac:dyDescent="0.2">
      <c r="A688" t="s">
        <v>370</v>
      </c>
      <c r="B688" t="s">
        <v>369</v>
      </c>
      <c r="C688" t="s">
        <v>323</v>
      </c>
      <c r="D688">
        <v>4</v>
      </c>
      <c r="E688" s="1">
        <f>_xlfn.XLOOKUP(Sheet1[[#This Row],[day_id]],calendar!A323,calendar!B323)</f>
        <v>40893</v>
      </c>
      <c r="F688" t="str">
        <f>_xlfn.XLOOKUP(Sheet1[[#This Row],[day_id]],calendar!A323,calendar!C323)</f>
        <v>Friday</v>
      </c>
      <c r="G688">
        <f>_xlfn.XLOOKUP(Sheet1[[#This Row],[day_id]],calendar!A323,calendar!E323)</f>
        <v>12</v>
      </c>
      <c r="H688">
        <f>_xlfn.XLOOKUP(Sheet1[[#This Row],[day_id]],calendar!A323,calendar!F323)</f>
        <v>2011</v>
      </c>
      <c r="I688" t="str">
        <f>_xlfn.XLOOKUP(Sheet1[[#This Row],[day_id]],calendar!A323,calendar!J323)</f>
        <v>No Event</v>
      </c>
      <c r="J688" t="str">
        <f>_xlfn.XLOOKUP(Sheet1[[#This Row],[day_id]],calendar!A323,calendar!K323)</f>
        <v>No Event Type</v>
      </c>
      <c r="K688">
        <f>_xlfn.XLOOKUP(Sheet1[[#This Row],[day_id]],calendar!A323,calendar!I323)</f>
        <v>0</v>
      </c>
    </row>
    <row r="689" spans="1:11" x14ac:dyDescent="0.2">
      <c r="A689" t="s">
        <v>370</v>
      </c>
      <c r="B689" t="s">
        <v>369</v>
      </c>
      <c r="C689" t="s">
        <v>324</v>
      </c>
      <c r="D689">
        <v>6</v>
      </c>
      <c r="E689" s="1">
        <f>_xlfn.XLOOKUP(Sheet1[[#This Row],[day_id]],calendar!A324,calendar!B324)</f>
        <v>40894</v>
      </c>
      <c r="F689" t="str">
        <f>_xlfn.XLOOKUP(Sheet1[[#This Row],[day_id]],calendar!A324,calendar!C324)</f>
        <v>Saturday</v>
      </c>
      <c r="G689">
        <f>_xlfn.XLOOKUP(Sheet1[[#This Row],[day_id]],calendar!A324,calendar!E324)</f>
        <v>12</v>
      </c>
      <c r="H689">
        <f>_xlfn.XLOOKUP(Sheet1[[#This Row],[day_id]],calendar!A324,calendar!F324)</f>
        <v>2011</v>
      </c>
      <c r="I689" t="str">
        <f>_xlfn.XLOOKUP(Sheet1[[#This Row],[day_id]],calendar!A324,calendar!J324)</f>
        <v>No Event</v>
      </c>
      <c r="J689" t="str">
        <f>_xlfn.XLOOKUP(Sheet1[[#This Row],[day_id]],calendar!A324,calendar!K324)</f>
        <v>No Event Type</v>
      </c>
      <c r="K689">
        <f>_xlfn.XLOOKUP(Sheet1[[#This Row],[day_id]],calendar!A324,calendar!I324)</f>
        <v>0</v>
      </c>
    </row>
    <row r="690" spans="1:11" x14ac:dyDescent="0.2">
      <c r="A690" t="s">
        <v>370</v>
      </c>
      <c r="B690" t="s">
        <v>369</v>
      </c>
      <c r="C690" t="s">
        <v>325</v>
      </c>
      <c r="D690">
        <v>7</v>
      </c>
      <c r="E690" s="1">
        <f>_xlfn.XLOOKUP(Sheet1[[#This Row],[day_id]],calendar!A325,calendar!B325)</f>
        <v>40895</v>
      </c>
      <c r="F690" t="str">
        <f>_xlfn.XLOOKUP(Sheet1[[#This Row],[day_id]],calendar!A325,calendar!C325)</f>
        <v>Sunday</v>
      </c>
      <c r="G690">
        <f>_xlfn.XLOOKUP(Sheet1[[#This Row],[day_id]],calendar!A325,calendar!E325)</f>
        <v>12</v>
      </c>
      <c r="H690">
        <f>_xlfn.XLOOKUP(Sheet1[[#This Row],[day_id]],calendar!A325,calendar!F325)</f>
        <v>2011</v>
      </c>
      <c r="I690" t="str">
        <f>_xlfn.XLOOKUP(Sheet1[[#This Row],[day_id]],calendar!A325,calendar!J325)</f>
        <v>No Event</v>
      </c>
      <c r="J690" t="str">
        <f>_xlfn.XLOOKUP(Sheet1[[#This Row],[day_id]],calendar!A325,calendar!K325)</f>
        <v>No Event Type</v>
      </c>
      <c r="K690">
        <f>_xlfn.XLOOKUP(Sheet1[[#This Row],[day_id]],calendar!A325,calendar!I325)</f>
        <v>0</v>
      </c>
    </row>
    <row r="691" spans="1:11" x14ac:dyDescent="0.2">
      <c r="A691" t="s">
        <v>370</v>
      </c>
      <c r="B691" t="s">
        <v>369</v>
      </c>
      <c r="C691" t="s">
        <v>326</v>
      </c>
      <c r="D691">
        <v>3</v>
      </c>
      <c r="E691" s="1">
        <f>_xlfn.XLOOKUP(Sheet1[[#This Row],[day_id]],calendar!A326,calendar!B326)</f>
        <v>40896</v>
      </c>
      <c r="F691" t="str">
        <f>_xlfn.XLOOKUP(Sheet1[[#This Row],[day_id]],calendar!A326,calendar!C326)</f>
        <v>Monday</v>
      </c>
      <c r="G691">
        <f>_xlfn.XLOOKUP(Sheet1[[#This Row],[day_id]],calendar!A326,calendar!E326)</f>
        <v>12</v>
      </c>
      <c r="H691">
        <f>_xlfn.XLOOKUP(Sheet1[[#This Row],[day_id]],calendar!A326,calendar!F326)</f>
        <v>2011</v>
      </c>
      <c r="I691" t="str">
        <f>_xlfn.XLOOKUP(Sheet1[[#This Row],[day_id]],calendar!A326,calendar!J326)</f>
        <v>No Event</v>
      </c>
      <c r="J691" t="str">
        <f>_xlfn.XLOOKUP(Sheet1[[#This Row],[day_id]],calendar!A326,calendar!K326)</f>
        <v>No Event Type</v>
      </c>
      <c r="K691">
        <f>_xlfn.XLOOKUP(Sheet1[[#This Row],[day_id]],calendar!A326,calendar!I326)</f>
        <v>0</v>
      </c>
    </row>
    <row r="692" spans="1:11" x14ac:dyDescent="0.2">
      <c r="A692" t="s">
        <v>370</v>
      </c>
      <c r="B692" t="s">
        <v>369</v>
      </c>
      <c r="C692" t="s">
        <v>327</v>
      </c>
      <c r="D692">
        <v>25</v>
      </c>
      <c r="E692" s="1">
        <f>_xlfn.XLOOKUP(Sheet1[[#This Row],[day_id]],calendar!A327,calendar!B327)</f>
        <v>40897</v>
      </c>
      <c r="F692" t="str">
        <f>_xlfn.XLOOKUP(Sheet1[[#This Row],[day_id]],calendar!A327,calendar!C327)</f>
        <v>Tuesday</v>
      </c>
      <c r="G692">
        <f>_xlfn.XLOOKUP(Sheet1[[#This Row],[day_id]],calendar!A327,calendar!E327)</f>
        <v>12</v>
      </c>
      <c r="H692">
        <f>_xlfn.XLOOKUP(Sheet1[[#This Row],[day_id]],calendar!A327,calendar!F327)</f>
        <v>2011</v>
      </c>
      <c r="I692" t="str">
        <f>_xlfn.XLOOKUP(Sheet1[[#This Row],[day_id]],calendar!A327,calendar!J327)</f>
        <v>No Event</v>
      </c>
      <c r="J692" t="str">
        <f>_xlfn.XLOOKUP(Sheet1[[#This Row],[day_id]],calendar!A327,calendar!K327)</f>
        <v>No Event Type</v>
      </c>
      <c r="K692">
        <f>_xlfn.XLOOKUP(Sheet1[[#This Row],[day_id]],calendar!A327,calendar!I327)</f>
        <v>0</v>
      </c>
    </row>
    <row r="693" spans="1:11" x14ac:dyDescent="0.2">
      <c r="A693" t="s">
        <v>370</v>
      </c>
      <c r="B693" t="s">
        <v>369</v>
      </c>
      <c r="C693" t="s">
        <v>328</v>
      </c>
      <c r="D693">
        <v>20</v>
      </c>
      <c r="E693" s="1">
        <f>_xlfn.XLOOKUP(Sheet1[[#This Row],[day_id]],calendar!A328,calendar!B328)</f>
        <v>40898</v>
      </c>
      <c r="F693" t="str">
        <f>_xlfn.XLOOKUP(Sheet1[[#This Row],[day_id]],calendar!A328,calendar!C328)</f>
        <v>Wednesday</v>
      </c>
      <c r="G693">
        <f>_xlfn.XLOOKUP(Sheet1[[#This Row],[day_id]],calendar!A328,calendar!E328)</f>
        <v>12</v>
      </c>
      <c r="H693">
        <f>_xlfn.XLOOKUP(Sheet1[[#This Row],[day_id]],calendar!A328,calendar!F328)</f>
        <v>2011</v>
      </c>
      <c r="I693" t="str">
        <f>_xlfn.XLOOKUP(Sheet1[[#This Row],[day_id]],calendar!A328,calendar!J328)</f>
        <v>No Event</v>
      </c>
      <c r="J693" t="str">
        <f>_xlfn.XLOOKUP(Sheet1[[#This Row],[day_id]],calendar!A328,calendar!K328)</f>
        <v>No Event Type</v>
      </c>
      <c r="K693">
        <f>_xlfn.XLOOKUP(Sheet1[[#This Row],[day_id]],calendar!A328,calendar!I328)</f>
        <v>0</v>
      </c>
    </row>
    <row r="694" spans="1:11" x14ac:dyDescent="0.2">
      <c r="A694" t="s">
        <v>370</v>
      </c>
      <c r="B694" t="s">
        <v>369</v>
      </c>
      <c r="C694" t="s">
        <v>329</v>
      </c>
      <c r="D694">
        <v>18</v>
      </c>
      <c r="E694" s="1">
        <f>_xlfn.XLOOKUP(Sheet1[[#This Row],[day_id]],calendar!A329,calendar!B329)</f>
        <v>40899</v>
      </c>
      <c r="F694" t="str">
        <f>_xlfn.XLOOKUP(Sheet1[[#This Row],[day_id]],calendar!A329,calendar!C329)</f>
        <v>Thursday</v>
      </c>
      <c r="G694">
        <f>_xlfn.XLOOKUP(Sheet1[[#This Row],[day_id]],calendar!A329,calendar!E329)</f>
        <v>12</v>
      </c>
      <c r="H694">
        <f>_xlfn.XLOOKUP(Sheet1[[#This Row],[day_id]],calendar!A329,calendar!F329)</f>
        <v>2011</v>
      </c>
      <c r="I694" t="str">
        <f>_xlfn.XLOOKUP(Sheet1[[#This Row],[day_id]],calendar!A329,calendar!J329)</f>
        <v>No Event</v>
      </c>
      <c r="J694" t="str">
        <f>_xlfn.XLOOKUP(Sheet1[[#This Row],[day_id]],calendar!A329,calendar!K329)</f>
        <v>No Event Type</v>
      </c>
      <c r="K694">
        <f>_xlfn.XLOOKUP(Sheet1[[#This Row],[day_id]],calendar!A329,calendar!I329)</f>
        <v>0</v>
      </c>
    </row>
    <row r="695" spans="1:11" x14ac:dyDescent="0.2">
      <c r="A695" t="s">
        <v>370</v>
      </c>
      <c r="B695" t="s">
        <v>369</v>
      </c>
      <c r="C695" t="s">
        <v>330</v>
      </c>
      <c r="D695">
        <v>9</v>
      </c>
      <c r="E695" s="1">
        <f>_xlfn.XLOOKUP(Sheet1[[#This Row],[day_id]],calendar!A330,calendar!B330)</f>
        <v>40900</v>
      </c>
      <c r="F695" t="str">
        <f>_xlfn.XLOOKUP(Sheet1[[#This Row],[day_id]],calendar!A330,calendar!C330)</f>
        <v>Friday</v>
      </c>
      <c r="G695">
        <f>_xlfn.XLOOKUP(Sheet1[[#This Row],[day_id]],calendar!A330,calendar!E330)</f>
        <v>12</v>
      </c>
      <c r="H695">
        <f>_xlfn.XLOOKUP(Sheet1[[#This Row],[day_id]],calendar!A330,calendar!F330)</f>
        <v>2011</v>
      </c>
      <c r="I695" t="str">
        <f>_xlfn.XLOOKUP(Sheet1[[#This Row],[day_id]],calendar!A330,calendar!J330)</f>
        <v>No Event</v>
      </c>
      <c r="J695" t="str">
        <f>_xlfn.XLOOKUP(Sheet1[[#This Row],[day_id]],calendar!A330,calendar!K330)</f>
        <v>No Event Type</v>
      </c>
      <c r="K695">
        <f>_xlfn.XLOOKUP(Sheet1[[#This Row],[day_id]],calendar!A330,calendar!I330)</f>
        <v>0</v>
      </c>
    </row>
    <row r="696" spans="1:11" x14ac:dyDescent="0.2">
      <c r="A696" t="s">
        <v>370</v>
      </c>
      <c r="B696" t="s">
        <v>369</v>
      </c>
      <c r="C696" t="s">
        <v>331</v>
      </c>
      <c r="D696">
        <v>5</v>
      </c>
      <c r="E696" s="1">
        <f>_xlfn.XLOOKUP(Sheet1[[#This Row],[day_id]],calendar!A331,calendar!B331)</f>
        <v>40901</v>
      </c>
      <c r="F696" t="str">
        <f>_xlfn.XLOOKUP(Sheet1[[#This Row],[day_id]],calendar!A331,calendar!C331)</f>
        <v>Saturday</v>
      </c>
      <c r="G696">
        <f>_xlfn.XLOOKUP(Sheet1[[#This Row],[day_id]],calendar!A331,calendar!E331)</f>
        <v>12</v>
      </c>
      <c r="H696">
        <f>_xlfn.XLOOKUP(Sheet1[[#This Row],[day_id]],calendar!A331,calendar!F331)</f>
        <v>2011</v>
      </c>
      <c r="I696" t="str">
        <f>_xlfn.XLOOKUP(Sheet1[[#This Row],[day_id]],calendar!A331,calendar!J331)</f>
        <v>No Event</v>
      </c>
      <c r="J696" t="str">
        <f>_xlfn.XLOOKUP(Sheet1[[#This Row],[day_id]],calendar!A331,calendar!K331)</f>
        <v>No Event Type</v>
      </c>
      <c r="K696">
        <f>_xlfn.XLOOKUP(Sheet1[[#This Row],[day_id]],calendar!A331,calendar!I331)</f>
        <v>0</v>
      </c>
    </row>
    <row r="697" spans="1:11" x14ac:dyDescent="0.2">
      <c r="A697" t="s">
        <v>370</v>
      </c>
      <c r="B697" t="s">
        <v>369</v>
      </c>
      <c r="C697" t="s">
        <v>332</v>
      </c>
      <c r="D697">
        <v>0</v>
      </c>
      <c r="E697" s="1">
        <f>_xlfn.XLOOKUP(Sheet1[[#This Row],[day_id]],calendar!A332,calendar!B332)</f>
        <v>40902</v>
      </c>
      <c r="F697" t="str">
        <f>_xlfn.XLOOKUP(Sheet1[[#This Row],[day_id]],calendar!A332,calendar!C332)</f>
        <v>Sunday</v>
      </c>
      <c r="G697">
        <f>_xlfn.XLOOKUP(Sheet1[[#This Row],[day_id]],calendar!A332,calendar!E332)</f>
        <v>12</v>
      </c>
      <c r="H697">
        <f>_xlfn.XLOOKUP(Sheet1[[#This Row],[day_id]],calendar!A332,calendar!F332)</f>
        <v>2011</v>
      </c>
      <c r="I697" t="str">
        <f>_xlfn.XLOOKUP(Sheet1[[#This Row],[day_id]],calendar!A332,calendar!J332)</f>
        <v>Christmas</v>
      </c>
      <c r="J697" t="str">
        <f>_xlfn.XLOOKUP(Sheet1[[#This Row],[day_id]],calendar!A332,calendar!K332)</f>
        <v>National</v>
      </c>
      <c r="K697">
        <f>_xlfn.XLOOKUP(Sheet1[[#This Row],[day_id]],calendar!A332,calendar!I332)</f>
        <v>0</v>
      </c>
    </row>
    <row r="698" spans="1:11" x14ac:dyDescent="0.2">
      <c r="A698" t="s">
        <v>370</v>
      </c>
      <c r="B698" t="s">
        <v>369</v>
      </c>
      <c r="C698" t="s">
        <v>333</v>
      </c>
      <c r="D698">
        <v>3</v>
      </c>
      <c r="E698" s="1">
        <f>_xlfn.XLOOKUP(Sheet1[[#This Row],[day_id]],calendar!A333,calendar!B333)</f>
        <v>40903</v>
      </c>
      <c r="F698" t="str">
        <f>_xlfn.XLOOKUP(Sheet1[[#This Row],[day_id]],calendar!A333,calendar!C333)</f>
        <v>Monday</v>
      </c>
      <c r="G698">
        <f>_xlfn.XLOOKUP(Sheet1[[#This Row],[day_id]],calendar!A333,calendar!E333)</f>
        <v>12</v>
      </c>
      <c r="H698">
        <f>_xlfn.XLOOKUP(Sheet1[[#This Row],[day_id]],calendar!A333,calendar!F333)</f>
        <v>2011</v>
      </c>
      <c r="I698" t="str">
        <f>_xlfn.XLOOKUP(Sheet1[[#This Row],[day_id]],calendar!A333,calendar!J333)</f>
        <v>No Event</v>
      </c>
      <c r="J698" t="str">
        <f>_xlfn.XLOOKUP(Sheet1[[#This Row],[day_id]],calendar!A333,calendar!K333)</f>
        <v>No Event Type</v>
      </c>
      <c r="K698">
        <f>_xlfn.XLOOKUP(Sheet1[[#This Row],[day_id]],calendar!A333,calendar!I333)</f>
        <v>0</v>
      </c>
    </row>
    <row r="699" spans="1:11" x14ac:dyDescent="0.2">
      <c r="A699" t="s">
        <v>370</v>
      </c>
      <c r="B699" t="s">
        <v>369</v>
      </c>
      <c r="C699" t="s">
        <v>334</v>
      </c>
      <c r="D699">
        <v>6</v>
      </c>
      <c r="E699" s="1">
        <f>_xlfn.XLOOKUP(Sheet1[[#This Row],[day_id]],calendar!A334,calendar!B334)</f>
        <v>40904</v>
      </c>
      <c r="F699" t="str">
        <f>_xlfn.XLOOKUP(Sheet1[[#This Row],[day_id]],calendar!A334,calendar!C334)</f>
        <v>Tuesday</v>
      </c>
      <c r="G699">
        <f>_xlfn.XLOOKUP(Sheet1[[#This Row],[day_id]],calendar!A334,calendar!E334)</f>
        <v>12</v>
      </c>
      <c r="H699">
        <f>_xlfn.XLOOKUP(Sheet1[[#This Row],[day_id]],calendar!A334,calendar!F334)</f>
        <v>2011</v>
      </c>
      <c r="I699" t="str">
        <f>_xlfn.XLOOKUP(Sheet1[[#This Row],[day_id]],calendar!A334,calendar!J334)</f>
        <v>No Event</v>
      </c>
      <c r="J699" t="str">
        <f>_xlfn.XLOOKUP(Sheet1[[#This Row],[day_id]],calendar!A334,calendar!K334)</f>
        <v>No Event Type</v>
      </c>
      <c r="K699">
        <f>_xlfn.XLOOKUP(Sheet1[[#This Row],[day_id]],calendar!A334,calendar!I334)</f>
        <v>0</v>
      </c>
    </row>
    <row r="700" spans="1:11" x14ac:dyDescent="0.2">
      <c r="A700" t="s">
        <v>370</v>
      </c>
      <c r="B700" t="s">
        <v>369</v>
      </c>
      <c r="C700" t="s">
        <v>335</v>
      </c>
      <c r="D700">
        <v>2</v>
      </c>
      <c r="E700" s="1">
        <f>_xlfn.XLOOKUP(Sheet1[[#This Row],[day_id]],calendar!A335,calendar!B335)</f>
        <v>40905</v>
      </c>
      <c r="F700" t="str">
        <f>_xlfn.XLOOKUP(Sheet1[[#This Row],[day_id]],calendar!A335,calendar!C335)</f>
        <v>Wednesday</v>
      </c>
      <c r="G700">
        <f>_xlfn.XLOOKUP(Sheet1[[#This Row],[day_id]],calendar!A335,calendar!E335)</f>
        <v>12</v>
      </c>
      <c r="H700">
        <f>_xlfn.XLOOKUP(Sheet1[[#This Row],[day_id]],calendar!A335,calendar!F335)</f>
        <v>2011</v>
      </c>
      <c r="I700" t="str">
        <f>_xlfn.XLOOKUP(Sheet1[[#This Row],[day_id]],calendar!A335,calendar!J335)</f>
        <v>Chanukah End</v>
      </c>
      <c r="J700" t="str">
        <f>_xlfn.XLOOKUP(Sheet1[[#This Row],[day_id]],calendar!A335,calendar!K335)</f>
        <v>Religious</v>
      </c>
      <c r="K700">
        <f>_xlfn.XLOOKUP(Sheet1[[#This Row],[day_id]],calendar!A335,calendar!I335)</f>
        <v>0</v>
      </c>
    </row>
    <row r="701" spans="1:11" x14ac:dyDescent="0.2">
      <c r="A701" t="s">
        <v>370</v>
      </c>
      <c r="B701" t="s">
        <v>369</v>
      </c>
      <c r="C701" t="s">
        <v>336</v>
      </c>
      <c r="D701">
        <v>1</v>
      </c>
      <c r="E701" s="1">
        <f>_xlfn.XLOOKUP(Sheet1[[#This Row],[day_id]],calendar!A336,calendar!B336)</f>
        <v>40906</v>
      </c>
      <c r="F701" t="str">
        <f>_xlfn.XLOOKUP(Sheet1[[#This Row],[day_id]],calendar!A336,calendar!C336)</f>
        <v>Thursday</v>
      </c>
      <c r="G701">
        <f>_xlfn.XLOOKUP(Sheet1[[#This Row],[day_id]],calendar!A336,calendar!E336)</f>
        <v>12</v>
      </c>
      <c r="H701">
        <f>_xlfn.XLOOKUP(Sheet1[[#This Row],[day_id]],calendar!A336,calendar!F336)</f>
        <v>2011</v>
      </c>
      <c r="I701" t="str">
        <f>_xlfn.XLOOKUP(Sheet1[[#This Row],[day_id]],calendar!A336,calendar!J336)</f>
        <v>No Event</v>
      </c>
      <c r="J701" t="str">
        <f>_xlfn.XLOOKUP(Sheet1[[#This Row],[day_id]],calendar!A336,calendar!K336)</f>
        <v>No Event Type</v>
      </c>
      <c r="K701">
        <f>_xlfn.XLOOKUP(Sheet1[[#This Row],[day_id]],calendar!A336,calendar!I336)</f>
        <v>0</v>
      </c>
    </row>
    <row r="702" spans="1:11" x14ac:dyDescent="0.2">
      <c r="A702" t="s">
        <v>370</v>
      </c>
      <c r="B702" t="s">
        <v>369</v>
      </c>
      <c r="C702" t="s">
        <v>337</v>
      </c>
      <c r="D702">
        <v>2</v>
      </c>
      <c r="E702" s="1">
        <f>_xlfn.XLOOKUP(Sheet1[[#This Row],[day_id]],calendar!A337,calendar!B337)</f>
        <v>40907</v>
      </c>
      <c r="F702" t="str">
        <f>_xlfn.XLOOKUP(Sheet1[[#This Row],[day_id]],calendar!A337,calendar!C337)</f>
        <v>Friday</v>
      </c>
      <c r="G702">
        <f>_xlfn.XLOOKUP(Sheet1[[#This Row],[day_id]],calendar!A337,calendar!E337)</f>
        <v>12</v>
      </c>
      <c r="H702">
        <f>_xlfn.XLOOKUP(Sheet1[[#This Row],[day_id]],calendar!A337,calendar!F337)</f>
        <v>2011</v>
      </c>
      <c r="I702" t="str">
        <f>_xlfn.XLOOKUP(Sheet1[[#This Row],[day_id]],calendar!A337,calendar!J337)</f>
        <v>No Event</v>
      </c>
      <c r="J702" t="str">
        <f>_xlfn.XLOOKUP(Sheet1[[#This Row],[day_id]],calendar!A337,calendar!K337)</f>
        <v>No Event Type</v>
      </c>
      <c r="K702">
        <f>_xlfn.XLOOKUP(Sheet1[[#This Row],[day_id]],calendar!A337,calendar!I337)</f>
        <v>0</v>
      </c>
    </row>
    <row r="703" spans="1:11" x14ac:dyDescent="0.2">
      <c r="A703" t="s">
        <v>370</v>
      </c>
      <c r="B703" t="s">
        <v>369</v>
      </c>
      <c r="C703" t="s">
        <v>338</v>
      </c>
      <c r="D703">
        <v>21</v>
      </c>
      <c r="E703" s="1">
        <f>_xlfn.XLOOKUP(Sheet1[[#This Row],[day_id]],calendar!A338,calendar!B338)</f>
        <v>40908</v>
      </c>
      <c r="F703" t="str">
        <f>_xlfn.XLOOKUP(Sheet1[[#This Row],[day_id]],calendar!A338,calendar!C338)</f>
        <v>Saturday</v>
      </c>
      <c r="G703">
        <f>_xlfn.XLOOKUP(Sheet1[[#This Row],[day_id]],calendar!A338,calendar!E338)</f>
        <v>12</v>
      </c>
      <c r="H703">
        <f>_xlfn.XLOOKUP(Sheet1[[#This Row],[day_id]],calendar!A338,calendar!F338)</f>
        <v>2011</v>
      </c>
      <c r="I703" t="str">
        <f>_xlfn.XLOOKUP(Sheet1[[#This Row],[day_id]],calendar!A338,calendar!J338)</f>
        <v>No Event</v>
      </c>
      <c r="J703" t="str">
        <f>_xlfn.XLOOKUP(Sheet1[[#This Row],[day_id]],calendar!A338,calendar!K338)</f>
        <v>No Event Type</v>
      </c>
      <c r="K703">
        <f>_xlfn.XLOOKUP(Sheet1[[#This Row],[day_id]],calendar!A338,calendar!I338)</f>
        <v>0</v>
      </c>
    </row>
    <row r="704" spans="1:11" x14ac:dyDescent="0.2">
      <c r="A704" t="s">
        <v>370</v>
      </c>
      <c r="B704" t="s">
        <v>369</v>
      </c>
      <c r="C704" t="s">
        <v>339</v>
      </c>
      <c r="D704">
        <v>18</v>
      </c>
      <c r="E704" s="1">
        <f>_xlfn.XLOOKUP(Sheet1[[#This Row],[day_id]],calendar!A339,calendar!B339)</f>
        <v>40909</v>
      </c>
      <c r="F704" t="str">
        <f>_xlfn.XLOOKUP(Sheet1[[#This Row],[day_id]],calendar!A339,calendar!C339)</f>
        <v>Sunday</v>
      </c>
      <c r="G704">
        <f>_xlfn.XLOOKUP(Sheet1[[#This Row],[day_id]],calendar!A339,calendar!E339)</f>
        <v>1</v>
      </c>
      <c r="H704">
        <f>_xlfn.XLOOKUP(Sheet1[[#This Row],[day_id]],calendar!A339,calendar!F339)</f>
        <v>2012</v>
      </c>
      <c r="I704" t="str">
        <f>_xlfn.XLOOKUP(Sheet1[[#This Row],[day_id]],calendar!A339,calendar!J339)</f>
        <v>NewYear</v>
      </c>
      <c r="J704" t="str">
        <f>_xlfn.XLOOKUP(Sheet1[[#This Row],[day_id]],calendar!A339,calendar!K339)</f>
        <v>National</v>
      </c>
      <c r="K704">
        <f>_xlfn.XLOOKUP(Sheet1[[#This Row],[day_id]],calendar!A339,calendar!I339)</f>
        <v>1</v>
      </c>
    </row>
    <row r="705" spans="1:11" x14ac:dyDescent="0.2">
      <c r="A705" t="s">
        <v>370</v>
      </c>
      <c r="B705" t="s">
        <v>369</v>
      </c>
      <c r="C705" t="s">
        <v>340</v>
      </c>
      <c r="D705">
        <v>10</v>
      </c>
      <c r="E705" s="1">
        <f>_xlfn.XLOOKUP(Sheet1[[#This Row],[day_id]],calendar!A340,calendar!B340)</f>
        <v>40910</v>
      </c>
      <c r="F705" t="str">
        <f>_xlfn.XLOOKUP(Sheet1[[#This Row],[day_id]],calendar!A340,calendar!C340)</f>
        <v>Monday</v>
      </c>
      <c r="G705">
        <f>_xlfn.XLOOKUP(Sheet1[[#This Row],[day_id]],calendar!A340,calendar!E340)</f>
        <v>1</v>
      </c>
      <c r="H705">
        <f>_xlfn.XLOOKUP(Sheet1[[#This Row],[day_id]],calendar!A340,calendar!F340)</f>
        <v>2012</v>
      </c>
      <c r="I705" t="str">
        <f>_xlfn.XLOOKUP(Sheet1[[#This Row],[day_id]],calendar!A340,calendar!J340)</f>
        <v>No Event</v>
      </c>
      <c r="J705" t="str">
        <f>_xlfn.XLOOKUP(Sheet1[[#This Row],[day_id]],calendar!A340,calendar!K340)</f>
        <v>No Event Type</v>
      </c>
      <c r="K705">
        <f>_xlfn.XLOOKUP(Sheet1[[#This Row],[day_id]],calendar!A340,calendar!I340)</f>
        <v>1</v>
      </c>
    </row>
    <row r="706" spans="1:11" x14ac:dyDescent="0.2">
      <c r="A706" t="s">
        <v>370</v>
      </c>
      <c r="B706" t="s">
        <v>369</v>
      </c>
      <c r="C706" t="s">
        <v>341</v>
      </c>
      <c r="D706">
        <v>12</v>
      </c>
      <c r="E706" s="1">
        <f>_xlfn.XLOOKUP(Sheet1[[#This Row],[day_id]],calendar!A341,calendar!B341)</f>
        <v>40911</v>
      </c>
      <c r="F706" t="str">
        <f>_xlfn.XLOOKUP(Sheet1[[#This Row],[day_id]],calendar!A341,calendar!C341)</f>
        <v>Tuesday</v>
      </c>
      <c r="G706">
        <f>_xlfn.XLOOKUP(Sheet1[[#This Row],[day_id]],calendar!A341,calendar!E341)</f>
        <v>1</v>
      </c>
      <c r="H706">
        <f>_xlfn.XLOOKUP(Sheet1[[#This Row],[day_id]],calendar!A341,calendar!F341)</f>
        <v>2012</v>
      </c>
      <c r="I706" t="str">
        <f>_xlfn.XLOOKUP(Sheet1[[#This Row],[day_id]],calendar!A341,calendar!J341)</f>
        <v>No Event</v>
      </c>
      <c r="J706" t="str">
        <f>_xlfn.XLOOKUP(Sheet1[[#This Row],[day_id]],calendar!A341,calendar!K341)</f>
        <v>No Event Type</v>
      </c>
      <c r="K706">
        <f>_xlfn.XLOOKUP(Sheet1[[#This Row],[day_id]],calendar!A341,calendar!I341)</f>
        <v>1</v>
      </c>
    </row>
    <row r="707" spans="1:11" x14ac:dyDescent="0.2">
      <c r="A707" t="s">
        <v>370</v>
      </c>
      <c r="B707" t="s">
        <v>369</v>
      </c>
      <c r="C707" t="s">
        <v>342</v>
      </c>
      <c r="D707">
        <v>7</v>
      </c>
      <c r="E707" s="1">
        <f>_xlfn.XLOOKUP(Sheet1[[#This Row],[day_id]],calendar!A342,calendar!B342)</f>
        <v>40912</v>
      </c>
      <c r="F707" t="str">
        <f>_xlfn.XLOOKUP(Sheet1[[#This Row],[day_id]],calendar!A342,calendar!C342)</f>
        <v>Wednesday</v>
      </c>
      <c r="G707">
        <f>_xlfn.XLOOKUP(Sheet1[[#This Row],[day_id]],calendar!A342,calendar!E342)</f>
        <v>1</v>
      </c>
      <c r="H707">
        <f>_xlfn.XLOOKUP(Sheet1[[#This Row],[day_id]],calendar!A342,calendar!F342)</f>
        <v>2012</v>
      </c>
      <c r="I707" t="str">
        <f>_xlfn.XLOOKUP(Sheet1[[#This Row],[day_id]],calendar!A342,calendar!J342)</f>
        <v>No Event</v>
      </c>
      <c r="J707" t="str">
        <f>_xlfn.XLOOKUP(Sheet1[[#This Row],[day_id]],calendar!A342,calendar!K342)</f>
        <v>No Event Type</v>
      </c>
      <c r="K707">
        <f>_xlfn.XLOOKUP(Sheet1[[#This Row],[day_id]],calendar!A342,calendar!I342)</f>
        <v>1</v>
      </c>
    </row>
    <row r="708" spans="1:11" x14ac:dyDescent="0.2">
      <c r="A708" t="s">
        <v>370</v>
      </c>
      <c r="B708" t="s">
        <v>369</v>
      </c>
      <c r="C708" t="s">
        <v>343</v>
      </c>
      <c r="D708">
        <v>3</v>
      </c>
      <c r="E708" s="1">
        <f>_xlfn.XLOOKUP(Sheet1[[#This Row],[day_id]],calendar!A343,calendar!B343)</f>
        <v>40913</v>
      </c>
      <c r="F708" t="str">
        <f>_xlfn.XLOOKUP(Sheet1[[#This Row],[day_id]],calendar!A343,calendar!C343)</f>
        <v>Thursday</v>
      </c>
      <c r="G708">
        <f>_xlfn.XLOOKUP(Sheet1[[#This Row],[day_id]],calendar!A343,calendar!E343)</f>
        <v>1</v>
      </c>
      <c r="H708">
        <f>_xlfn.XLOOKUP(Sheet1[[#This Row],[day_id]],calendar!A343,calendar!F343)</f>
        <v>2012</v>
      </c>
      <c r="I708" t="str">
        <f>_xlfn.XLOOKUP(Sheet1[[#This Row],[day_id]],calendar!A343,calendar!J343)</f>
        <v>No Event</v>
      </c>
      <c r="J708" t="str">
        <f>_xlfn.XLOOKUP(Sheet1[[#This Row],[day_id]],calendar!A343,calendar!K343)</f>
        <v>No Event Type</v>
      </c>
      <c r="K708">
        <f>_xlfn.XLOOKUP(Sheet1[[#This Row],[day_id]],calendar!A343,calendar!I343)</f>
        <v>1</v>
      </c>
    </row>
    <row r="709" spans="1:11" x14ac:dyDescent="0.2">
      <c r="A709" t="s">
        <v>370</v>
      </c>
      <c r="B709" t="s">
        <v>369</v>
      </c>
      <c r="C709" t="s">
        <v>344</v>
      </c>
      <c r="D709">
        <v>11</v>
      </c>
      <c r="E709" s="1">
        <f>_xlfn.XLOOKUP(Sheet1[[#This Row],[day_id]],calendar!A344,calendar!B344)</f>
        <v>40914</v>
      </c>
      <c r="F709" t="str">
        <f>_xlfn.XLOOKUP(Sheet1[[#This Row],[day_id]],calendar!A344,calendar!C344)</f>
        <v>Friday</v>
      </c>
      <c r="G709">
        <f>_xlfn.XLOOKUP(Sheet1[[#This Row],[day_id]],calendar!A344,calendar!E344)</f>
        <v>1</v>
      </c>
      <c r="H709">
        <f>_xlfn.XLOOKUP(Sheet1[[#This Row],[day_id]],calendar!A344,calendar!F344)</f>
        <v>2012</v>
      </c>
      <c r="I709" t="str">
        <f>_xlfn.XLOOKUP(Sheet1[[#This Row],[day_id]],calendar!A344,calendar!J344)</f>
        <v>No Event</v>
      </c>
      <c r="J709" t="str">
        <f>_xlfn.XLOOKUP(Sheet1[[#This Row],[day_id]],calendar!A344,calendar!K344)</f>
        <v>No Event Type</v>
      </c>
      <c r="K709">
        <f>_xlfn.XLOOKUP(Sheet1[[#This Row],[day_id]],calendar!A344,calendar!I344)</f>
        <v>1</v>
      </c>
    </row>
    <row r="710" spans="1:11" x14ac:dyDescent="0.2">
      <c r="A710" t="s">
        <v>370</v>
      </c>
      <c r="B710" t="s">
        <v>369</v>
      </c>
      <c r="C710" t="s">
        <v>345</v>
      </c>
      <c r="D710">
        <v>13</v>
      </c>
      <c r="E710" s="1">
        <f>_xlfn.XLOOKUP(Sheet1[[#This Row],[day_id]],calendar!A345,calendar!B345)</f>
        <v>40915</v>
      </c>
      <c r="F710" t="str">
        <f>_xlfn.XLOOKUP(Sheet1[[#This Row],[day_id]],calendar!A345,calendar!C345)</f>
        <v>Saturday</v>
      </c>
      <c r="G710">
        <f>_xlfn.XLOOKUP(Sheet1[[#This Row],[day_id]],calendar!A345,calendar!E345)</f>
        <v>1</v>
      </c>
      <c r="H710">
        <f>_xlfn.XLOOKUP(Sheet1[[#This Row],[day_id]],calendar!A345,calendar!F345)</f>
        <v>2012</v>
      </c>
      <c r="I710" t="str">
        <f>_xlfn.XLOOKUP(Sheet1[[#This Row],[day_id]],calendar!A345,calendar!J345)</f>
        <v>OrthodoxChristmas</v>
      </c>
      <c r="J710" t="str">
        <f>_xlfn.XLOOKUP(Sheet1[[#This Row],[day_id]],calendar!A345,calendar!K345)</f>
        <v>Religious</v>
      </c>
      <c r="K710">
        <f>_xlfn.XLOOKUP(Sheet1[[#This Row],[day_id]],calendar!A345,calendar!I345)</f>
        <v>1</v>
      </c>
    </row>
    <row r="711" spans="1:11" x14ac:dyDescent="0.2">
      <c r="A711" t="s">
        <v>370</v>
      </c>
      <c r="B711" t="s">
        <v>369</v>
      </c>
      <c r="C711" t="s">
        <v>346</v>
      </c>
      <c r="D711">
        <v>14</v>
      </c>
      <c r="E711" s="1">
        <f>_xlfn.XLOOKUP(Sheet1[[#This Row],[day_id]],calendar!A346,calendar!B346)</f>
        <v>40916</v>
      </c>
      <c r="F711" t="str">
        <f>_xlfn.XLOOKUP(Sheet1[[#This Row],[day_id]],calendar!A346,calendar!C346)</f>
        <v>Sunday</v>
      </c>
      <c r="G711">
        <f>_xlfn.XLOOKUP(Sheet1[[#This Row],[day_id]],calendar!A346,calendar!E346)</f>
        <v>1</v>
      </c>
      <c r="H711">
        <f>_xlfn.XLOOKUP(Sheet1[[#This Row],[day_id]],calendar!A346,calendar!F346)</f>
        <v>2012</v>
      </c>
      <c r="I711" t="str">
        <f>_xlfn.XLOOKUP(Sheet1[[#This Row],[day_id]],calendar!A346,calendar!J346)</f>
        <v>No Event</v>
      </c>
      <c r="J711" t="str">
        <f>_xlfn.XLOOKUP(Sheet1[[#This Row],[day_id]],calendar!A346,calendar!K346)</f>
        <v>No Event Type</v>
      </c>
      <c r="K711">
        <f>_xlfn.XLOOKUP(Sheet1[[#This Row],[day_id]],calendar!A346,calendar!I346)</f>
        <v>1</v>
      </c>
    </row>
    <row r="712" spans="1:11" x14ac:dyDescent="0.2">
      <c r="A712" t="s">
        <v>370</v>
      </c>
      <c r="B712" t="s">
        <v>369</v>
      </c>
      <c r="C712" t="s">
        <v>347</v>
      </c>
      <c r="D712">
        <v>13</v>
      </c>
      <c r="E712" s="1">
        <f>_xlfn.XLOOKUP(Sheet1[[#This Row],[day_id]],calendar!A347,calendar!B347)</f>
        <v>40917</v>
      </c>
      <c r="F712" t="str">
        <f>_xlfn.XLOOKUP(Sheet1[[#This Row],[day_id]],calendar!A347,calendar!C347)</f>
        <v>Monday</v>
      </c>
      <c r="G712">
        <f>_xlfn.XLOOKUP(Sheet1[[#This Row],[day_id]],calendar!A347,calendar!E347)</f>
        <v>1</v>
      </c>
      <c r="H712">
        <f>_xlfn.XLOOKUP(Sheet1[[#This Row],[day_id]],calendar!A347,calendar!F347)</f>
        <v>2012</v>
      </c>
      <c r="I712" t="str">
        <f>_xlfn.XLOOKUP(Sheet1[[#This Row],[day_id]],calendar!A347,calendar!J347)</f>
        <v>No Event</v>
      </c>
      <c r="J712" t="str">
        <f>_xlfn.XLOOKUP(Sheet1[[#This Row],[day_id]],calendar!A347,calendar!K347)</f>
        <v>No Event Type</v>
      </c>
      <c r="K712">
        <f>_xlfn.XLOOKUP(Sheet1[[#This Row],[day_id]],calendar!A347,calendar!I347)</f>
        <v>1</v>
      </c>
    </row>
    <row r="713" spans="1:11" x14ac:dyDescent="0.2">
      <c r="A713" t="s">
        <v>370</v>
      </c>
      <c r="B713" t="s">
        <v>369</v>
      </c>
      <c r="C713" t="s">
        <v>348</v>
      </c>
      <c r="D713">
        <v>6</v>
      </c>
      <c r="E713" s="1">
        <f>_xlfn.XLOOKUP(Sheet1[[#This Row],[day_id]],calendar!A348,calendar!B348)</f>
        <v>40918</v>
      </c>
      <c r="F713" t="str">
        <f>_xlfn.XLOOKUP(Sheet1[[#This Row],[day_id]],calendar!A348,calendar!C348)</f>
        <v>Tuesday</v>
      </c>
      <c r="G713">
        <f>_xlfn.XLOOKUP(Sheet1[[#This Row],[day_id]],calendar!A348,calendar!E348)</f>
        <v>1</v>
      </c>
      <c r="H713">
        <f>_xlfn.XLOOKUP(Sheet1[[#This Row],[day_id]],calendar!A348,calendar!F348)</f>
        <v>2012</v>
      </c>
      <c r="I713" t="str">
        <f>_xlfn.XLOOKUP(Sheet1[[#This Row],[day_id]],calendar!A348,calendar!J348)</f>
        <v>No Event</v>
      </c>
      <c r="J713" t="str">
        <f>_xlfn.XLOOKUP(Sheet1[[#This Row],[day_id]],calendar!A348,calendar!K348)</f>
        <v>No Event Type</v>
      </c>
      <c r="K713">
        <f>_xlfn.XLOOKUP(Sheet1[[#This Row],[day_id]],calendar!A348,calendar!I348)</f>
        <v>1</v>
      </c>
    </row>
    <row r="714" spans="1:11" x14ac:dyDescent="0.2">
      <c r="A714" t="s">
        <v>370</v>
      </c>
      <c r="B714" t="s">
        <v>369</v>
      </c>
      <c r="C714" t="s">
        <v>349</v>
      </c>
      <c r="D714">
        <v>14</v>
      </c>
      <c r="E714" s="1">
        <f>_xlfn.XLOOKUP(Sheet1[[#This Row],[day_id]],calendar!A349,calendar!B349)</f>
        <v>40919</v>
      </c>
      <c r="F714" t="str">
        <f>_xlfn.XLOOKUP(Sheet1[[#This Row],[day_id]],calendar!A349,calendar!C349)</f>
        <v>Wednesday</v>
      </c>
      <c r="G714">
        <f>_xlfn.XLOOKUP(Sheet1[[#This Row],[day_id]],calendar!A349,calendar!E349)</f>
        <v>1</v>
      </c>
      <c r="H714">
        <f>_xlfn.XLOOKUP(Sheet1[[#This Row],[day_id]],calendar!A349,calendar!F349)</f>
        <v>2012</v>
      </c>
      <c r="I714" t="str">
        <f>_xlfn.XLOOKUP(Sheet1[[#This Row],[day_id]],calendar!A349,calendar!J349)</f>
        <v>No Event</v>
      </c>
      <c r="J714" t="str">
        <f>_xlfn.XLOOKUP(Sheet1[[#This Row],[day_id]],calendar!A349,calendar!K349)</f>
        <v>No Event Type</v>
      </c>
      <c r="K714">
        <f>_xlfn.XLOOKUP(Sheet1[[#This Row],[day_id]],calendar!A349,calendar!I349)</f>
        <v>0</v>
      </c>
    </row>
    <row r="715" spans="1:11" x14ac:dyDescent="0.2">
      <c r="A715" t="s">
        <v>370</v>
      </c>
      <c r="B715" t="s">
        <v>369</v>
      </c>
      <c r="C715" t="s">
        <v>350</v>
      </c>
      <c r="D715">
        <v>8</v>
      </c>
      <c r="E715" s="1">
        <f>_xlfn.XLOOKUP(Sheet1[[#This Row],[day_id]],calendar!A350,calendar!B350)</f>
        <v>40920</v>
      </c>
      <c r="F715" t="str">
        <f>_xlfn.XLOOKUP(Sheet1[[#This Row],[day_id]],calendar!A350,calendar!C350)</f>
        <v>Thursday</v>
      </c>
      <c r="G715">
        <f>_xlfn.XLOOKUP(Sheet1[[#This Row],[day_id]],calendar!A350,calendar!E350)</f>
        <v>1</v>
      </c>
      <c r="H715">
        <f>_xlfn.XLOOKUP(Sheet1[[#This Row],[day_id]],calendar!A350,calendar!F350)</f>
        <v>2012</v>
      </c>
      <c r="I715" t="str">
        <f>_xlfn.XLOOKUP(Sheet1[[#This Row],[day_id]],calendar!A350,calendar!J350)</f>
        <v>No Event</v>
      </c>
      <c r="J715" t="str">
        <f>_xlfn.XLOOKUP(Sheet1[[#This Row],[day_id]],calendar!A350,calendar!K350)</f>
        <v>No Event Type</v>
      </c>
      <c r="K715">
        <f>_xlfn.XLOOKUP(Sheet1[[#This Row],[day_id]],calendar!A350,calendar!I350)</f>
        <v>0</v>
      </c>
    </row>
    <row r="716" spans="1:11" x14ac:dyDescent="0.2">
      <c r="A716" t="s">
        <v>370</v>
      </c>
      <c r="B716" t="s">
        <v>369</v>
      </c>
      <c r="C716" t="s">
        <v>351</v>
      </c>
      <c r="D716">
        <v>24</v>
      </c>
      <c r="E716" s="1">
        <f>_xlfn.XLOOKUP(Sheet1[[#This Row],[day_id]],calendar!A351,calendar!B351)</f>
        <v>40921</v>
      </c>
      <c r="F716" t="str">
        <f>_xlfn.XLOOKUP(Sheet1[[#This Row],[day_id]],calendar!A351,calendar!C351)</f>
        <v>Friday</v>
      </c>
      <c r="G716">
        <f>_xlfn.XLOOKUP(Sheet1[[#This Row],[day_id]],calendar!A351,calendar!E351)</f>
        <v>1</v>
      </c>
      <c r="H716">
        <f>_xlfn.XLOOKUP(Sheet1[[#This Row],[day_id]],calendar!A351,calendar!F351)</f>
        <v>2012</v>
      </c>
      <c r="I716" t="str">
        <f>_xlfn.XLOOKUP(Sheet1[[#This Row],[day_id]],calendar!A351,calendar!J351)</f>
        <v>No Event</v>
      </c>
      <c r="J716" t="str">
        <f>_xlfn.XLOOKUP(Sheet1[[#This Row],[day_id]],calendar!A351,calendar!K351)</f>
        <v>No Event Type</v>
      </c>
      <c r="K716">
        <f>_xlfn.XLOOKUP(Sheet1[[#This Row],[day_id]],calendar!A351,calendar!I351)</f>
        <v>0</v>
      </c>
    </row>
    <row r="717" spans="1:11" x14ac:dyDescent="0.2">
      <c r="A717" t="s">
        <v>370</v>
      </c>
      <c r="B717" t="s">
        <v>369</v>
      </c>
      <c r="C717" t="s">
        <v>352</v>
      </c>
      <c r="D717">
        <v>38</v>
      </c>
      <c r="E717" s="1">
        <f>_xlfn.XLOOKUP(Sheet1[[#This Row],[day_id]],calendar!A352,calendar!B352)</f>
        <v>40922</v>
      </c>
      <c r="F717" t="str">
        <f>_xlfn.XLOOKUP(Sheet1[[#This Row],[day_id]],calendar!A352,calendar!C352)</f>
        <v>Saturday</v>
      </c>
      <c r="G717">
        <f>_xlfn.XLOOKUP(Sheet1[[#This Row],[day_id]],calendar!A352,calendar!E352)</f>
        <v>1</v>
      </c>
      <c r="H717">
        <f>_xlfn.XLOOKUP(Sheet1[[#This Row],[day_id]],calendar!A352,calendar!F352)</f>
        <v>2012</v>
      </c>
      <c r="I717" t="str">
        <f>_xlfn.XLOOKUP(Sheet1[[#This Row],[day_id]],calendar!A352,calendar!J352)</f>
        <v>No Event</v>
      </c>
      <c r="J717" t="str">
        <f>_xlfn.XLOOKUP(Sheet1[[#This Row],[day_id]],calendar!A352,calendar!K352)</f>
        <v>No Event Type</v>
      </c>
      <c r="K717">
        <f>_xlfn.XLOOKUP(Sheet1[[#This Row],[day_id]],calendar!A352,calendar!I352)</f>
        <v>0</v>
      </c>
    </row>
    <row r="718" spans="1:11" x14ac:dyDescent="0.2">
      <c r="A718" t="s">
        <v>370</v>
      </c>
      <c r="B718" t="s">
        <v>369</v>
      </c>
      <c r="C718" t="s">
        <v>353</v>
      </c>
      <c r="D718">
        <v>28</v>
      </c>
      <c r="E718" s="1">
        <f>_xlfn.XLOOKUP(Sheet1[[#This Row],[day_id]],calendar!A353,calendar!B353)</f>
        <v>40923</v>
      </c>
      <c r="F718" t="str">
        <f>_xlfn.XLOOKUP(Sheet1[[#This Row],[day_id]],calendar!A353,calendar!C353)</f>
        <v>Sunday</v>
      </c>
      <c r="G718">
        <f>_xlfn.XLOOKUP(Sheet1[[#This Row],[day_id]],calendar!A353,calendar!E353)</f>
        <v>1</v>
      </c>
      <c r="H718">
        <f>_xlfn.XLOOKUP(Sheet1[[#This Row],[day_id]],calendar!A353,calendar!F353)</f>
        <v>2012</v>
      </c>
      <c r="I718" t="str">
        <f>_xlfn.XLOOKUP(Sheet1[[#This Row],[day_id]],calendar!A353,calendar!J353)</f>
        <v>No Event</v>
      </c>
      <c r="J718" t="str">
        <f>_xlfn.XLOOKUP(Sheet1[[#This Row],[day_id]],calendar!A353,calendar!K353)</f>
        <v>No Event Type</v>
      </c>
      <c r="K718">
        <f>_xlfn.XLOOKUP(Sheet1[[#This Row],[day_id]],calendar!A353,calendar!I353)</f>
        <v>0</v>
      </c>
    </row>
    <row r="719" spans="1:11" x14ac:dyDescent="0.2">
      <c r="A719" t="s">
        <v>370</v>
      </c>
      <c r="B719" t="s">
        <v>369</v>
      </c>
      <c r="C719" t="s">
        <v>354</v>
      </c>
      <c r="D719">
        <v>20</v>
      </c>
      <c r="E719" s="1">
        <f>_xlfn.XLOOKUP(Sheet1[[#This Row],[day_id]],calendar!A354,calendar!B354)</f>
        <v>40924</v>
      </c>
      <c r="F719" t="str">
        <f>_xlfn.XLOOKUP(Sheet1[[#This Row],[day_id]],calendar!A354,calendar!C354)</f>
        <v>Monday</v>
      </c>
      <c r="G719">
        <f>_xlfn.XLOOKUP(Sheet1[[#This Row],[day_id]],calendar!A354,calendar!E354)</f>
        <v>1</v>
      </c>
      <c r="H719">
        <f>_xlfn.XLOOKUP(Sheet1[[#This Row],[day_id]],calendar!A354,calendar!F354)</f>
        <v>2012</v>
      </c>
      <c r="I719" t="str">
        <f>_xlfn.XLOOKUP(Sheet1[[#This Row],[day_id]],calendar!A354,calendar!J354)</f>
        <v>MartinLutherKingDay</v>
      </c>
      <c r="J719" t="str">
        <f>_xlfn.XLOOKUP(Sheet1[[#This Row],[day_id]],calendar!A354,calendar!K354)</f>
        <v>National</v>
      </c>
      <c r="K719">
        <f>_xlfn.XLOOKUP(Sheet1[[#This Row],[day_id]],calendar!A354,calendar!I354)</f>
        <v>0</v>
      </c>
    </row>
    <row r="720" spans="1:11" x14ac:dyDescent="0.2">
      <c r="A720" t="s">
        <v>370</v>
      </c>
      <c r="B720" t="s">
        <v>369</v>
      </c>
      <c r="C720" t="s">
        <v>355</v>
      </c>
      <c r="D720">
        <v>19</v>
      </c>
      <c r="E720" s="1">
        <f>_xlfn.XLOOKUP(Sheet1[[#This Row],[day_id]],calendar!A355,calendar!B355)</f>
        <v>40925</v>
      </c>
      <c r="F720" t="str">
        <f>_xlfn.XLOOKUP(Sheet1[[#This Row],[day_id]],calendar!A355,calendar!C355)</f>
        <v>Tuesday</v>
      </c>
      <c r="G720">
        <f>_xlfn.XLOOKUP(Sheet1[[#This Row],[day_id]],calendar!A355,calendar!E355)</f>
        <v>1</v>
      </c>
      <c r="H720">
        <f>_xlfn.XLOOKUP(Sheet1[[#This Row],[day_id]],calendar!A355,calendar!F355)</f>
        <v>2012</v>
      </c>
      <c r="I720" t="str">
        <f>_xlfn.XLOOKUP(Sheet1[[#This Row],[day_id]],calendar!A355,calendar!J355)</f>
        <v>No Event</v>
      </c>
      <c r="J720" t="str">
        <f>_xlfn.XLOOKUP(Sheet1[[#This Row],[day_id]],calendar!A355,calendar!K355)</f>
        <v>No Event Type</v>
      </c>
      <c r="K720">
        <f>_xlfn.XLOOKUP(Sheet1[[#This Row],[day_id]],calendar!A355,calendar!I355)</f>
        <v>0</v>
      </c>
    </row>
    <row r="721" spans="1:11" x14ac:dyDescent="0.2">
      <c r="A721" t="s">
        <v>370</v>
      </c>
      <c r="B721" t="s">
        <v>369</v>
      </c>
      <c r="C721" t="s">
        <v>356</v>
      </c>
      <c r="D721">
        <v>23</v>
      </c>
      <c r="E721" s="1">
        <f>_xlfn.XLOOKUP(Sheet1[[#This Row],[day_id]],calendar!A356,calendar!B356)</f>
        <v>40926</v>
      </c>
      <c r="F721" t="str">
        <f>_xlfn.XLOOKUP(Sheet1[[#This Row],[day_id]],calendar!A356,calendar!C356)</f>
        <v>Wednesday</v>
      </c>
      <c r="G721">
        <f>_xlfn.XLOOKUP(Sheet1[[#This Row],[day_id]],calendar!A356,calendar!E356)</f>
        <v>1</v>
      </c>
      <c r="H721">
        <f>_xlfn.XLOOKUP(Sheet1[[#This Row],[day_id]],calendar!A356,calendar!F356)</f>
        <v>2012</v>
      </c>
      <c r="I721" t="str">
        <f>_xlfn.XLOOKUP(Sheet1[[#This Row],[day_id]],calendar!A356,calendar!J356)</f>
        <v>No Event</v>
      </c>
      <c r="J721" t="str">
        <f>_xlfn.XLOOKUP(Sheet1[[#This Row],[day_id]],calendar!A356,calendar!K356)</f>
        <v>No Event Type</v>
      </c>
      <c r="K721">
        <f>_xlfn.XLOOKUP(Sheet1[[#This Row],[day_id]],calendar!A356,calendar!I356)</f>
        <v>0</v>
      </c>
    </row>
    <row r="722" spans="1:11" x14ac:dyDescent="0.2">
      <c r="A722" t="s">
        <v>370</v>
      </c>
      <c r="B722" t="s">
        <v>369</v>
      </c>
      <c r="C722" t="s">
        <v>357</v>
      </c>
      <c r="D722">
        <v>31</v>
      </c>
      <c r="E722" s="1">
        <f>_xlfn.XLOOKUP(Sheet1[[#This Row],[day_id]],calendar!A357,calendar!B357)</f>
        <v>40927</v>
      </c>
      <c r="F722" t="str">
        <f>_xlfn.XLOOKUP(Sheet1[[#This Row],[day_id]],calendar!A357,calendar!C357)</f>
        <v>Thursday</v>
      </c>
      <c r="G722">
        <f>_xlfn.XLOOKUP(Sheet1[[#This Row],[day_id]],calendar!A357,calendar!E357)</f>
        <v>1</v>
      </c>
      <c r="H722">
        <f>_xlfn.XLOOKUP(Sheet1[[#This Row],[day_id]],calendar!A357,calendar!F357)</f>
        <v>2012</v>
      </c>
      <c r="I722" t="str">
        <f>_xlfn.XLOOKUP(Sheet1[[#This Row],[day_id]],calendar!A357,calendar!J357)</f>
        <v>No Event</v>
      </c>
      <c r="J722" t="str">
        <f>_xlfn.XLOOKUP(Sheet1[[#This Row],[day_id]],calendar!A357,calendar!K357)</f>
        <v>No Event Type</v>
      </c>
      <c r="K722">
        <f>_xlfn.XLOOKUP(Sheet1[[#This Row],[day_id]],calendar!A357,calendar!I357)</f>
        <v>0</v>
      </c>
    </row>
    <row r="723" spans="1:11" x14ac:dyDescent="0.2">
      <c r="A723" t="s">
        <v>370</v>
      </c>
      <c r="B723" t="s">
        <v>369</v>
      </c>
      <c r="C723" t="s">
        <v>358</v>
      </c>
      <c r="D723">
        <v>15</v>
      </c>
      <c r="E723" s="1">
        <f>_xlfn.XLOOKUP(Sheet1[[#This Row],[day_id]],calendar!A358,calendar!B358)</f>
        <v>40928</v>
      </c>
      <c r="F723" t="str">
        <f>_xlfn.XLOOKUP(Sheet1[[#This Row],[day_id]],calendar!A358,calendar!C358)</f>
        <v>Friday</v>
      </c>
      <c r="G723">
        <f>_xlfn.XLOOKUP(Sheet1[[#This Row],[day_id]],calendar!A358,calendar!E358)</f>
        <v>1</v>
      </c>
      <c r="H723">
        <f>_xlfn.XLOOKUP(Sheet1[[#This Row],[day_id]],calendar!A358,calendar!F358)</f>
        <v>2012</v>
      </c>
      <c r="I723" t="str">
        <f>_xlfn.XLOOKUP(Sheet1[[#This Row],[day_id]],calendar!A358,calendar!J358)</f>
        <v>No Event</v>
      </c>
      <c r="J723" t="str">
        <f>_xlfn.XLOOKUP(Sheet1[[#This Row],[day_id]],calendar!A358,calendar!K358)</f>
        <v>No Event Type</v>
      </c>
      <c r="K723">
        <f>_xlfn.XLOOKUP(Sheet1[[#This Row],[day_id]],calendar!A358,calendar!I358)</f>
        <v>0</v>
      </c>
    </row>
    <row r="724" spans="1:11" x14ac:dyDescent="0.2">
      <c r="A724" t="s">
        <v>370</v>
      </c>
      <c r="B724" t="s">
        <v>369</v>
      </c>
      <c r="C724" t="s">
        <v>359</v>
      </c>
      <c r="D724">
        <v>34</v>
      </c>
      <c r="E724" s="1">
        <f>_xlfn.XLOOKUP(Sheet1[[#This Row],[day_id]],calendar!A359,calendar!B359)</f>
        <v>40929</v>
      </c>
      <c r="F724" t="str">
        <f>_xlfn.XLOOKUP(Sheet1[[#This Row],[day_id]],calendar!A359,calendar!C359)</f>
        <v>Saturday</v>
      </c>
      <c r="G724">
        <f>_xlfn.XLOOKUP(Sheet1[[#This Row],[day_id]],calendar!A359,calendar!E359)</f>
        <v>1</v>
      </c>
      <c r="H724">
        <f>_xlfn.XLOOKUP(Sheet1[[#This Row],[day_id]],calendar!A359,calendar!F359)</f>
        <v>2012</v>
      </c>
      <c r="I724" t="str">
        <f>_xlfn.XLOOKUP(Sheet1[[#This Row],[day_id]],calendar!A359,calendar!J359)</f>
        <v>No Event</v>
      </c>
      <c r="J724" t="str">
        <f>_xlfn.XLOOKUP(Sheet1[[#This Row],[day_id]],calendar!A359,calendar!K359)</f>
        <v>No Event Type</v>
      </c>
      <c r="K724">
        <f>_xlfn.XLOOKUP(Sheet1[[#This Row],[day_id]],calendar!A359,calendar!I359)</f>
        <v>0</v>
      </c>
    </row>
    <row r="725" spans="1:11" x14ac:dyDescent="0.2">
      <c r="A725" t="s">
        <v>370</v>
      </c>
      <c r="B725" t="s">
        <v>369</v>
      </c>
      <c r="C725" t="s">
        <v>360</v>
      </c>
      <c r="D725">
        <v>14</v>
      </c>
      <c r="E725" s="1">
        <f>_xlfn.XLOOKUP(Sheet1[[#This Row],[day_id]],calendar!A360,calendar!B360)</f>
        <v>40930</v>
      </c>
      <c r="F725" t="str">
        <f>_xlfn.XLOOKUP(Sheet1[[#This Row],[day_id]],calendar!A360,calendar!C360)</f>
        <v>Sunday</v>
      </c>
      <c r="G725">
        <f>_xlfn.XLOOKUP(Sheet1[[#This Row],[day_id]],calendar!A360,calendar!E360)</f>
        <v>1</v>
      </c>
      <c r="H725">
        <f>_xlfn.XLOOKUP(Sheet1[[#This Row],[day_id]],calendar!A360,calendar!F360)</f>
        <v>2012</v>
      </c>
      <c r="I725" t="str">
        <f>_xlfn.XLOOKUP(Sheet1[[#This Row],[day_id]],calendar!A360,calendar!J360)</f>
        <v>No Event</v>
      </c>
      <c r="J725" t="str">
        <f>_xlfn.XLOOKUP(Sheet1[[#This Row],[day_id]],calendar!A360,calendar!K360)</f>
        <v>No Event Type</v>
      </c>
      <c r="K725">
        <f>_xlfn.XLOOKUP(Sheet1[[#This Row],[day_id]],calendar!A360,calendar!I360)</f>
        <v>0</v>
      </c>
    </row>
    <row r="726" spans="1:11" x14ac:dyDescent="0.2">
      <c r="A726" t="s">
        <v>370</v>
      </c>
      <c r="B726" t="s">
        <v>369</v>
      </c>
      <c r="C726" t="s">
        <v>361</v>
      </c>
      <c r="D726">
        <v>13</v>
      </c>
      <c r="E726" s="1">
        <f>_xlfn.XLOOKUP(Sheet1[[#This Row],[day_id]],calendar!A361,calendar!B361)</f>
        <v>40931</v>
      </c>
      <c r="F726" t="str">
        <f>_xlfn.XLOOKUP(Sheet1[[#This Row],[day_id]],calendar!A361,calendar!C361)</f>
        <v>Monday</v>
      </c>
      <c r="G726">
        <f>_xlfn.XLOOKUP(Sheet1[[#This Row],[day_id]],calendar!A361,calendar!E361)</f>
        <v>1</v>
      </c>
      <c r="H726">
        <f>_xlfn.XLOOKUP(Sheet1[[#This Row],[day_id]],calendar!A361,calendar!F361)</f>
        <v>2012</v>
      </c>
      <c r="I726" t="str">
        <f>_xlfn.XLOOKUP(Sheet1[[#This Row],[day_id]],calendar!A361,calendar!J361)</f>
        <v>No Event</v>
      </c>
      <c r="J726" t="str">
        <f>_xlfn.XLOOKUP(Sheet1[[#This Row],[day_id]],calendar!A361,calendar!K361)</f>
        <v>No Event Type</v>
      </c>
      <c r="K726">
        <f>_xlfn.XLOOKUP(Sheet1[[#This Row],[day_id]],calendar!A361,calendar!I361)</f>
        <v>0</v>
      </c>
    </row>
    <row r="727" spans="1:11" x14ac:dyDescent="0.2">
      <c r="A727" t="s">
        <v>370</v>
      </c>
      <c r="B727" t="s">
        <v>369</v>
      </c>
      <c r="C727" t="s">
        <v>362</v>
      </c>
      <c r="D727">
        <v>12</v>
      </c>
      <c r="E727" s="1">
        <f>_xlfn.XLOOKUP(Sheet1[[#This Row],[day_id]],calendar!A362,calendar!B362)</f>
        <v>40932</v>
      </c>
      <c r="F727" t="str">
        <f>_xlfn.XLOOKUP(Sheet1[[#This Row],[day_id]],calendar!A362,calendar!C362)</f>
        <v>Tuesday</v>
      </c>
      <c r="G727">
        <f>_xlfn.XLOOKUP(Sheet1[[#This Row],[day_id]],calendar!A362,calendar!E362)</f>
        <v>1</v>
      </c>
      <c r="H727">
        <f>_xlfn.XLOOKUP(Sheet1[[#This Row],[day_id]],calendar!A362,calendar!F362)</f>
        <v>2012</v>
      </c>
      <c r="I727" t="str">
        <f>_xlfn.XLOOKUP(Sheet1[[#This Row],[day_id]],calendar!A362,calendar!J362)</f>
        <v>No Event</v>
      </c>
      <c r="J727" t="str">
        <f>_xlfn.XLOOKUP(Sheet1[[#This Row],[day_id]],calendar!A362,calendar!K362)</f>
        <v>No Event Type</v>
      </c>
      <c r="K727">
        <f>_xlfn.XLOOKUP(Sheet1[[#This Row],[day_id]],calendar!A362,calendar!I362)</f>
        <v>0</v>
      </c>
    </row>
    <row r="728" spans="1:11" x14ac:dyDescent="0.2">
      <c r="A728" t="s">
        <v>370</v>
      </c>
      <c r="B728" t="s">
        <v>369</v>
      </c>
      <c r="C728" t="s">
        <v>363</v>
      </c>
      <c r="D728">
        <v>12</v>
      </c>
      <c r="E728" s="1">
        <f>_xlfn.XLOOKUP(Sheet1[[#This Row],[day_id]],calendar!A363,calendar!B363)</f>
        <v>40933</v>
      </c>
      <c r="F728" t="str">
        <f>_xlfn.XLOOKUP(Sheet1[[#This Row],[day_id]],calendar!A363,calendar!C363)</f>
        <v>Wednesday</v>
      </c>
      <c r="G728">
        <f>_xlfn.XLOOKUP(Sheet1[[#This Row],[day_id]],calendar!A363,calendar!E363)</f>
        <v>1</v>
      </c>
      <c r="H728">
        <f>_xlfn.XLOOKUP(Sheet1[[#This Row],[day_id]],calendar!A363,calendar!F363)</f>
        <v>2012</v>
      </c>
      <c r="I728" t="str">
        <f>_xlfn.XLOOKUP(Sheet1[[#This Row],[day_id]],calendar!A363,calendar!J363)</f>
        <v>No Event</v>
      </c>
      <c r="J728" t="str">
        <f>_xlfn.XLOOKUP(Sheet1[[#This Row],[day_id]],calendar!A363,calendar!K363)</f>
        <v>No Event Type</v>
      </c>
      <c r="K728">
        <f>_xlfn.XLOOKUP(Sheet1[[#This Row],[day_id]],calendar!A363,calendar!I363)</f>
        <v>0</v>
      </c>
    </row>
    <row r="729" spans="1:11" x14ac:dyDescent="0.2">
      <c r="A729" t="s">
        <v>370</v>
      </c>
      <c r="B729" t="s">
        <v>369</v>
      </c>
      <c r="C729" t="s">
        <v>364</v>
      </c>
      <c r="D729">
        <v>17</v>
      </c>
      <c r="E729" s="1">
        <f>_xlfn.XLOOKUP(Sheet1[[#This Row],[day_id]],calendar!A364,calendar!B364)</f>
        <v>40934</v>
      </c>
      <c r="F729" t="str">
        <f>_xlfn.XLOOKUP(Sheet1[[#This Row],[day_id]],calendar!A364,calendar!C364)</f>
        <v>Thursday</v>
      </c>
      <c r="G729">
        <f>_xlfn.XLOOKUP(Sheet1[[#This Row],[day_id]],calendar!A364,calendar!E364)</f>
        <v>1</v>
      </c>
      <c r="H729">
        <f>_xlfn.XLOOKUP(Sheet1[[#This Row],[day_id]],calendar!A364,calendar!F364)</f>
        <v>2012</v>
      </c>
      <c r="I729" t="str">
        <f>_xlfn.XLOOKUP(Sheet1[[#This Row],[day_id]],calendar!A364,calendar!J364)</f>
        <v>No Event</v>
      </c>
      <c r="J729" t="str">
        <f>_xlfn.XLOOKUP(Sheet1[[#This Row],[day_id]],calendar!A364,calendar!K364)</f>
        <v>No Event Type</v>
      </c>
      <c r="K729">
        <f>_xlfn.XLOOKUP(Sheet1[[#This Row],[day_id]],calendar!A364,calendar!I364)</f>
        <v>0</v>
      </c>
    </row>
    <row r="730" spans="1:11" x14ac:dyDescent="0.2">
      <c r="A730" t="s">
        <v>370</v>
      </c>
      <c r="B730" t="s">
        <v>369</v>
      </c>
      <c r="C730" t="s">
        <v>365</v>
      </c>
      <c r="D730">
        <v>18</v>
      </c>
      <c r="E730" s="1">
        <f>_xlfn.XLOOKUP(Sheet1[[#This Row],[day_id]],calendar!A365,calendar!B365)</f>
        <v>40935</v>
      </c>
      <c r="F730" t="str">
        <f>_xlfn.XLOOKUP(Sheet1[[#This Row],[day_id]],calendar!A365,calendar!C365)</f>
        <v>Friday</v>
      </c>
      <c r="G730">
        <f>_xlfn.XLOOKUP(Sheet1[[#This Row],[day_id]],calendar!A365,calendar!E365)</f>
        <v>1</v>
      </c>
      <c r="H730">
        <f>_xlfn.XLOOKUP(Sheet1[[#This Row],[day_id]],calendar!A365,calendar!F365)</f>
        <v>2012</v>
      </c>
      <c r="I730" t="str">
        <f>_xlfn.XLOOKUP(Sheet1[[#This Row],[day_id]],calendar!A365,calendar!J365)</f>
        <v>No Event</v>
      </c>
      <c r="J730" t="str">
        <f>_xlfn.XLOOKUP(Sheet1[[#This Row],[day_id]],calendar!A365,calendar!K365)</f>
        <v>No Event Type</v>
      </c>
      <c r="K730">
        <f>_xlfn.XLOOKUP(Sheet1[[#This Row],[day_id]],calendar!A365,calendar!I365)</f>
        <v>0</v>
      </c>
    </row>
    <row r="731" spans="1:11" x14ac:dyDescent="0.2">
      <c r="A731" t="s">
        <v>370</v>
      </c>
      <c r="B731" t="s">
        <v>369</v>
      </c>
      <c r="C731" t="s">
        <v>366</v>
      </c>
      <c r="D731">
        <v>38</v>
      </c>
      <c r="E731" s="1">
        <f>_xlfn.XLOOKUP(Sheet1[[#This Row],[day_id]],calendar!A366,calendar!B366)</f>
        <v>40936</v>
      </c>
      <c r="F731" t="str">
        <f>_xlfn.XLOOKUP(Sheet1[[#This Row],[day_id]],calendar!A366,calendar!C366)</f>
        <v>Saturday</v>
      </c>
      <c r="G731">
        <f>_xlfn.XLOOKUP(Sheet1[[#This Row],[day_id]],calendar!A366,calendar!E366)</f>
        <v>1</v>
      </c>
      <c r="H731">
        <f>_xlfn.XLOOKUP(Sheet1[[#This Row],[day_id]],calendar!A366,calendar!F366)</f>
        <v>2012</v>
      </c>
      <c r="I731" t="str">
        <f>_xlfn.XLOOKUP(Sheet1[[#This Row],[day_id]],calendar!A366,calendar!J366)</f>
        <v>No Event</v>
      </c>
      <c r="J731" t="str">
        <f>_xlfn.XLOOKUP(Sheet1[[#This Row],[day_id]],calendar!A366,calendar!K366)</f>
        <v>No Event Type</v>
      </c>
      <c r="K731">
        <f>_xlfn.XLOOKUP(Sheet1[[#This Row],[day_id]],calendar!A366,calendar!I366)</f>
        <v>0</v>
      </c>
    </row>
    <row r="732" spans="1:11" x14ac:dyDescent="0.2">
      <c r="A732" t="s">
        <v>371</v>
      </c>
      <c r="B732" t="s">
        <v>369</v>
      </c>
      <c r="C732" t="s">
        <v>2</v>
      </c>
      <c r="D732">
        <v>17</v>
      </c>
      <c r="E732" s="1">
        <f>_xlfn.XLOOKUP(Sheet1[[#This Row],[day_id]],calendar!A2,calendar!B2)</f>
        <v>40572</v>
      </c>
      <c r="F732" t="str">
        <f>_xlfn.XLOOKUP(Sheet1[[#This Row],[day_id]],calendar!A2,calendar!C2)</f>
        <v>Saturday</v>
      </c>
      <c r="G732">
        <f>_xlfn.XLOOKUP(Sheet1[[#This Row],[day_id]],calendar!A2,calendar!E2)</f>
        <v>1</v>
      </c>
      <c r="H732">
        <f>_xlfn.XLOOKUP(Sheet1[[#This Row],[day_id]],calendar!A2,calendar!F2)</f>
        <v>2011</v>
      </c>
      <c r="I732" t="str">
        <f>_xlfn.XLOOKUP(Sheet1[[#This Row],[day_id]],calendar!A2,calendar!J2)</f>
        <v>No Event</v>
      </c>
      <c r="J732" t="str">
        <f>_xlfn.XLOOKUP(Sheet1[[#This Row],[day_id]],calendar!A2,calendar!K2)</f>
        <v>No Event Type</v>
      </c>
      <c r="K732">
        <f>_xlfn.XLOOKUP(calendar!A2,calendar!A2,calendar!I2)</f>
        <v>0</v>
      </c>
    </row>
    <row r="733" spans="1:11" x14ac:dyDescent="0.2">
      <c r="A733" t="s">
        <v>371</v>
      </c>
      <c r="B733" t="s">
        <v>369</v>
      </c>
      <c r="C733" t="s">
        <v>3</v>
      </c>
      <c r="D733">
        <v>3</v>
      </c>
      <c r="E733" s="1">
        <f>_xlfn.XLOOKUP(Sheet1[[#This Row],[day_id]],calendar!A3,calendar!B3)</f>
        <v>40573</v>
      </c>
      <c r="F733" t="str">
        <f>_xlfn.XLOOKUP(Sheet1[[#This Row],[day_id]],calendar!A3,calendar!C3)</f>
        <v>Sunday</v>
      </c>
      <c r="G733">
        <f>_xlfn.XLOOKUP(Sheet1[[#This Row],[day_id]],calendar!A3,calendar!E3)</f>
        <v>1</v>
      </c>
      <c r="H733">
        <f>_xlfn.XLOOKUP(Sheet1[[#This Row],[day_id]],calendar!A3,calendar!F3)</f>
        <v>2011</v>
      </c>
      <c r="I733" t="str">
        <f>_xlfn.XLOOKUP(Sheet1[[#This Row],[day_id]],calendar!A3,calendar!J3)</f>
        <v>No Event</v>
      </c>
      <c r="J733" t="str">
        <f>_xlfn.XLOOKUP(Sheet1[[#This Row],[day_id]],calendar!A3,calendar!K3)</f>
        <v>No Event Type</v>
      </c>
      <c r="K733">
        <f>_xlfn.XLOOKUP(calendar!A3,calendar!A3,calendar!I3)</f>
        <v>0</v>
      </c>
    </row>
    <row r="734" spans="1:11" x14ac:dyDescent="0.2">
      <c r="A734" t="s">
        <v>371</v>
      </c>
      <c r="B734" t="s">
        <v>369</v>
      </c>
      <c r="C734" t="s">
        <v>4</v>
      </c>
      <c r="D734">
        <v>8</v>
      </c>
      <c r="E734" s="1">
        <f>_xlfn.XLOOKUP(Sheet1[[#This Row],[day_id]],calendar!A4,calendar!B4)</f>
        <v>40574</v>
      </c>
      <c r="F734" t="str">
        <f>_xlfn.XLOOKUP(Sheet1[[#This Row],[day_id]],calendar!A4,calendar!C4)</f>
        <v>Monday</v>
      </c>
      <c r="G734">
        <f>_xlfn.XLOOKUP(Sheet1[[#This Row],[day_id]],calendar!A4,calendar!E4)</f>
        <v>1</v>
      </c>
      <c r="H734">
        <f>_xlfn.XLOOKUP(Sheet1[[#This Row],[day_id]],calendar!A4,calendar!F4)</f>
        <v>2011</v>
      </c>
      <c r="I734" t="str">
        <f>_xlfn.XLOOKUP(Sheet1[[#This Row],[day_id]],calendar!A4,calendar!J4)</f>
        <v>No Event</v>
      </c>
      <c r="J734" t="str">
        <f>_xlfn.XLOOKUP(Sheet1[[#This Row],[day_id]],calendar!A4,calendar!K4)</f>
        <v>No Event Type</v>
      </c>
      <c r="K734">
        <f>_xlfn.XLOOKUP(calendar!A4,calendar!A4,calendar!I4)</f>
        <v>0</v>
      </c>
    </row>
    <row r="735" spans="1:11" x14ac:dyDescent="0.2">
      <c r="A735" t="s">
        <v>371</v>
      </c>
      <c r="B735" t="s">
        <v>369</v>
      </c>
      <c r="C735" t="s">
        <v>5</v>
      </c>
      <c r="D735">
        <v>2</v>
      </c>
      <c r="E735" s="1">
        <f>_xlfn.XLOOKUP(Sheet1[[#This Row],[day_id]],calendar!A5,calendar!B5)</f>
        <v>40575</v>
      </c>
      <c r="F735" t="str">
        <f>_xlfn.XLOOKUP(Sheet1[[#This Row],[day_id]],calendar!A5,calendar!C5)</f>
        <v>Tuesday</v>
      </c>
      <c r="G735">
        <f>_xlfn.XLOOKUP(Sheet1[[#This Row],[day_id]],calendar!A5,calendar!E5)</f>
        <v>2</v>
      </c>
      <c r="H735">
        <f>_xlfn.XLOOKUP(Sheet1[[#This Row],[day_id]],calendar!A5,calendar!F5)</f>
        <v>2011</v>
      </c>
      <c r="I735" t="str">
        <f>_xlfn.XLOOKUP(Sheet1[[#This Row],[day_id]],calendar!A5,calendar!J5)</f>
        <v>No Event</v>
      </c>
      <c r="J735" t="str">
        <f>_xlfn.XLOOKUP(Sheet1[[#This Row],[day_id]],calendar!A5,calendar!K5)</f>
        <v>No Event Type</v>
      </c>
      <c r="K735">
        <f>_xlfn.XLOOKUP(calendar!A5,calendar!A5,calendar!I5)</f>
        <v>1</v>
      </c>
    </row>
    <row r="736" spans="1:11" x14ac:dyDescent="0.2">
      <c r="A736" t="s">
        <v>371</v>
      </c>
      <c r="B736" t="s">
        <v>369</v>
      </c>
      <c r="C736" t="s">
        <v>6</v>
      </c>
      <c r="D736">
        <v>5</v>
      </c>
      <c r="E736" s="1">
        <f>_xlfn.XLOOKUP(Sheet1[[#This Row],[day_id]],calendar!A6,calendar!B6)</f>
        <v>40576</v>
      </c>
      <c r="F736" t="str">
        <f>_xlfn.XLOOKUP(Sheet1[[#This Row],[day_id]],calendar!A6,calendar!C6)</f>
        <v>Wednesday</v>
      </c>
      <c r="G736">
        <f>_xlfn.XLOOKUP(Sheet1[[#This Row],[day_id]],calendar!A6,calendar!E6)</f>
        <v>2</v>
      </c>
      <c r="H736">
        <f>_xlfn.XLOOKUP(Sheet1[[#This Row],[day_id]],calendar!A6,calendar!F6)</f>
        <v>2011</v>
      </c>
      <c r="I736" t="str">
        <f>_xlfn.XLOOKUP(Sheet1[[#This Row],[day_id]],calendar!A6,calendar!J6)</f>
        <v>No Event</v>
      </c>
      <c r="J736" t="str">
        <f>_xlfn.XLOOKUP(Sheet1[[#This Row],[day_id]],calendar!A6,calendar!K6)</f>
        <v>No Event Type</v>
      </c>
      <c r="K736">
        <f>_xlfn.XLOOKUP(calendar!A6,calendar!A6,calendar!I6)</f>
        <v>1</v>
      </c>
    </row>
    <row r="737" spans="1:11" x14ac:dyDescent="0.2">
      <c r="A737" t="s">
        <v>371</v>
      </c>
      <c r="B737" t="s">
        <v>369</v>
      </c>
      <c r="C737" t="s">
        <v>7</v>
      </c>
      <c r="D737">
        <v>0</v>
      </c>
      <c r="E737" s="1">
        <f>_xlfn.XLOOKUP(Sheet1[[#This Row],[day_id]],calendar!A7,calendar!B7)</f>
        <v>40577</v>
      </c>
      <c r="F737" t="str">
        <f>_xlfn.XLOOKUP(Sheet1[[#This Row],[day_id]],calendar!A7,calendar!C7)</f>
        <v>Thursday</v>
      </c>
      <c r="G737">
        <f>_xlfn.XLOOKUP(Sheet1[[#This Row],[day_id]],calendar!A7,calendar!E7)</f>
        <v>2</v>
      </c>
      <c r="H737">
        <f>_xlfn.XLOOKUP(Sheet1[[#This Row],[day_id]],calendar!A7,calendar!F7)</f>
        <v>2011</v>
      </c>
      <c r="I737" t="str">
        <f>_xlfn.XLOOKUP(Sheet1[[#This Row],[day_id]],calendar!A7,calendar!J7)</f>
        <v>No Event</v>
      </c>
      <c r="J737" t="str">
        <f>_xlfn.XLOOKUP(Sheet1[[#This Row],[day_id]],calendar!A7,calendar!K7)</f>
        <v>No Event Type</v>
      </c>
      <c r="K737">
        <f>_xlfn.XLOOKUP(calendar!A7,calendar!A7,calendar!I7)</f>
        <v>1</v>
      </c>
    </row>
    <row r="738" spans="1:11" x14ac:dyDescent="0.2">
      <c r="A738" t="s">
        <v>371</v>
      </c>
      <c r="B738" t="s">
        <v>369</v>
      </c>
      <c r="C738" t="s">
        <v>8</v>
      </c>
      <c r="D738">
        <v>1</v>
      </c>
      <c r="E738" s="1">
        <f>_xlfn.XLOOKUP(Sheet1[[#This Row],[day_id]],calendar!A8,calendar!B8)</f>
        <v>40578</v>
      </c>
      <c r="F738" t="str">
        <f>_xlfn.XLOOKUP(Sheet1[[#This Row],[day_id]],calendar!A8,calendar!C8)</f>
        <v>Friday</v>
      </c>
      <c r="G738">
        <f>_xlfn.XLOOKUP(Sheet1[[#This Row],[day_id]],calendar!A8,calendar!E8)</f>
        <v>2</v>
      </c>
      <c r="H738">
        <f>_xlfn.XLOOKUP(Sheet1[[#This Row],[day_id]],calendar!A8,calendar!F8)</f>
        <v>2011</v>
      </c>
      <c r="I738" t="str">
        <f>_xlfn.XLOOKUP(Sheet1[[#This Row],[day_id]],calendar!A8,calendar!J8)</f>
        <v>No Event</v>
      </c>
      <c r="J738" t="str">
        <f>_xlfn.XLOOKUP(Sheet1[[#This Row],[day_id]],calendar!A8,calendar!K8)</f>
        <v>No Event Type</v>
      </c>
      <c r="K738">
        <f>_xlfn.XLOOKUP(calendar!A8,calendar!A8,calendar!I8)</f>
        <v>1</v>
      </c>
    </row>
    <row r="739" spans="1:11" x14ac:dyDescent="0.2">
      <c r="A739" t="s">
        <v>371</v>
      </c>
      <c r="B739" t="s">
        <v>369</v>
      </c>
      <c r="C739" t="s">
        <v>9</v>
      </c>
      <c r="D739">
        <v>5</v>
      </c>
      <c r="E739" s="1">
        <f>_xlfn.XLOOKUP(Sheet1[[#This Row],[day_id]],calendar!A9,calendar!B9)</f>
        <v>40579</v>
      </c>
      <c r="F739" t="str">
        <f>_xlfn.XLOOKUP(Sheet1[[#This Row],[day_id]],calendar!A9,calendar!C9)</f>
        <v>Saturday</v>
      </c>
      <c r="G739">
        <f>_xlfn.XLOOKUP(Sheet1[[#This Row],[day_id]],calendar!A9,calendar!E9)</f>
        <v>2</v>
      </c>
      <c r="H739">
        <f>_xlfn.XLOOKUP(Sheet1[[#This Row],[day_id]],calendar!A9,calendar!F9)</f>
        <v>2011</v>
      </c>
      <c r="I739" t="str">
        <f>_xlfn.XLOOKUP(Sheet1[[#This Row],[day_id]],calendar!A9,calendar!J9)</f>
        <v>No Event</v>
      </c>
      <c r="J739" t="str">
        <f>_xlfn.XLOOKUP(Sheet1[[#This Row],[day_id]],calendar!A9,calendar!K9)</f>
        <v>No Event Type</v>
      </c>
      <c r="K739">
        <f>_xlfn.XLOOKUP(calendar!A9,calendar!A9,calendar!I9)</f>
        <v>1</v>
      </c>
    </row>
    <row r="740" spans="1:11" x14ac:dyDescent="0.2">
      <c r="A740" t="s">
        <v>371</v>
      </c>
      <c r="B740" t="s">
        <v>369</v>
      </c>
      <c r="C740" t="s">
        <v>10</v>
      </c>
      <c r="D740">
        <v>12</v>
      </c>
      <c r="E740" s="1">
        <f>_xlfn.XLOOKUP(Sheet1[[#This Row],[day_id]],calendar!A10,calendar!B10)</f>
        <v>40580</v>
      </c>
      <c r="F740" t="str">
        <f>_xlfn.XLOOKUP(Sheet1[[#This Row],[day_id]],calendar!A10,calendar!C10)</f>
        <v>Sunday</v>
      </c>
      <c r="G740">
        <f>_xlfn.XLOOKUP(Sheet1[[#This Row],[day_id]],calendar!A10,calendar!E10)</f>
        <v>2</v>
      </c>
      <c r="H740">
        <f>_xlfn.XLOOKUP(Sheet1[[#This Row],[day_id]],calendar!A10,calendar!F10)</f>
        <v>2011</v>
      </c>
      <c r="I740" t="str">
        <f>_xlfn.XLOOKUP(Sheet1[[#This Row],[day_id]],calendar!A10,calendar!J10)</f>
        <v>SuperBowl</v>
      </c>
      <c r="J740" t="str">
        <f>_xlfn.XLOOKUP(Sheet1[[#This Row],[day_id]],calendar!A10,calendar!K10)</f>
        <v>Sporting</v>
      </c>
      <c r="K740">
        <f>_xlfn.XLOOKUP(calendar!A10,calendar!A10,calendar!I10)</f>
        <v>1</v>
      </c>
    </row>
    <row r="741" spans="1:11" x14ac:dyDescent="0.2">
      <c r="A741" t="s">
        <v>371</v>
      </c>
      <c r="B741" t="s">
        <v>369</v>
      </c>
      <c r="C741" t="s">
        <v>11</v>
      </c>
      <c r="D741">
        <v>4</v>
      </c>
      <c r="E741" s="1">
        <f>_xlfn.XLOOKUP(Sheet1[[#This Row],[day_id]],calendar!A11,calendar!B11)</f>
        <v>40581</v>
      </c>
      <c r="F741" t="str">
        <f>_xlfn.XLOOKUP(Sheet1[[#This Row],[day_id]],calendar!A11,calendar!C11)</f>
        <v>Monday</v>
      </c>
      <c r="G741">
        <f>_xlfn.XLOOKUP(Sheet1[[#This Row],[day_id]],calendar!A11,calendar!E11)</f>
        <v>2</v>
      </c>
      <c r="H741">
        <f>_xlfn.XLOOKUP(Sheet1[[#This Row],[day_id]],calendar!A11,calendar!F11)</f>
        <v>2011</v>
      </c>
      <c r="I741" t="str">
        <f>_xlfn.XLOOKUP(Sheet1[[#This Row],[day_id]],calendar!A11,calendar!J11)</f>
        <v>No Event</v>
      </c>
      <c r="J741" t="str">
        <f>_xlfn.XLOOKUP(Sheet1[[#This Row],[day_id]],calendar!A11,calendar!K11)</f>
        <v>No Event Type</v>
      </c>
      <c r="K741">
        <f>_xlfn.XLOOKUP(calendar!A11,calendar!A11,calendar!I11)</f>
        <v>1</v>
      </c>
    </row>
    <row r="742" spans="1:11" x14ac:dyDescent="0.2">
      <c r="A742" t="s">
        <v>371</v>
      </c>
      <c r="B742" t="s">
        <v>369</v>
      </c>
      <c r="C742" t="s">
        <v>12</v>
      </c>
      <c r="D742">
        <v>7</v>
      </c>
      <c r="E742" s="1">
        <f>_xlfn.XLOOKUP(Sheet1[[#This Row],[day_id]],calendar!A12,calendar!B12)</f>
        <v>40582</v>
      </c>
      <c r="F742" t="str">
        <f>_xlfn.XLOOKUP(Sheet1[[#This Row],[day_id]],calendar!A12,calendar!C12)</f>
        <v>Tuesday</v>
      </c>
      <c r="G742">
        <f>_xlfn.XLOOKUP(Sheet1[[#This Row],[day_id]],calendar!A12,calendar!E12)</f>
        <v>2</v>
      </c>
      <c r="H742">
        <f>_xlfn.XLOOKUP(Sheet1[[#This Row],[day_id]],calendar!A12,calendar!F12)</f>
        <v>2011</v>
      </c>
      <c r="I742" t="str">
        <f>_xlfn.XLOOKUP(Sheet1[[#This Row],[day_id]],calendar!A12,calendar!J12)</f>
        <v>No Event</v>
      </c>
      <c r="J742" t="str">
        <f>_xlfn.XLOOKUP(Sheet1[[#This Row],[day_id]],calendar!A12,calendar!K12)</f>
        <v>No Event Type</v>
      </c>
      <c r="K742">
        <f>_xlfn.XLOOKUP(calendar!A12,calendar!A12,calendar!I12)</f>
        <v>1</v>
      </c>
    </row>
    <row r="743" spans="1:11" x14ac:dyDescent="0.2">
      <c r="A743" t="s">
        <v>371</v>
      </c>
      <c r="B743" t="s">
        <v>369</v>
      </c>
      <c r="C743" t="s">
        <v>13</v>
      </c>
      <c r="D743">
        <v>9</v>
      </c>
      <c r="E743" s="1">
        <f>_xlfn.XLOOKUP(Sheet1[[#This Row],[day_id]],calendar!A13,calendar!B13)</f>
        <v>40583</v>
      </c>
      <c r="F743" t="str">
        <f>_xlfn.XLOOKUP(Sheet1[[#This Row],[day_id]],calendar!A13,calendar!C13)</f>
        <v>Wednesday</v>
      </c>
      <c r="G743">
        <f>_xlfn.XLOOKUP(Sheet1[[#This Row],[day_id]],calendar!A13,calendar!E13)</f>
        <v>2</v>
      </c>
      <c r="H743">
        <f>_xlfn.XLOOKUP(Sheet1[[#This Row],[day_id]],calendar!A13,calendar!F13)</f>
        <v>2011</v>
      </c>
      <c r="I743" t="str">
        <f>_xlfn.XLOOKUP(Sheet1[[#This Row],[day_id]],calendar!A13,calendar!J13)</f>
        <v>No Event</v>
      </c>
      <c r="J743" t="str">
        <f>_xlfn.XLOOKUP(Sheet1[[#This Row],[day_id]],calendar!A13,calendar!K13)</f>
        <v>No Event Type</v>
      </c>
      <c r="K743">
        <f>_xlfn.XLOOKUP(calendar!A13,calendar!A13,calendar!I13)</f>
        <v>1</v>
      </c>
    </row>
    <row r="744" spans="1:11" x14ac:dyDescent="0.2">
      <c r="A744" t="s">
        <v>371</v>
      </c>
      <c r="B744" t="s">
        <v>369</v>
      </c>
      <c r="C744" t="s">
        <v>14</v>
      </c>
      <c r="D744">
        <v>2</v>
      </c>
      <c r="E744" s="1">
        <f>_xlfn.XLOOKUP(Sheet1[[#This Row],[day_id]],calendar!A14,calendar!B14)</f>
        <v>40584</v>
      </c>
      <c r="F744" t="str">
        <f>_xlfn.XLOOKUP(Sheet1[[#This Row],[day_id]],calendar!A14,calendar!C14)</f>
        <v>Thursday</v>
      </c>
      <c r="G744">
        <f>_xlfn.XLOOKUP(Sheet1[[#This Row],[day_id]],calendar!A14,calendar!E14)</f>
        <v>2</v>
      </c>
      <c r="H744">
        <f>_xlfn.XLOOKUP(Sheet1[[#This Row],[day_id]],calendar!A14,calendar!F14)</f>
        <v>2011</v>
      </c>
      <c r="I744" t="str">
        <f>_xlfn.XLOOKUP(Sheet1[[#This Row],[day_id]],calendar!A14,calendar!J14)</f>
        <v>No Event</v>
      </c>
      <c r="J744" t="str">
        <f>_xlfn.XLOOKUP(Sheet1[[#This Row],[day_id]],calendar!A14,calendar!K14)</f>
        <v>No Event Type</v>
      </c>
      <c r="K744">
        <f>_xlfn.XLOOKUP(calendar!A14,calendar!A14,calendar!I14)</f>
        <v>1</v>
      </c>
    </row>
    <row r="745" spans="1:11" x14ac:dyDescent="0.2">
      <c r="A745" t="s">
        <v>371</v>
      </c>
      <c r="B745" t="s">
        <v>369</v>
      </c>
      <c r="C745" t="s">
        <v>15</v>
      </c>
      <c r="D745">
        <v>5</v>
      </c>
      <c r="E745" s="1">
        <f>_xlfn.XLOOKUP(Sheet1[[#This Row],[day_id]],calendar!A15,calendar!B15)</f>
        <v>40585</v>
      </c>
      <c r="F745" t="str">
        <f>_xlfn.XLOOKUP(Sheet1[[#This Row],[day_id]],calendar!A15,calendar!C15)</f>
        <v>Friday</v>
      </c>
      <c r="G745">
        <f>_xlfn.XLOOKUP(Sheet1[[#This Row],[day_id]],calendar!A15,calendar!E15)</f>
        <v>2</v>
      </c>
      <c r="H745">
        <f>_xlfn.XLOOKUP(Sheet1[[#This Row],[day_id]],calendar!A15,calendar!F15)</f>
        <v>2011</v>
      </c>
      <c r="I745" t="str">
        <f>_xlfn.XLOOKUP(Sheet1[[#This Row],[day_id]],calendar!A15,calendar!J15)</f>
        <v>No Event</v>
      </c>
      <c r="J745" t="str">
        <f>_xlfn.XLOOKUP(Sheet1[[#This Row],[day_id]],calendar!A15,calendar!K15)</f>
        <v>No Event Type</v>
      </c>
      <c r="K745">
        <f>_xlfn.XLOOKUP(calendar!A15,calendar!A15,calendar!I15)</f>
        <v>0</v>
      </c>
    </row>
    <row r="746" spans="1:11" x14ac:dyDescent="0.2">
      <c r="A746" t="s">
        <v>371</v>
      </c>
      <c r="B746" t="s">
        <v>369</v>
      </c>
      <c r="C746" t="s">
        <v>16</v>
      </c>
      <c r="D746">
        <v>11</v>
      </c>
      <c r="E746" s="1">
        <f>_xlfn.XLOOKUP(Sheet1[[#This Row],[day_id]],calendar!A16,calendar!B16)</f>
        <v>40586</v>
      </c>
      <c r="F746" t="str">
        <f>_xlfn.XLOOKUP(Sheet1[[#This Row],[day_id]],calendar!A16,calendar!C16)</f>
        <v>Saturday</v>
      </c>
      <c r="G746">
        <f>_xlfn.XLOOKUP(Sheet1[[#This Row],[day_id]],calendar!A16,calendar!E16)</f>
        <v>2</v>
      </c>
      <c r="H746">
        <f>_xlfn.XLOOKUP(Sheet1[[#This Row],[day_id]],calendar!A16,calendar!F16)</f>
        <v>2011</v>
      </c>
      <c r="I746" t="str">
        <f>_xlfn.XLOOKUP(Sheet1[[#This Row],[day_id]],calendar!A16,calendar!J16)</f>
        <v>No Event</v>
      </c>
      <c r="J746" t="str">
        <f>_xlfn.XLOOKUP(Sheet1[[#This Row],[day_id]],calendar!A16,calendar!K16)</f>
        <v>No Event Type</v>
      </c>
      <c r="K746">
        <f>_xlfn.XLOOKUP(calendar!A16,calendar!A16,calendar!I16)</f>
        <v>0</v>
      </c>
    </row>
    <row r="747" spans="1:11" x14ac:dyDescent="0.2">
      <c r="A747" t="s">
        <v>371</v>
      </c>
      <c r="B747" t="s">
        <v>369</v>
      </c>
      <c r="C747" t="s">
        <v>17</v>
      </c>
      <c r="D747">
        <v>6</v>
      </c>
      <c r="E747" s="1">
        <f>_xlfn.XLOOKUP(Sheet1[[#This Row],[day_id]],calendar!A17,calendar!B17)</f>
        <v>40587</v>
      </c>
      <c r="F747" t="str">
        <f>_xlfn.XLOOKUP(Sheet1[[#This Row],[day_id]],calendar!A17,calendar!C17)</f>
        <v>Sunday</v>
      </c>
      <c r="G747">
        <f>_xlfn.XLOOKUP(Sheet1[[#This Row],[day_id]],calendar!A17,calendar!E17)</f>
        <v>2</v>
      </c>
      <c r="H747">
        <f>_xlfn.XLOOKUP(Sheet1[[#This Row],[day_id]],calendar!A17,calendar!F17)</f>
        <v>2011</v>
      </c>
      <c r="I747" t="str">
        <f>_xlfn.XLOOKUP(Sheet1[[#This Row],[day_id]],calendar!A17,calendar!J17)</f>
        <v>No Event</v>
      </c>
      <c r="J747" t="str">
        <f>_xlfn.XLOOKUP(Sheet1[[#This Row],[day_id]],calendar!A17,calendar!K17)</f>
        <v>No Event Type</v>
      </c>
      <c r="K747">
        <f>_xlfn.XLOOKUP(calendar!A17,calendar!A17,calendar!I17)</f>
        <v>0</v>
      </c>
    </row>
    <row r="748" spans="1:11" x14ac:dyDescent="0.2">
      <c r="A748" t="s">
        <v>371</v>
      </c>
      <c r="B748" t="s">
        <v>369</v>
      </c>
      <c r="C748" t="s">
        <v>18</v>
      </c>
      <c r="D748">
        <v>3</v>
      </c>
      <c r="E748" s="1">
        <f>_xlfn.XLOOKUP(Sheet1[[#This Row],[day_id]],calendar!A18,calendar!B18)</f>
        <v>40588</v>
      </c>
      <c r="F748" t="str">
        <f>_xlfn.XLOOKUP(Sheet1[[#This Row],[day_id]],calendar!A18,calendar!C18)</f>
        <v>Monday</v>
      </c>
      <c r="G748">
        <f>_xlfn.XLOOKUP(Sheet1[[#This Row],[day_id]],calendar!A18,calendar!E18)</f>
        <v>2</v>
      </c>
      <c r="H748">
        <f>_xlfn.XLOOKUP(Sheet1[[#This Row],[day_id]],calendar!A18,calendar!F18)</f>
        <v>2011</v>
      </c>
      <c r="I748" t="str">
        <f>_xlfn.XLOOKUP(Sheet1[[#This Row],[day_id]],calendar!A18,calendar!J18)</f>
        <v>ValentinesDay</v>
      </c>
      <c r="J748" t="str">
        <f>_xlfn.XLOOKUP(Sheet1[[#This Row],[day_id]],calendar!A18,calendar!K18)</f>
        <v>Cultural</v>
      </c>
      <c r="K748">
        <f>_xlfn.XLOOKUP(calendar!A18,calendar!A18,calendar!I18)</f>
        <v>0</v>
      </c>
    </row>
    <row r="749" spans="1:11" x14ac:dyDescent="0.2">
      <c r="A749" t="s">
        <v>371</v>
      </c>
      <c r="B749" t="s">
        <v>369</v>
      </c>
      <c r="C749" t="s">
        <v>19</v>
      </c>
      <c r="D749">
        <v>3</v>
      </c>
      <c r="E749" s="1">
        <f>_xlfn.XLOOKUP(Sheet1[[#This Row],[day_id]],calendar!A19,calendar!B19)</f>
        <v>40589</v>
      </c>
      <c r="F749" t="str">
        <f>_xlfn.XLOOKUP(Sheet1[[#This Row],[day_id]],calendar!A19,calendar!C19)</f>
        <v>Tuesday</v>
      </c>
      <c r="G749">
        <f>_xlfn.XLOOKUP(Sheet1[[#This Row],[day_id]],calendar!A19,calendar!E19)</f>
        <v>2</v>
      </c>
      <c r="H749">
        <f>_xlfn.XLOOKUP(Sheet1[[#This Row],[day_id]],calendar!A19,calendar!F19)</f>
        <v>2011</v>
      </c>
      <c r="I749" t="str">
        <f>_xlfn.XLOOKUP(Sheet1[[#This Row],[day_id]],calendar!A19,calendar!J19)</f>
        <v>No Event</v>
      </c>
      <c r="J749" t="str">
        <f>_xlfn.XLOOKUP(Sheet1[[#This Row],[day_id]],calendar!A19,calendar!K19)</f>
        <v>No Event Type</v>
      </c>
      <c r="K749">
        <f>_xlfn.XLOOKUP(calendar!A19,calendar!A19,calendar!I19)</f>
        <v>0</v>
      </c>
    </row>
    <row r="750" spans="1:11" x14ac:dyDescent="0.2">
      <c r="A750" t="s">
        <v>371</v>
      </c>
      <c r="B750" t="s">
        <v>369</v>
      </c>
      <c r="C750" t="s">
        <v>20</v>
      </c>
      <c r="D750">
        <v>3</v>
      </c>
      <c r="E750" s="1">
        <f>_xlfn.XLOOKUP(Sheet1[[#This Row],[day_id]],calendar!A20,calendar!B20)</f>
        <v>40590</v>
      </c>
      <c r="F750" t="str">
        <f>_xlfn.XLOOKUP(Sheet1[[#This Row],[day_id]],calendar!A20,calendar!C20)</f>
        <v>Wednesday</v>
      </c>
      <c r="G750">
        <f>_xlfn.XLOOKUP(Sheet1[[#This Row],[day_id]],calendar!A20,calendar!E20)</f>
        <v>2</v>
      </c>
      <c r="H750">
        <f>_xlfn.XLOOKUP(Sheet1[[#This Row],[day_id]],calendar!A20,calendar!F20)</f>
        <v>2011</v>
      </c>
      <c r="I750" t="str">
        <f>_xlfn.XLOOKUP(Sheet1[[#This Row],[day_id]],calendar!A20,calendar!J20)</f>
        <v>No Event</v>
      </c>
      <c r="J750" t="str">
        <f>_xlfn.XLOOKUP(Sheet1[[#This Row],[day_id]],calendar!A20,calendar!K20)</f>
        <v>No Event Type</v>
      </c>
      <c r="K750">
        <f>_xlfn.XLOOKUP(calendar!A20,calendar!A20,calendar!I20)</f>
        <v>0</v>
      </c>
    </row>
    <row r="751" spans="1:11" x14ac:dyDescent="0.2">
      <c r="A751" t="s">
        <v>371</v>
      </c>
      <c r="B751" t="s">
        <v>369</v>
      </c>
      <c r="C751" t="s">
        <v>21</v>
      </c>
      <c r="D751">
        <v>2</v>
      </c>
      <c r="E751" s="1">
        <f>_xlfn.XLOOKUP(Sheet1[[#This Row],[day_id]],calendar!A21,calendar!B21)</f>
        <v>40591</v>
      </c>
      <c r="F751" t="str">
        <f>_xlfn.XLOOKUP(Sheet1[[#This Row],[day_id]],calendar!A21,calendar!C21)</f>
        <v>Thursday</v>
      </c>
      <c r="G751">
        <f>_xlfn.XLOOKUP(Sheet1[[#This Row],[day_id]],calendar!A21,calendar!E21)</f>
        <v>2</v>
      </c>
      <c r="H751">
        <f>_xlfn.XLOOKUP(Sheet1[[#This Row],[day_id]],calendar!A21,calendar!F21)</f>
        <v>2011</v>
      </c>
      <c r="I751" t="str">
        <f>_xlfn.XLOOKUP(Sheet1[[#This Row],[day_id]],calendar!A21,calendar!J21)</f>
        <v>No Event</v>
      </c>
      <c r="J751" t="str">
        <f>_xlfn.XLOOKUP(Sheet1[[#This Row],[day_id]],calendar!A21,calendar!K21)</f>
        <v>No Event Type</v>
      </c>
      <c r="K751">
        <f>_xlfn.XLOOKUP(calendar!A21,calendar!A21,calendar!I21)</f>
        <v>0</v>
      </c>
    </row>
    <row r="752" spans="1:11" x14ac:dyDescent="0.2">
      <c r="A752" t="s">
        <v>371</v>
      </c>
      <c r="B752" t="s">
        <v>369</v>
      </c>
      <c r="C752" t="s">
        <v>22</v>
      </c>
      <c r="D752">
        <v>14</v>
      </c>
      <c r="E752" s="1">
        <f>_xlfn.XLOOKUP(Sheet1[[#This Row],[day_id]],calendar!A22,calendar!B22)</f>
        <v>40592</v>
      </c>
      <c r="F752" t="str">
        <f>_xlfn.XLOOKUP(Sheet1[[#This Row],[day_id]],calendar!A22,calendar!C22)</f>
        <v>Friday</v>
      </c>
      <c r="G752">
        <f>_xlfn.XLOOKUP(Sheet1[[#This Row],[day_id]],calendar!A22,calendar!E22)</f>
        <v>2</v>
      </c>
      <c r="H752">
        <f>_xlfn.XLOOKUP(Sheet1[[#This Row],[day_id]],calendar!A22,calendar!F22)</f>
        <v>2011</v>
      </c>
      <c r="I752" t="str">
        <f>_xlfn.XLOOKUP(Sheet1[[#This Row],[day_id]],calendar!A22,calendar!J22)</f>
        <v>No Event</v>
      </c>
      <c r="J752" t="str">
        <f>_xlfn.XLOOKUP(Sheet1[[#This Row],[day_id]],calendar!A22,calendar!K22)</f>
        <v>No Event Type</v>
      </c>
      <c r="K752">
        <f>_xlfn.XLOOKUP(calendar!A22,calendar!A22,calendar!I22)</f>
        <v>0</v>
      </c>
    </row>
    <row r="753" spans="1:11" x14ac:dyDescent="0.2">
      <c r="A753" t="s">
        <v>371</v>
      </c>
      <c r="B753" t="s">
        <v>369</v>
      </c>
      <c r="C753" t="s">
        <v>23</v>
      </c>
      <c r="D753">
        <v>19</v>
      </c>
      <c r="E753" s="1">
        <f>_xlfn.XLOOKUP(Sheet1[[#This Row],[day_id]],calendar!A23,calendar!B23)</f>
        <v>40593</v>
      </c>
      <c r="F753" t="str">
        <f>_xlfn.XLOOKUP(Sheet1[[#This Row],[day_id]],calendar!A23,calendar!C23)</f>
        <v>Saturday</v>
      </c>
      <c r="G753">
        <f>_xlfn.XLOOKUP(Sheet1[[#This Row],[day_id]],calendar!A23,calendar!E23)</f>
        <v>2</v>
      </c>
      <c r="H753">
        <f>_xlfn.XLOOKUP(Sheet1[[#This Row],[day_id]],calendar!A23,calendar!F23)</f>
        <v>2011</v>
      </c>
      <c r="I753" t="str">
        <f>_xlfn.XLOOKUP(Sheet1[[#This Row],[day_id]],calendar!A23,calendar!J23)</f>
        <v>No Event</v>
      </c>
      <c r="J753" t="str">
        <f>_xlfn.XLOOKUP(Sheet1[[#This Row],[day_id]],calendar!A23,calendar!K23)</f>
        <v>No Event Type</v>
      </c>
      <c r="K753">
        <f>_xlfn.XLOOKUP(calendar!A23,calendar!A23,calendar!I23)</f>
        <v>0</v>
      </c>
    </row>
    <row r="754" spans="1:11" x14ac:dyDescent="0.2">
      <c r="A754" t="s">
        <v>371</v>
      </c>
      <c r="B754" t="s">
        <v>369</v>
      </c>
      <c r="C754" t="s">
        <v>24</v>
      </c>
      <c r="D754">
        <v>12</v>
      </c>
      <c r="E754" s="1">
        <f>_xlfn.XLOOKUP(Sheet1[[#This Row],[day_id]],calendar!A24,calendar!B24)</f>
        <v>40594</v>
      </c>
      <c r="F754" t="str">
        <f>_xlfn.XLOOKUP(Sheet1[[#This Row],[day_id]],calendar!A24,calendar!C24)</f>
        <v>Sunday</v>
      </c>
      <c r="G754">
        <f>_xlfn.XLOOKUP(Sheet1[[#This Row],[day_id]],calendar!A24,calendar!E24)</f>
        <v>2</v>
      </c>
      <c r="H754">
        <f>_xlfn.XLOOKUP(Sheet1[[#This Row],[day_id]],calendar!A24,calendar!F24)</f>
        <v>2011</v>
      </c>
      <c r="I754" t="str">
        <f>_xlfn.XLOOKUP(Sheet1[[#This Row],[day_id]],calendar!A24,calendar!J24)</f>
        <v>No Event</v>
      </c>
      <c r="J754" t="str">
        <f>_xlfn.XLOOKUP(Sheet1[[#This Row],[day_id]],calendar!A24,calendar!K24)</f>
        <v>No Event Type</v>
      </c>
      <c r="K754">
        <f>_xlfn.XLOOKUP(calendar!A24,calendar!A24,calendar!I24)</f>
        <v>0</v>
      </c>
    </row>
    <row r="755" spans="1:11" x14ac:dyDescent="0.2">
      <c r="A755" t="s">
        <v>371</v>
      </c>
      <c r="B755" t="s">
        <v>369</v>
      </c>
      <c r="C755" t="s">
        <v>25</v>
      </c>
      <c r="D755">
        <v>8</v>
      </c>
      <c r="E755" s="1">
        <f>_xlfn.XLOOKUP(Sheet1[[#This Row],[day_id]],calendar!A25,calendar!B25)</f>
        <v>40595</v>
      </c>
      <c r="F755" t="str">
        <f>_xlfn.XLOOKUP(Sheet1[[#This Row],[day_id]],calendar!A25,calendar!C25)</f>
        <v>Monday</v>
      </c>
      <c r="G755">
        <f>_xlfn.XLOOKUP(Sheet1[[#This Row],[day_id]],calendar!A25,calendar!E25)</f>
        <v>2</v>
      </c>
      <c r="H755">
        <f>_xlfn.XLOOKUP(Sheet1[[#This Row],[day_id]],calendar!A25,calendar!F25)</f>
        <v>2011</v>
      </c>
      <c r="I755" t="str">
        <f>_xlfn.XLOOKUP(Sheet1[[#This Row],[day_id]],calendar!A25,calendar!J25)</f>
        <v>PresidentsDay</v>
      </c>
      <c r="J755" t="str">
        <f>_xlfn.XLOOKUP(Sheet1[[#This Row],[day_id]],calendar!A25,calendar!K25)</f>
        <v>National</v>
      </c>
      <c r="K755">
        <f>_xlfn.XLOOKUP(calendar!A25,calendar!A25,calendar!I25)</f>
        <v>0</v>
      </c>
    </row>
    <row r="756" spans="1:11" x14ac:dyDescent="0.2">
      <c r="A756" t="s">
        <v>371</v>
      </c>
      <c r="B756" t="s">
        <v>369</v>
      </c>
      <c r="C756" t="s">
        <v>26</v>
      </c>
      <c r="D756">
        <v>2</v>
      </c>
      <c r="E756" s="1">
        <f>_xlfn.XLOOKUP(Sheet1[[#This Row],[day_id]],calendar!A26,calendar!B26)</f>
        <v>40596</v>
      </c>
      <c r="F756" t="str">
        <f>_xlfn.XLOOKUP(Sheet1[[#This Row],[day_id]],calendar!A26,calendar!C26)</f>
        <v>Tuesday</v>
      </c>
      <c r="G756">
        <f>_xlfn.XLOOKUP(Sheet1[[#This Row],[day_id]],calendar!A26,calendar!E26)</f>
        <v>2</v>
      </c>
      <c r="H756">
        <f>_xlfn.XLOOKUP(Sheet1[[#This Row],[day_id]],calendar!A26,calendar!F26)</f>
        <v>2011</v>
      </c>
      <c r="I756" t="str">
        <f>_xlfn.XLOOKUP(Sheet1[[#This Row],[day_id]],calendar!A26,calendar!J26)</f>
        <v>No Event</v>
      </c>
      <c r="J756" t="str">
        <f>_xlfn.XLOOKUP(Sheet1[[#This Row],[day_id]],calendar!A26,calendar!K26)</f>
        <v>No Event Type</v>
      </c>
      <c r="K756">
        <f>_xlfn.XLOOKUP(calendar!A26,calendar!A26,calendar!I26)</f>
        <v>0</v>
      </c>
    </row>
    <row r="757" spans="1:11" x14ac:dyDescent="0.2">
      <c r="A757" t="s">
        <v>371</v>
      </c>
      <c r="B757" t="s">
        <v>369</v>
      </c>
      <c r="C757" t="s">
        <v>27</v>
      </c>
      <c r="D757">
        <v>3</v>
      </c>
      <c r="E757" s="1">
        <f>_xlfn.XLOOKUP(Sheet1[[#This Row],[day_id]],calendar!A27,calendar!B27)</f>
        <v>40597</v>
      </c>
      <c r="F757" t="str">
        <f>_xlfn.XLOOKUP(Sheet1[[#This Row],[day_id]],calendar!A27,calendar!C27)</f>
        <v>Wednesday</v>
      </c>
      <c r="G757">
        <f>_xlfn.XLOOKUP(Sheet1[[#This Row],[day_id]],calendar!A27,calendar!E27)</f>
        <v>2</v>
      </c>
      <c r="H757">
        <f>_xlfn.XLOOKUP(Sheet1[[#This Row],[day_id]],calendar!A27,calendar!F27)</f>
        <v>2011</v>
      </c>
      <c r="I757" t="str">
        <f>_xlfn.XLOOKUP(Sheet1[[#This Row],[day_id]],calendar!A27,calendar!J27)</f>
        <v>No Event</v>
      </c>
      <c r="J757" t="str">
        <f>_xlfn.XLOOKUP(Sheet1[[#This Row],[day_id]],calendar!A27,calendar!K27)</f>
        <v>No Event Type</v>
      </c>
      <c r="K757">
        <f>_xlfn.XLOOKUP(calendar!A27,calendar!A27,calendar!I27)</f>
        <v>0</v>
      </c>
    </row>
    <row r="758" spans="1:11" x14ac:dyDescent="0.2">
      <c r="A758" t="s">
        <v>371</v>
      </c>
      <c r="B758" t="s">
        <v>369</v>
      </c>
      <c r="C758" t="s">
        <v>28</v>
      </c>
      <c r="D758">
        <v>3</v>
      </c>
      <c r="E758" s="1">
        <f>_xlfn.XLOOKUP(Sheet1[[#This Row],[day_id]],calendar!A28,calendar!B28)</f>
        <v>40598</v>
      </c>
      <c r="F758" t="str">
        <f>_xlfn.XLOOKUP(Sheet1[[#This Row],[day_id]],calendar!A28,calendar!C28)</f>
        <v>Thursday</v>
      </c>
      <c r="G758">
        <f>_xlfn.XLOOKUP(Sheet1[[#This Row],[day_id]],calendar!A28,calendar!E28)</f>
        <v>2</v>
      </c>
      <c r="H758">
        <f>_xlfn.XLOOKUP(Sheet1[[#This Row],[day_id]],calendar!A28,calendar!F28)</f>
        <v>2011</v>
      </c>
      <c r="I758" t="str">
        <f>_xlfn.XLOOKUP(Sheet1[[#This Row],[day_id]],calendar!A28,calendar!J28)</f>
        <v>No Event</v>
      </c>
      <c r="J758" t="str">
        <f>_xlfn.XLOOKUP(Sheet1[[#This Row],[day_id]],calendar!A28,calendar!K28)</f>
        <v>No Event Type</v>
      </c>
      <c r="K758">
        <f>_xlfn.XLOOKUP(calendar!A28,calendar!A28,calendar!I28)</f>
        <v>0</v>
      </c>
    </row>
    <row r="759" spans="1:11" x14ac:dyDescent="0.2">
      <c r="A759" t="s">
        <v>371</v>
      </c>
      <c r="B759" t="s">
        <v>369</v>
      </c>
      <c r="C759" t="s">
        <v>29</v>
      </c>
      <c r="D759">
        <v>4</v>
      </c>
      <c r="E759" s="1">
        <f>_xlfn.XLOOKUP(Sheet1[[#This Row],[day_id]],calendar!A29,calendar!B29)</f>
        <v>40599</v>
      </c>
      <c r="F759" t="str">
        <f>_xlfn.XLOOKUP(Sheet1[[#This Row],[day_id]],calendar!A29,calendar!C29)</f>
        <v>Friday</v>
      </c>
      <c r="G759">
        <f>_xlfn.XLOOKUP(Sheet1[[#This Row],[day_id]],calendar!A29,calendar!E29)</f>
        <v>2</v>
      </c>
      <c r="H759">
        <f>_xlfn.XLOOKUP(Sheet1[[#This Row],[day_id]],calendar!A29,calendar!F29)</f>
        <v>2011</v>
      </c>
      <c r="I759" t="str">
        <f>_xlfn.XLOOKUP(Sheet1[[#This Row],[day_id]],calendar!A29,calendar!J29)</f>
        <v>No Event</v>
      </c>
      <c r="J759" t="str">
        <f>_xlfn.XLOOKUP(Sheet1[[#This Row],[day_id]],calendar!A29,calendar!K29)</f>
        <v>No Event Type</v>
      </c>
      <c r="K759">
        <f>_xlfn.XLOOKUP(calendar!A29,calendar!A29,calendar!I29)</f>
        <v>0</v>
      </c>
    </row>
    <row r="760" spans="1:11" x14ac:dyDescent="0.2">
      <c r="A760" t="s">
        <v>371</v>
      </c>
      <c r="B760" t="s">
        <v>369</v>
      </c>
      <c r="C760" t="s">
        <v>30</v>
      </c>
      <c r="D760">
        <v>5</v>
      </c>
      <c r="E760" s="1">
        <f>_xlfn.XLOOKUP(Sheet1[[#This Row],[day_id]],calendar!A30,calendar!B30)</f>
        <v>40600</v>
      </c>
      <c r="F760" t="str">
        <f>_xlfn.XLOOKUP(Sheet1[[#This Row],[day_id]],calendar!A30,calendar!C30)</f>
        <v>Saturday</v>
      </c>
      <c r="G760">
        <f>_xlfn.XLOOKUP(Sheet1[[#This Row],[day_id]],calendar!A30,calendar!E30)</f>
        <v>2</v>
      </c>
      <c r="H760">
        <f>_xlfn.XLOOKUP(Sheet1[[#This Row],[day_id]],calendar!A30,calendar!F30)</f>
        <v>2011</v>
      </c>
      <c r="I760" t="str">
        <f>_xlfn.XLOOKUP(Sheet1[[#This Row],[day_id]],calendar!A30,calendar!J30)</f>
        <v>No Event</v>
      </c>
      <c r="J760" t="str">
        <f>_xlfn.XLOOKUP(Sheet1[[#This Row],[day_id]],calendar!A30,calendar!K30)</f>
        <v>No Event Type</v>
      </c>
      <c r="K760">
        <f>_xlfn.XLOOKUP(calendar!A30,calendar!A30,calendar!I30)</f>
        <v>0</v>
      </c>
    </row>
    <row r="761" spans="1:11" x14ac:dyDescent="0.2">
      <c r="A761" t="s">
        <v>371</v>
      </c>
      <c r="B761" t="s">
        <v>369</v>
      </c>
      <c r="C761" t="s">
        <v>31</v>
      </c>
      <c r="D761">
        <v>2</v>
      </c>
      <c r="E761" s="1">
        <f>_xlfn.XLOOKUP(Sheet1[[#This Row],[day_id]],calendar!A31,calendar!B31)</f>
        <v>40601</v>
      </c>
      <c r="F761" t="str">
        <f>_xlfn.XLOOKUP(Sheet1[[#This Row],[day_id]],calendar!A31,calendar!C31)</f>
        <v>Sunday</v>
      </c>
      <c r="G761">
        <f>_xlfn.XLOOKUP(Sheet1[[#This Row],[day_id]],calendar!A31,calendar!E31)</f>
        <v>2</v>
      </c>
      <c r="H761">
        <f>_xlfn.XLOOKUP(Sheet1[[#This Row],[day_id]],calendar!A31,calendar!F31)</f>
        <v>2011</v>
      </c>
      <c r="I761" t="str">
        <f>_xlfn.XLOOKUP(Sheet1[[#This Row],[day_id]],calendar!A31,calendar!J31)</f>
        <v>No Event</v>
      </c>
      <c r="J761" t="str">
        <f>_xlfn.XLOOKUP(Sheet1[[#This Row],[day_id]],calendar!A31,calendar!K31)</f>
        <v>No Event Type</v>
      </c>
      <c r="K761">
        <f>_xlfn.XLOOKUP(calendar!A31,calendar!A31,calendar!I31)</f>
        <v>0</v>
      </c>
    </row>
    <row r="762" spans="1:11" x14ac:dyDescent="0.2">
      <c r="A762" t="s">
        <v>371</v>
      </c>
      <c r="B762" t="s">
        <v>369</v>
      </c>
      <c r="C762" t="s">
        <v>32</v>
      </c>
      <c r="D762">
        <v>5</v>
      </c>
      <c r="E762" s="1">
        <f>_xlfn.XLOOKUP(Sheet1[[#This Row],[day_id]],calendar!A32,calendar!B32)</f>
        <v>40602</v>
      </c>
      <c r="F762" t="str">
        <f>_xlfn.XLOOKUP(Sheet1[[#This Row],[day_id]],calendar!A32,calendar!C32)</f>
        <v>Monday</v>
      </c>
      <c r="G762">
        <f>_xlfn.XLOOKUP(Sheet1[[#This Row],[day_id]],calendar!A32,calendar!E32)</f>
        <v>2</v>
      </c>
      <c r="H762">
        <f>_xlfn.XLOOKUP(Sheet1[[#This Row],[day_id]],calendar!A32,calendar!F32)</f>
        <v>2011</v>
      </c>
      <c r="I762" t="str">
        <f>_xlfn.XLOOKUP(Sheet1[[#This Row],[day_id]],calendar!A32,calendar!J32)</f>
        <v>No Event</v>
      </c>
      <c r="J762" t="str">
        <f>_xlfn.XLOOKUP(Sheet1[[#This Row],[day_id]],calendar!A32,calendar!K32)</f>
        <v>No Event Type</v>
      </c>
      <c r="K762">
        <f>_xlfn.XLOOKUP(calendar!A32,calendar!A32,calendar!I32)</f>
        <v>0</v>
      </c>
    </row>
    <row r="763" spans="1:11" x14ac:dyDescent="0.2">
      <c r="A763" t="s">
        <v>371</v>
      </c>
      <c r="B763" t="s">
        <v>369</v>
      </c>
      <c r="C763" t="s">
        <v>33</v>
      </c>
      <c r="D763">
        <v>6</v>
      </c>
      <c r="E763" s="1">
        <f>_xlfn.XLOOKUP(Sheet1[[#This Row],[day_id]],calendar!A33,calendar!B33)</f>
        <v>40603</v>
      </c>
      <c r="F763" t="str">
        <f>_xlfn.XLOOKUP(Sheet1[[#This Row],[day_id]],calendar!A33,calendar!C33)</f>
        <v>Tuesday</v>
      </c>
      <c r="G763">
        <f>_xlfn.XLOOKUP(Sheet1[[#This Row],[day_id]],calendar!A33,calendar!E33)</f>
        <v>3</v>
      </c>
      <c r="H763">
        <f>_xlfn.XLOOKUP(Sheet1[[#This Row],[day_id]],calendar!A33,calendar!F33)</f>
        <v>2011</v>
      </c>
      <c r="I763" t="str">
        <f>_xlfn.XLOOKUP(Sheet1[[#This Row],[day_id]],calendar!A33,calendar!J33)</f>
        <v>No Event</v>
      </c>
      <c r="J763" t="str">
        <f>_xlfn.XLOOKUP(Sheet1[[#This Row],[day_id]],calendar!A33,calendar!K33)</f>
        <v>No Event Type</v>
      </c>
      <c r="K763">
        <f>_xlfn.XLOOKUP(calendar!A33,calendar!A33,calendar!I33)</f>
        <v>1</v>
      </c>
    </row>
    <row r="764" spans="1:11" x14ac:dyDescent="0.2">
      <c r="A764" t="s">
        <v>371</v>
      </c>
      <c r="B764" t="s">
        <v>369</v>
      </c>
      <c r="C764" t="s">
        <v>34</v>
      </c>
      <c r="D764">
        <v>5</v>
      </c>
      <c r="E764" s="1">
        <f>_xlfn.XLOOKUP(Sheet1[[#This Row],[day_id]],calendar!A34,calendar!B34)</f>
        <v>40604</v>
      </c>
      <c r="F764" t="str">
        <f>_xlfn.XLOOKUP(Sheet1[[#This Row],[day_id]],calendar!A34,calendar!C34)</f>
        <v>Wednesday</v>
      </c>
      <c r="G764">
        <f>_xlfn.XLOOKUP(Sheet1[[#This Row],[day_id]],calendar!A34,calendar!E34)</f>
        <v>3</v>
      </c>
      <c r="H764">
        <f>_xlfn.XLOOKUP(Sheet1[[#This Row],[day_id]],calendar!A34,calendar!F34)</f>
        <v>2011</v>
      </c>
      <c r="I764" t="str">
        <f>_xlfn.XLOOKUP(Sheet1[[#This Row],[day_id]],calendar!A34,calendar!J34)</f>
        <v>No Event</v>
      </c>
      <c r="J764" t="str">
        <f>_xlfn.XLOOKUP(Sheet1[[#This Row],[day_id]],calendar!A34,calendar!K34)</f>
        <v>No Event Type</v>
      </c>
      <c r="K764">
        <f>_xlfn.XLOOKUP(calendar!A34,calendar!A34,calendar!I34)</f>
        <v>1</v>
      </c>
    </row>
    <row r="765" spans="1:11" x14ac:dyDescent="0.2">
      <c r="A765" t="s">
        <v>371</v>
      </c>
      <c r="B765" t="s">
        <v>369</v>
      </c>
      <c r="C765" t="s">
        <v>35</v>
      </c>
      <c r="D765">
        <v>0</v>
      </c>
      <c r="E765" s="1">
        <f>_xlfn.XLOOKUP(Sheet1[[#This Row],[day_id]],calendar!A35,calendar!B35)</f>
        <v>40605</v>
      </c>
      <c r="F765" t="str">
        <f>_xlfn.XLOOKUP(Sheet1[[#This Row],[day_id]],calendar!A35,calendar!C35)</f>
        <v>Thursday</v>
      </c>
      <c r="G765">
        <f>_xlfn.XLOOKUP(Sheet1[[#This Row],[day_id]],calendar!A35,calendar!E35)</f>
        <v>3</v>
      </c>
      <c r="H765">
        <f>_xlfn.XLOOKUP(Sheet1[[#This Row],[day_id]],calendar!A35,calendar!F35)</f>
        <v>2011</v>
      </c>
      <c r="I765" t="str">
        <f>_xlfn.XLOOKUP(Sheet1[[#This Row],[day_id]],calendar!A35,calendar!J35)</f>
        <v>No Event</v>
      </c>
      <c r="J765" t="str">
        <f>_xlfn.XLOOKUP(Sheet1[[#This Row],[day_id]],calendar!A35,calendar!K35)</f>
        <v>No Event Type</v>
      </c>
      <c r="K765">
        <f>_xlfn.XLOOKUP(calendar!A35,calendar!A35,calendar!I35)</f>
        <v>1</v>
      </c>
    </row>
    <row r="766" spans="1:11" x14ac:dyDescent="0.2">
      <c r="A766" t="s">
        <v>371</v>
      </c>
      <c r="B766" t="s">
        <v>369</v>
      </c>
      <c r="C766" t="s">
        <v>36</v>
      </c>
      <c r="D766">
        <v>1</v>
      </c>
      <c r="E766" s="1">
        <f>_xlfn.XLOOKUP(Sheet1[[#This Row],[day_id]],calendar!A36,calendar!B36)</f>
        <v>40606</v>
      </c>
      <c r="F766" t="str">
        <f>_xlfn.XLOOKUP(Sheet1[[#This Row],[day_id]],calendar!A36,calendar!C36)</f>
        <v>Friday</v>
      </c>
      <c r="G766">
        <f>_xlfn.XLOOKUP(Sheet1[[#This Row],[day_id]],calendar!A36,calendar!E36)</f>
        <v>3</v>
      </c>
      <c r="H766">
        <f>_xlfn.XLOOKUP(Sheet1[[#This Row],[day_id]],calendar!A36,calendar!F36)</f>
        <v>2011</v>
      </c>
      <c r="I766" t="str">
        <f>_xlfn.XLOOKUP(Sheet1[[#This Row],[day_id]],calendar!A36,calendar!J36)</f>
        <v>No Event</v>
      </c>
      <c r="J766" t="str">
        <f>_xlfn.XLOOKUP(Sheet1[[#This Row],[day_id]],calendar!A36,calendar!K36)</f>
        <v>No Event Type</v>
      </c>
      <c r="K766">
        <f>_xlfn.XLOOKUP(calendar!A36,calendar!A36,calendar!I36)</f>
        <v>1</v>
      </c>
    </row>
    <row r="767" spans="1:11" x14ac:dyDescent="0.2">
      <c r="A767" t="s">
        <v>371</v>
      </c>
      <c r="B767" t="s">
        <v>369</v>
      </c>
      <c r="C767" t="s">
        <v>37</v>
      </c>
      <c r="D767">
        <v>13</v>
      </c>
      <c r="E767" s="1">
        <f>_xlfn.XLOOKUP(Sheet1[[#This Row],[day_id]],calendar!A37,calendar!B37)</f>
        <v>40607</v>
      </c>
      <c r="F767" t="str">
        <f>_xlfn.XLOOKUP(Sheet1[[#This Row],[day_id]],calendar!A37,calendar!C37)</f>
        <v>Saturday</v>
      </c>
      <c r="G767">
        <f>_xlfn.XLOOKUP(Sheet1[[#This Row],[day_id]],calendar!A37,calendar!E37)</f>
        <v>3</v>
      </c>
      <c r="H767">
        <f>_xlfn.XLOOKUP(Sheet1[[#This Row],[day_id]],calendar!A37,calendar!F37)</f>
        <v>2011</v>
      </c>
      <c r="I767" t="str">
        <f>_xlfn.XLOOKUP(Sheet1[[#This Row],[day_id]],calendar!A37,calendar!J37)</f>
        <v>No Event</v>
      </c>
      <c r="J767" t="str">
        <f>_xlfn.XLOOKUP(Sheet1[[#This Row],[day_id]],calendar!A37,calendar!K37)</f>
        <v>No Event Type</v>
      </c>
      <c r="K767">
        <f>_xlfn.XLOOKUP(calendar!A37,calendar!A37,calendar!I37)</f>
        <v>1</v>
      </c>
    </row>
    <row r="768" spans="1:11" x14ac:dyDescent="0.2">
      <c r="A768" t="s">
        <v>371</v>
      </c>
      <c r="B768" t="s">
        <v>369</v>
      </c>
      <c r="C768" t="s">
        <v>38</v>
      </c>
      <c r="D768">
        <v>2</v>
      </c>
      <c r="E768" s="1">
        <f>_xlfn.XLOOKUP(Sheet1[[#This Row],[day_id]],calendar!A38,calendar!B38)</f>
        <v>40608</v>
      </c>
      <c r="F768" t="str">
        <f>_xlfn.XLOOKUP(Sheet1[[#This Row],[day_id]],calendar!A38,calendar!C38)</f>
        <v>Sunday</v>
      </c>
      <c r="G768">
        <f>_xlfn.XLOOKUP(Sheet1[[#This Row],[day_id]],calendar!A38,calendar!E38)</f>
        <v>3</v>
      </c>
      <c r="H768">
        <f>_xlfn.XLOOKUP(Sheet1[[#This Row],[day_id]],calendar!A38,calendar!F38)</f>
        <v>2011</v>
      </c>
      <c r="I768" t="str">
        <f>_xlfn.XLOOKUP(Sheet1[[#This Row],[day_id]],calendar!A38,calendar!J38)</f>
        <v>No Event</v>
      </c>
      <c r="J768" t="str">
        <f>_xlfn.XLOOKUP(Sheet1[[#This Row],[day_id]],calendar!A38,calendar!K38)</f>
        <v>No Event Type</v>
      </c>
      <c r="K768">
        <f>_xlfn.XLOOKUP(calendar!A38,calendar!A38,calendar!I38)</f>
        <v>1</v>
      </c>
    </row>
    <row r="769" spans="1:11" x14ac:dyDescent="0.2">
      <c r="A769" t="s">
        <v>371</v>
      </c>
      <c r="B769" t="s">
        <v>369</v>
      </c>
      <c r="C769" t="s">
        <v>39</v>
      </c>
      <c r="D769">
        <v>0</v>
      </c>
      <c r="E769" s="1">
        <f>_xlfn.XLOOKUP(Sheet1[[#This Row],[day_id]],calendar!A39,calendar!B39)</f>
        <v>40609</v>
      </c>
      <c r="F769" t="str">
        <f>_xlfn.XLOOKUP(Sheet1[[#This Row],[day_id]],calendar!A39,calendar!C39)</f>
        <v>Monday</v>
      </c>
      <c r="G769">
        <f>_xlfn.XLOOKUP(Sheet1[[#This Row],[day_id]],calendar!A39,calendar!E39)</f>
        <v>3</v>
      </c>
      <c r="H769">
        <f>_xlfn.XLOOKUP(Sheet1[[#This Row],[day_id]],calendar!A39,calendar!F39)</f>
        <v>2011</v>
      </c>
      <c r="I769" t="str">
        <f>_xlfn.XLOOKUP(Sheet1[[#This Row],[day_id]],calendar!A39,calendar!J39)</f>
        <v>No Event</v>
      </c>
      <c r="J769" t="str">
        <f>_xlfn.XLOOKUP(Sheet1[[#This Row],[day_id]],calendar!A39,calendar!K39)</f>
        <v>No Event Type</v>
      </c>
      <c r="K769">
        <f>_xlfn.XLOOKUP(calendar!A39,calendar!A39,calendar!I39)</f>
        <v>1</v>
      </c>
    </row>
    <row r="770" spans="1:11" x14ac:dyDescent="0.2">
      <c r="A770" t="s">
        <v>371</v>
      </c>
      <c r="B770" t="s">
        <v>369</v>
      </c>
      <c r="C770" t="s">
        <v>40</v>
      </c>
      <c r="D770">
        <v>0</v>
      </c>
      <c r="E770" s="1">
        <f>_xlfn.XLOOKUP(Sheet1[[#This Row],[day_id]],calendar!A40,calendar!B40)</f>
        <v>40610</v>
      </c>
      <c r="F770" t="str">
        <f>_xlfn.XLOOKUP(Sheet1[[#This Row],[day_id]],calendar!A40,calendar!C40)</f>
        <v>Tuesday</v>
      </c>
      <c r="G770">
        <f>_xlfn.XLOOKUP(Sheet1[[#This Row],[day_id]],calendar!A40,calendar!E40)</f>
        <v>3</v>
      </c>
      <c r="H770">
        <f>_xlfn.XLOOKUP(Sheet1[[#This Row],[day_id]],calendar!A40,calendar!F40)</f>
        <v>2011</v>
      </c>
      <c r="I770" t="str">
        <f>_xlfn.XLOOKUP(Sheet1[[#This Row],[day_id]],calendar!A40,calendar!J40)</f>
        <v>No Event</v>
      </c>
      <c r="J770" t="str">
        <f>_xlfn.XLOOKUP(Sheet1[[#This Row],[day_id]],calendar!A40,calendar!K40)</f>
        <v>No Event Type</v>
      </c>
      <c r="K770">
        <f>_xlfn.XLOOKUP(calendar!A40,calendar!A40,calendar!I40)</f>
        <v>1</v>
      </c>
    </row>
    <row r="771" spans="1:11" x14ac:dyDescent="0.2">
      <c r="A771" t="s">
        <v>371</v>
      </c>
      <c r="B771" t="s">
        <v>369</v>
      </c>
      <c r="C771" t="s">
        <v>41</v>
      </c>
      <c r="D771">
        <v>2</v>
      </c>
      <c r="E771" s="1">
        <f>_xlfn.XLOOKUP(Sheet1[[#This Row],[day_id]],calendar!A41,calendar!B41)</f>
        <v>40611</v>
      </c>
      <c r="F771" t="str">
        <f>_xlfn.XLOOKUP(Sheet1[[#This Row],[day_id]],calendar!A41,calendar!C41)</f>
        <v>Wednesday</v>
      </c>
      <c r="G771">
        <f>_xlfn.XLOOKUP(Sheet1[[#This Row],[day_id]],calendar!A41,calendar!E41)</f>
        <v>3</v>
      </c>
      <c r="H771">
        <f>_xlfn.XLOOKUP(Sheet1[[#This Row],[day_id]],calendar!A41,calendar!F41)</f>
        <v>2011</v>
      </c>
      <c r="I771" t="str">
        <f>_xlfn.XLOOKUP(Sheet1[[#This Row],[day_id]],calendar!A41,calendar!J41)</f>
        <v>LentStart</v>
      </c>
      <c r="J771" t="str">
        <f>_xlfn.XLOOKUP(Sheet1[[#This Row],[day_id]],calendar!A41,calendar!K41)</f>
        <v>Religious</v>
      </c>
      <c r="K771">
        <f>_xlfn.XLOOKUP(calendar!A41,calendar!A41,calendar!I41)</f>
        <v>1</v>
      </c>
    </row>
    <row r="772" spans="1:11" x14ac:dyDescent="0.2">
      <c r="A772" t="s">
        <v>371</v>
      </c>
      <c r="B772" t="s">
        <v>369</v>
      </c>
      <c r="C772" t="s">
        <v>42</v>
      </c>
      <c r="D772">
        <v>0</v>
      </c>
      <c r="E772" s="1">
        <f>_xlfn.XLOOKUP(Sheet1[[#This Row],[day_id]],calendar!A42,calendar!B42)</f>
        <v>40612</v>
      </c>
      <c r="F772" t="str">
        <f>_xlfn.XLOOKUP(Sheet1[[#This Row],[day_id]],calendar!A42,calendar!C42)</f>
        <v>Thursday</v>
      </c>
      <c r="G772">
        <f>_xlfn.XLOOKUP(Sheet1[[#This Row],[day_id]],calendar!A42,calendar!E42)</f>
        <v>3</v>
      </c>
      <c r="H772">
        <f>_xlfn.XLOOKUP(Sheet1[[#This Row],[day_id]],calendar!A42,calendar!F42)</f>
        <v>2011</v>
      </c>
      <c r="I772" t="str">
        <f>_xlfn.XLOOKUP(Sheet1[[#This Row],[day_id]],calendar!A42,calendar!J42)</f>
        <v>No Event</v>
      </c>
      <c r="J772" t="str">
        <f>_xlfn.XLOOKUP(Sheet1[[#This Row],[day_id]],calendar!A42,calendar!K42)</f>
        <v>No Event Type</v>
      </c>
      <c r="K772">
        <f>_xlfn.XLOOKUP(calendar!A42,calendar!A42,calendar!I42)</f>
        <v>1</v>
      </c>
    </row>
    <row r="773" spans="1:11" x14ac:dyDescent="0.2">
      <c r="A773" t="s">
        <v>371</v>
      </c>
      <c r="B773" t="s">
        <v>369</v>
      </c>
      <c r="C773" t="s">
        <v>43</v>
      </c>
      <c r="D773">
        <v>0</v>
      </c>
      <c r="E773" s="1">
        <f>_xlfn.XLOOKUP(Sheet1[[#This Row],[day_id]],calendar!A43,calendar!B43)</f>
        <v>40613</v>
      </c>
      <c r="F773" t="str">
        <f>_xlfn.XLOOKUP(Sheet1[[#This Row],[day_id]],calendar!A43,calendar!C43)</f>
        <v>Friday</v>
      </c>
      <c r="G773">
        <f>_xlfn.XLOOKUP(Sheet1[[#This Row],[day_id]],calendar!A43,calendar!E43)</f>
        <v>3</v>
      </c>
      <c r="H773">
        <f>_xlfn.XLOOKUP(Sheet1[[#This Row],[day_id]],calendar!A43,calendar!F43)</f>
        <v>2011</v>
      </c>
      <c r="I773" t="str">
        <f>_xlfn.XLOOKUP(Sheet1[[#This Row],[day_id]],calendar!A43,calendar!J43)</f>
        <v>No Event</v>
      </c>
      <c r="J773" t="str">
        <f>_xlfn.XLOOKUP(Sheet1[[#This Row],[day_id]],calendar!A43,calendar!K43)</f>
        <v>No Event Type</v>
      </c>
      <c r="K773">
        <f>_xlfn.XLOOKUP(calendar!A43,calendar!A43,calendar!I43)</f>
        <v>0</v>
      </c>
    </row>
    <row r="774" spans="1:11" x14ac:dyDescent="0.2">
      <c r="A774" t="s">
        <v>371</v>
      </c>
      <c r="B774" t="s">
        <v>369</v>
      </c>
      <c r="C774" t="s">
        <v>44</v>
      </c>
      <c r="D774">
        <v>4</v>
      </c>
      <c r="E774" s="1">
        <f>_xlfn.XLOOKUP(Sheet1[[#This Row],[day_id]],calendar!A44,calendar!B44)</f>
        <v>40614</v>
      </c>
      <c r="F774" t="str">
        <f>_xlfn.XLOOKUP(Sheet1[[#This Row],[day_id]],calendar!A44,calendar!C44)</f>
        <v>Saturday</v>
      </c>
      <c r="G774">
        <f>_xlfn.XLOOKUP(Sheet1[[#This Row],[day_id]],calendar!A44,calendar!E44)</f>
        <v>3</v>
      </c>
      <c r="H774">
        <f>_xlfn.XLOOKUP(Sheet1[[#This Row],[day_id]],calendar!A44,calendar!F44)</f>
        <v>2011</v>
      </c>
      <c r="I774" t="str">
        <f>_xlfn.XLOOKUP(Sheet1[[#This Row],[day_id]],calendar!A44,calendar!J44)</f>
        <v>No Event</v>
      </c>
      <c r="J774" t="str">
        <f>_xlfn.XLOOKUP(Sheet1[[#This Row],[day_id]],calendar!A44,calendar!K44)</f>
        <v>No Event Type</v>
      </c>
      <c r="K774">
        <f>_xlfn.XLOOKUP(calendar!A44,calendar!A44,calendar!I44)</f>
        <v>0</v>
      </c>
    </row>
    <row r="775" spans="1:11" x14ac:dyDescent="0.2">
      <c r="A775" t="s">
        <v>371</v>
      </c>
      <c r="B775" t="s">
        <v>369</v>
      </c>
      <c r="C775" t="s">
        <v>45</v>
      </c>
      <c r="D775">
        <v>3</v>
      </c>
      <c r="E775" s="1">
        <f>_xlfn.XLOOKUP(Sheet1[[#This Row],[day_id]],calendar!A45,calendar!B45)</f>
        <v>40615</v>
      </c>
      <c r="F775" t="str">
        <f>_xlfn.XLOOKUP(Sheet1[[#This Row],[day_id]],calendar!A45,calendar!C45)</f>
        <v>Sunday</v>
      </c>
      <c r="G775">
        <f>_xlfn.XLOOKUP(Sheet1[[#This Row],[day_id]],calendar!A45,calendar!E45)</f>
        <v>3</v>
      </c>
      <c r="H775">
        <f>_xlfn.XLOOKUP(Sheet1[[#This Row],[day_id]],calendar!A45,calendar!F45)</f>
        <v>2011</v>
      </c>
      <c r="I775" t="str">
        <f>_xlfn.XLOOKUP(Sheet1[[#This Row],[day_id]],calendar!A45,calendar!J45)</f>
        <v>No Event</v>
      </c>
      <c r="J775" t="str">
        <f>_xlfn.XLOOKUP(Sheet1[[#This Row],[day_id]],calendar!A45,calendar!K45)</f>
        <v>No Event Type</v>
      </c>
      <c r="K775">
        <f>_xlfn.XLOOKUP(calendar!A45,calendar!A45,calendar!I45)</f>
        <v>0</v>
      </c>
    </row>
    <row r="776" spans="1:11" x14ac:dyDescent="0.2">
      <c r="A776" t="s">
        <v>371</v>
      </c>
      <c r="B776" t="s">
        <v>369</v>
      </c>
      <c r="C776" t="s">
        <v>46</v>
      </c>
      <c r="D776">
        <v>3</v>
      </c>
      <c r="E776" s="1">
        <f>_xlfn.XLOOKUP(Sheet1[[#This Row],[day_id]],calendar!A46,calendar!B46)</f>
        <v>40616</v>
      </c>
      <c r="F776" t="str">
        <f>_xlfn.XLOOKUP(Sheet1[[#This Row],[day_id]],calendar!A46,calendar!C46)</f>
        <v>Monday</v>
      </c>
      <c r="G776">
        <f>_xlfn.XLOOKUP(Sheet1[[#This Row],[day_id]],calendar!A46,calendar!E46)</f>
        <v>3</v>
      </c>
      <c r="H776">
        <f>_xlfn.XLOOKUP(Sheet1[[#This Row],[day_id]],calendar!A46,calendar!F46)</f>
        <v>2011</v>
      </c>
      <c r="I776" t="str">
        <f>_xlfn.XLOOKUP(Sheet1[[#This Row],[day_id]],calendar!A46,calendar!J46)</f>
        <v>No Event</v>
      </c>
      <c r="J776" t="str">
        <f>_xlfn.XLOOKUP(Sheet1[[#This Row],[day_id]],calendar!A46,calendar!K46)</f>
        <v>No Event Type</v>
      </c>
      <c r="K776">
        <f>_xlfn.XLOOKUP(calendar!A46,calendar!A46,calendar!I46)</f>
        <v>0</v>
      </c>
    </row>
    <row r="777" spans="1:11" x14ac:dyDescent="0.2">
      <c r="A777" t="s">
        <v>371</v>
      </c>
      <c r="B777" t="s">
        <v>369</v>
      </c>
      <c r="C777" t="s">
        <v>47</v>
      </c>
      <c r="D777">
        <v>13</v>
      </c>
      <c r="E777" s="1">
        <f>_xlfn.XLOOKUP(Sheet1[[#This Row],[day_id]],calendar!A47,calendar!B47)</f>
        <v>40617</v>
      </c>
      <c r="F777" t="str">
        <f>_xlfn.XLOOKUP(Sheet1[[#This Row],[day_id]],calendar!A47,calendar!C47)</f>
        <v>Tuesday</v>
      </c>
      <c r="G777">
        <f>_xlfn.XLOOKUP(Sheet1[[#This Row],[day_id]],calendar!A47,calendar!E47)</f>
        <v>3</v>
      </c>
      <c r="H777">
        <f>_xlfn.XLOOKUP(Sheet1[[#This Row],[day_id]],calendar!A47,calendar!F47)</f>
        <v>2011</v>
      </c>
      <c r="I777" t="str">
        <f>_xlfn.XLOOKUP(Sheet1[[#This Row],[day_id]],calendar!A47,calendar!J47)</f>
        <v>No Event</v>
      </c>
      <c r="J777" t="str">
        <f>_xlfn.XLOOKUP(Sheet1[[#This Row],[day_id]],calendar!A47,calendar!K47)</f>
        <v>No Event Type</v>
      </c>
      <c r="K777">
        <f>_xlfn.XLOOKUP(calendar!A47,calendar!A47,calendar!I47)</f>
        <v>0</v>
      </c>
    </row>
    <row r="778" spans="1:11" x14ac:dyDescent="0.2">
      <c r="A778" t="s">
        <v>371</v>
      </c>
      <c r="B778" t="s">
        <v>369</v>
      </c>
      <c r="C778" t="s">
        <v>48</v>
      </c>
      <c r="D778">
        <v>19</v>
      </c>
      <c r="E778" s="1">
        <f>_xlfn.XLOOKUP(Sheet1[[#This Row],[day_id]],calendar!A48,calendar!B48)</f>
        <v>40618</v>
      </c>
      <c r="F778" t="str">
        <f>_xlfn.XLOOKUP(Sheet1[[#This Row],[day_id]],calendar!A48,calendar!C48)</f>
        <v>Wednesday</v>
      </c>
      <c r="G778">
        <f>_xlfn.XLOOKUP(Sheet1[[#This Row],[day_id]],calendar!A48,calendar!E48)</f>
        <v>3</v>
      </c>
      <c r="H778">
        <f>_xlfn.XLOOKUP(Sheet1[[#This Row],[day_id]],calendar!A48,calendar!F48)</f>
        <v>2011</v>
      </c>
      <c r="I778" t="str">
        <f>_xlfn.XLOOKUP(Sheet1[[#This Row],[day_id]],calendar!A48,calendar!J48)</f>
        <v>LentWeek2</v>
      </c>
      <c r="J778" t="str">
        <f>_xlfn.XLOOKUP(Sheet1[[#This Row],[day_id]],calendar!A48,calendar!K48)</f>
        <v>Religious</v>
      </c>
      <c r="K778">
        <f>_xlfn.XLOOKUP(calendar!A48,calendar!A48,calendar!I48)</f>
        <v>0</v>
      </c>
    </row>
    <row r="779" spans="1:11" x14ac:dyDescent="0.2">
      <c r="A779" t="s">
        <v>371</v>
      </c>
      <c r="B779" t="s">
        <v>369</v>
      </c>
      <c r="C779" t="s">
        <v>49</v>
      </c>
      <c r="D779">
        <v>15</v>
      </c>
      <c r="E779" s="1">
        <f>_xlfn.XLOOKUP(Sheet1[[#This Row],[day_id]],calendar!A49,calendar!B49)</f>
        <v>40619</v>
      </c>
      <c r="F779" t="str">
        <f>_xlfn.XLOOKUP(Sheet1[[#This Row],[day_id]],calendar!A49,calendar!C49)</f>
        <v>Thursday</v>
      </c>
      <c r="G779">
        <f>_xlfn.XLOOKUP(Sheet1[[#This Row],[day_id]],calendar!A49,calendar!E49)</f>
        <v>3</v>
      </c>
      <c r="H779">
        <f>_xlfn.XLOOKUP(Sheet1[[#This Row],[day_id]],calendar!A49,calendar!F49)</f>
        <v>2011</v>
      </c>
      <c r="I779" t="str">
        <f>_xlfn.XLOOKUP(Sheet1[[#This Row],[day_id]],calendar!A49,calendar!J49)</f>
        <v>StPatricksDay</v>
      </c>
      <c r="J779" t="str">
        <f>_xlfn.XLOOKUP(Sheet1[[#This Row],[day_id]],calendar!A49,calendar!K49)</f>
        <v>Cultural</v>
      </c>
      <c r="K779">
        <f>_xlfn.XLOOKUP(calendar!A49,calendar!A49,calendar!I49)</f>
        <v>0</v>
      </c>
    </row>
    <row r="780" spans="1:11" x14ac:dyDescent="0.2">
      <c r="A780" t="s">
        <v>371</v>
      </c>
      <c r="B780" t="s">
        <v>369</v>
      </c>
      <c r="C780" t="s">
        <v>50</v>
      </c>
      <c r="D780">
        <v>15</v>
      </c>
      <c r="E780" s="1">
        <f>_xlfn.XLOOKUP(Sheet1[[#This Row],[day_id]],calendar!A50,calendar!B50)</f>
        <v>40620</v>
      </c>
      <c r="F780" t="str">
        <f>_xlfn.XLOOKUP(Sheet1[[#This Row],[day_id]],calendar!A50,calendar!C50)</f>
        <v>Friday</v>
      </c>
      <c r="G780">
        <f>_xlfn.XLOOKUP(Sheet1[[#This Row],[day_id]],calendar!A50,calendar!E50)</f>
        <v>3</v>
      </c>
      <c r="H780">
        <f>_xlfn.XLOOKUP(Sheet1[[#This Row],[day_id]],calendar!A50,calendar!F50)</f>
        <v>2011</v>
      </c>
      <c r="I780" t="str">
        <f>_xlfn.XLOOKUP(Sheet1[[#This Row],[day_id]],calendar!A50,calendar!J50)</f>
        <v>No Event</v>
      </c>
      <c r="J780" t="str">
        <f>_xlfn.XLOOKUP(Sheet1[[#This Row],[day_id]],calendar!A50,calendar!K50)</f>
        <v>No Event Type</v>
      </c>
      <c r="K780">
        <f>_xlfn.XLOOKUP(calendar!A50,calendar!A50,calendar!I50)</f>
        <v>0</v>
      </c>
    </row>
    <row r="781" spans="1:11" x14ac:dyDescent="0.2">
      <c r="A781" t="s">
        <v>371</v>
      </c>
      <c r="B781" t="s">
        <v>369</v>
      </c>
      <c r="C781" t="s">
        <v>51</v>
      </c>
      <c r="D781">
        <v>25</v>
      </c>
      <c r="E781" s="1">
        <f>_xlfn.XLOOKUP(Sheet1[[#This Row],[day_id]],calendar!A51,calendar!B51)</f>
        <v>40621</v>
      </c>
      <c r="F781" t="str">
        <f>_xlfn.XLOOKUP(Sheet1[[#This Row],[day_id]],calendar!A51,calendar!C51)</f>
        <v>Saturday</v>
      </c>
      <c r="G781">
        <f>_xlfn.XLOOKUP(Sheet1[[#This Row],[day_id]],calendar!A51,calendar!E51)</f>
        <v>3</v>
      </c>
      <c r="H781">
        <f>_xlfn.XLOOKUP(Sheet1[[#This Row],[day_id]],calendar!A51,calendar!F51)</f>
        <v>2011</v>
      </c>
      <c r="I781" t="str">
        <f>_xlfn.XLOOKUP(Sheet1[[#This Row],[day_id]],calendar!A51,calendar!J51)</f>
        <v>No Event</v>
      </c>
      <c r="J781" t="str">
        <f>_xlfn.XLOOKUP(Sheet1[[#This Row],[day_id]],calendar!A51,calendar!K51)</f>
        <v>No Event Type</v>
      </c>
      <c r="K781">
        <f>_xlfn.XLOOKUP(calendar!A51,calendar!A51,calendar!I51)</f>
        <v>0</v>
      </c>
    </row>
    <row r="782" spans="1:11" x14ac:dyDescent="0.2">
      <c r="A782" t="s">
        <v>371</v>
      </c>
      <c r="B782" t="s">
        <v>369</v>
      </c>
      <c r="C782" t="s">
        <v>52</v>
      </c>
      <c r="D782">
        <v>18</v>
      </c>
      <c r="E782" s="1">
        <f>_xlfn.XLOOKUP(Sheet1[[#This Row],[day_id]],calendar!A52,calendar!B52)</f>
        <v>40622</v>
      </c>
      <c r="F782" t="str">
        <f>_xlfn.XLOOKUP(Sheet1[[#This Row],[day_id]],calendar!A52,calendar!C52)</f>
        <v>Sunday</v>
      </c>
      <c r="G782">
        <f>_xlfn.XLOOKUP(Sheet1[[#This Row],[day_id]],calendar!A52,calendar!E52)</f>
        <v>3</v>
      </c>
      <c r="H782">
        <f>_xlfn.XLOOKUP(Sheet1[[#This Row],[day_id]],calendar!A52,calendar!F52)</f>
        <v>2011</v>
      </c>
      <c r="I782" t="str">
        <f>_xlfn.XLOOKUP(Sheet1[[#This Row],[day_id]],calendar!A52,calendar!J52)</f>
        <v>Purim End</v>
      </c>
      <c r="J782" t="str">
        <f>_xlfn.XLOOKUP(Sheet1[[#This Row],[day_id]],calendar!A52,calendar!K52)</f>
        <v>Religious</v>
      </c>
      <c r="K782">
        <f>_xlfn.XLOOKUP(calendar!A52,calendar!A52,calendar!I52)</f>
        <v>0</v>
      </c>
    </row>
    <row r="783" spans="1:11" x14ac:dyDescent="0.2">
      <c r="A783" t="s">
        <v>371</v>
      </c>
      <c r="B783" t="s">
        <v>369</v>
      </c>
      <c r="C783" t="s">
        <v>53</v>
      </c>
      <c r="D783">
        <v>12</v>
      </c>
      <c r="E783" s="1">
        <f>_xlfn.XLOOKUP(Sheet1[[#This Row],[day_id]],calendar!A53,calendar!B53)</f>
        <v>40623</v>
      </c>
      <c r="F783" t="str">
        <f>_xlfn.XLOOKUP(Sheet1[[#This Row],[day_id]],calendar!A53,calendar!C53)</f>
        <v>Monday</v>
      </c>
      <c r="G783">
        <f>_xlfn.XLOOKUP(Sheet1[[#This Row],[day_id]],calendar!A53,calendar!E53)</f>
        <v>3</v>
      </c>
      <c r="H783">
        <f>_xlfn.XLOOKUP(Sheet1[[#This Row],[day_id]],calendar!A53,calendar!F53)</f>
        <v>2011</v>
      </c>
      <c r="I783" t="str">
        <f>_xlfn.XLOOKUP(Sheet1[[#This Row],[day_id]],calendar!A53,calendar!J53)</f>
        <v>No Event</v>
      </c>
      <c r="J783" t="str">
        <f>_xlfn.XLOOKUP(Sheet1[[#This Row],[day_id]],calendar!A53,calendar!K53)</f>
        <v>No Event Type</v>
      </c>
      <c r="K783">
        <f>_xlfn.XLOOKUP(calendar!A53,calendar!A53,calendar!I53)</f>
        <v>0</v>
      </c>
    </row>
    <row r="784" spans="1:11" x14ac:dyDescent="0.2">
      <c r="A784" t="s">
        <v>371</v>
      </c>
      <c r="B784" t="s">
        <v>369</v>
      </c>
      <c r="C784" t="s">
        <v>54</v>
      </c>
      <c r="D784">
        <v>7</v>
      </c>
      <c r="E784" s="1">
        <f>_xlfn.XLOOKUP(Sheet1[[#This Row],[day_id]],calendar!A54,calendar!B54)</f>
        <v>40624</v>
      </c>
      <c r="F784" t="str">
        <f>_xlfn.XLOOKUP(Sheet1[[#This Row],[day_id]],calendar!A54,calendar!C54)</f>
        <v>Tuesday</v>
      </c>
      <c r="G784">
        <f>_xlfn.XLOOKUP(Sheet1[[#This Row],[day_id]],calendar!A54,calendar!E54)</f>
        <v>3</v>
      </c>
      <c r="H784">
        <f>_xlfn.XLOOKUP(Sheet1[[#This Row],[day_id]],calendar!A54,calendar!F54)</f>
        <v>2011</v>
      </c>
      <c r="I784" t="str">
        <f>_xlfn.XLOOKUP(Sheet1[[#This Row],[day_id]],calendar!A54,calendar!J54)</f>
        <v>No Event</v>
      </c>
      <c r="J784" t="str">
        <f>_xlfn.XLOOKUP(Sheet1[[#This Row],[day_id]],calendar!A54,calendar!K54)</f>
        <v>No Event Type</v>
      </c>
      <c r="K784">
        <f>_xlfn.XLOOKUP(calendar!A54,calendar!A54,calendar!I54)</f>
        <v>0</v>
      </c>
    </row>
    <row r="785" spans="1:11" x14ac:dyDescent="0.2">
      <c r="A785" t="s">
        <v>371</v>
      </c>
      <c r="B785" t="s">
        <v>369</v>
      </c>
      <c r="C785" t="s">
        <v>55</v>
      </c>
      <c r="D785">
        <v>1</v>
      </c>
      <c r="E785" s="1">
        <f>_xlfn.XLOOKUP(Sheet1[[#This Row],[day_id]],calendar!A55,calendar!B55)</f>
        <v>40625</v>
      </c>
      <c r="F785" t="str">
        <f>_xlfn.XLOOKUP(Sheet1[[#This Row],[day_id]],calendar!A55,calendar!C55)</f>
        <v>Wednesday</v>
      </c>
      <c r="G785">
        <f>_xlfn.XLOOKUP(Sheet1[[#This Row],[day_id]],calendar!A55,calendar!E55)</f>
        <v>3</v>
      </c>
      <c r="H785">
        <f>_xlfn.XLOOKUP(Sheet1[[#This Row],[day_id]],calendar!A55,calendar!F55)</f>
        <v>2011</v>
      </c>
      <c r="I785" t="str">
        <f>_xlfn.XLOOKUP(Sheet1[[#This Row],[day_id]],calendar!A55,calendar!J55)</f>
        <v>No Event</v>
      </c>
      <c r="J785" t="str">
        <f>_xlfn.XLOOKUP(Sheet1[[#This Row],[day_id]],calendar!A55,calendar!K55)</f>
        <v>No Event Type</v>
      </c>
      <c r="K785">
        <f>_xlfn.XLOOKUP(calendar!A55,calendar!A55,calendar!I55)</f>
        <v>0</v>
      </c>
    </row>
    <row r="786" spans="1:11" x14ac:dyDescent="0.2">
      <c r="A786" t="s">
        <v>371</v>
      </c>
      <c r="B786" t="s">
        <v>369</v>
      </c>
      <c r="C786" t="s">
        <v>56</v>
      </c>
      <c r="D786">
        <v>3</v>
      </c>
      <c r="E786" s="1">
        <f>_xlfn.XLOOKUP(Sheet1[[#This Row],[day_id]],calendar!A56,calendar!B56)</f>
        <v>40626</v>
      </c>
      <c r="F786" t="str">
        <f>_xlfn.XLOOKUP(Sheet1[[#This Row],[day_id]],calendar!A56,calendar!C56)</f>
        <v>Thursday</v>
      </c>
      <c r="G786">
        <f>_xlfn.XLOOKUP(Sheet1[[#This Row],[day_id]],calendar!A56,calendar!E56)</f>
        <v>3</v>
      </c>
      <c r="H786">
        <f>_xlfn.XLOOKUP(Sheet1[[#This Row],[day_id]],calendar!A56,calendar!F56)</f>
        <v>2011</v>
      </c>
      <c r="I786" t="str">
        <f>_xlfn.XLOOKUP(Sheet1[[#This Row],[day_id]],calendar!A56,calendar!J56)</f>
        <v>No Event</v>
      </c>
      <c r="J786" t="str">
        <f>_xlfn.XLOOKUP(Sheet1[[#This Row],[day_id]],calendar!A56,calendar!K56)</f>
        <v>No Event Type</v>
      </c>
      <c r="K786">
        <f>_xlfn.XLOOKUP(calendar!A56,calendar!A56,calendar!I56)</f>
        <v>0</v>
      </c>
    </row>
    <row r="787" spans="1:11" x14ac:dyDescent="0.2">
      <c r="A787" t="s">
        <v>371</v>
      </c>
      <c r="B787" t="s">
        <v>369</v>
      </c>
      <c r="C787" t="s">
        <v>57</v>
      </c>
      <c r="D787">
        <v>12</v>
      </c>
      <c r="E787" s="1">
        <f>_xlfn.XLOOKUP(Sheet1[[#This Row],[day_id]],calendar!A57,calendar!B57)</f>
        <v>40627</v>
      </c>
      <c r="F787" t="str">
        <f>_xlfn.XLOOKUP(Sheet1[[#This Row],[day_id]],calendar!A57,calendar!C57)</f>
        <v>Friday</v>
      </c>
      <c r="G787">
        <f>_xlfn.XLOOKUP(Sheet1[[#This Row],[day_id]],calendar!A57,calendar!E57)</f>
        <v>3</v>
      </c>
      <c r="H787">
        <f>_xlfn.XLOOKUP(Sheet1[[#This Row],[day_id]],calendar!A57,calendar!F57)</f>
        <v>2011</v>
      </c>
      <c r="I787" t="str">
        <f>_xlfn.XLOOKUP(Sheet1[[#This Row],[day_id]],calendar!A57,calendar!J57)</f>
        <v>No Event</v>
      </c>
      <c r="J787" t="str">
        <f>_xlfn.XLOOKUP(Sheet1[[#This Row],[day_id]],calendar!A57,calendar!K57)</f>
        <v>No Event Type</v>
      </c>
      <c r="K787">
        <f>_xlfn.XLOOKUP(calendar!A57,calendar!A57,calendar!I57)</f>
        <v>0</v>
      </c>
    </row>
    <row r="788" spans="1:11" x14ac:dyDescent="0.2">
      <c r="A788" t="s">
        <v>371</v>
      </c>
      <c r="B788" t="s">
        <v>369</v>
      </c>
      <c r="C788" t="s">
        <v>58</v>
      </c>
      <c r="D788">
        <v>8</v>
      </c>
      <c r="E788" s="1">
        <f>_xlfn.XLOOKUP(Sheet1[[#This Row],[day_id]],calendar!A58,calendar!B58)</f>
        <v>40628</v>
      </c>
      <c r="F788" t="str">
        <f>_xlfn.XLOOKUP(Sheet1[[#This Row],[day_id]],calendar!A58,calendar!C58)</f>
        <v>Saturday</v>
      </c>
      <c r="G788">
        <f>_xlfn.XLOOKUP(Sheet1[[#This Row],[day_id]],calendar!A58,calendar!E58)</f>
        <v>3</v>
      </c>
      <c r="H788">
        <f>_xlfn.XLOOKUP(Sheet1[[#This Row],[day_id]],calendar!A58,calendar!F58)</f>
        <v>2011</v>
      </c>
      <c r="I788" t="str">
        <f>_xlfn.XLOOKUP(Sheet1[[#This Row],[day_id]],calendar!A58,calendar!J58)</f>
        <v>No Event</v>
      </c>
      <c r="J788" t="str">
        <f>_xlfn.XLOOKUP(Sheet1[[#This Row],[day_id]],calendar!A58,calendar!K58)</f>
        <v>No Event Type</v>
      </c>
      <c r="K788">
        <f>_xlfn.XLOOKUP(calendar!A58,calendar!A58,calendar!I58)</f>
        <v>0</v>
      </c>
    </row>
    <row r="789" spans="1:11" x14ac:dyDescent="0.2">
      <c r="A789" t="s">
        <v>371</v>
      </c>
      <c r="B789" t="s">
        <v>369</v>
      </c>
      <c r="C789" t="s">
        <v>59</v>
      </c>
      <c r="D789">
        <v>1</v>
      </c>
      <c r="E789" s="1">
        <f>_xlfn.XLOOKUP(Sheet1[[#This Row],[day_id]],calendar!A59,calendar!B59)</f>
        <v>40629</v>
      </c>
      <c r="F789" t="str">
        <f>_xlfn.XLOOKUP(Sheet1[[#This Row],[day_id]],calendar!A59,calendar!C59)</f>
        <v>Sunday</v>
      </c>
      <c r="G789">
        <f>_xlfn.XLOOKUP(Sheet1[[#This Row],[day_id]],calendar!A59,calendar!E59)</f>
        <v>3</v>
      </c>
      <c r="H789">
        <f>_xlfn.XLOOKUP(Sheet1[[#This Row],[day_id]],calendar!A59,calendar!F59)</f>
        <v>2011</v>
      </c>
      <c r="I789" t="str">
        <f>_xlfn.XLOOKUP(Sheet1[[#This Row],[day_id]],calendar!A59,calendar!J59)</f>
        <v>No Event</v>
      </c>
      <c r="J789" t="str">
        <f>_xlfn.XLOOKUP(Sheet1[[#This Row],[day_id]],calendar!A59,calendar!K59)</f>
        <v>No Event Type</v>
      </c>
      <c r="K789">
        <f>_xlfn.XLOOKUP(calendar!A59,calendar!A59,calendar!I59)</f>
        <v>0</v>
      </c>
    </row>
    <row r="790" spans="1:11" x14ac:dyDescent="0.2">
      <c r="A790" t="s">
        <v>371</v>
      </c>
      <c r="B790" t="s">
        <v>369</v>
      </c>
      <c r="C790" t="s">
        <v>60</v>
      </c>
      <c r="D790">
        <v>2</v>
      </c>
      <c r="E790" s="1">
        <f>_xlfn.XLOOKUP(Sheet1[[#This Row],[day_id]],calendar!A60,calendar!B60)</f>
        <v>40630</v>
      </c>
      <c r="F790" t="str">
        <f>_xlfn.XLOOKUP(Sheet1[[#This Row],[day_id]],calendar!A60,calendar!C60)</f>
        <v>Monday</v>
      </c>
      <c r="G790">
        <f>_xlfn.XLOOKUP(Sheet1[[#This Row],[day_id]],calendar!A60,calendar!E60)</f>
        <v>3</v>
      </c>
      <c r="H790">
        <f>_xlfn.XLOOKUP(Sheet1[[#This Row],[day_id]],calendar!A60,calendar!F60)</f>
        <v>2011</v>
      </c>
      <c r="I790" t="str">
        <f>_xlfn.XLOOKUP(Sheet1[[#This Row],[day_id]],calendar!A60,calendar!J60)</f>
        <v>No Event</v>
      </c>
      <c r="J790" t="str">
        <f>_xlfn.XLOOKUP(Sheet1[[#This Row],[day_id]],calendar!A60,calendar!K60)</f>
        <v>No Event Type</v>
      </c>
      <c r="K790">
        <f>_xlfn.XLOOKUP(calendar!A60,calendar!A60,calendar!I60)</f>
        <v>0</v>
      </c>
    </row>
    <row r="791" spans="1:11" x14ac:dyDescent="0.2">
      <c r="A791" t="s">
        <v>371</v>
      </c>
      <c r="B791" t="s">
        <v>369</v>
      </c>
      <c r="C791" t="s">
        <v>61</v>
      </c>
      <c r="D791">
        <v>2</v>
      </c>
      <c r="E791" s="1">
        <f>_xlfn.XLOOKUP(Sheet1[[#This Row],[day_id]],calendar!A61,calendar!B61)</f>
        <v>40631</v>
      </c>
      <c r="F791" t="str">
        <f>_xlfn.XLOOKUP(Sheet1[[#This Row],[day_id]],calendar!A61,calendar!C61)</f>
        <v>Tuesday</v>
      </c>
      <c r="G791">
        <f>_xlfn.XLOOKUP(Sheet1[[#This Row],[day_id]],calendar!A61,calendar!E61)</f>
        <v>3</v>
      </c>
      <c r="H791">
        <f>_xlfn.XLOOKUP(Sheet1[[#This Row],[day_id]],calendar!A61,calendar!F61)</f>
        <v>2011</v>
      </c>
      <c r="I791" t="str">
        <f>_xlfn.XLOOKUP(Sheet1[[#This Row],[day_id]],calendar!A61,calendar!J61)</f>
        <v>No Event</v>
      </c>
      <c r="J791" t="str">
        <f>_xlfn.XLOOKUP(Sheet1[[#This Row],[day_id]],calendar!A61,calendar!K61)</f>
        <v>No Event Type</v>
      </c>
      <c r="K791">
        <f>_xlfn.XLOOKUP(calendar!A61,calendar!A61,calendar!I61)</f>
        <v>0</v>
      </c>
    </row>
    <row r="792" spans="1:11" x14ac:dyDescent="0.2">
      <c r="A792" t="s">
        <v>371</v>
      </c>
      <c r="B792" t="s">
        <v>369</v>
      </c>
      <c r="C792" t="s">
        <v>62</v>
      </c>
      <c r="D792">
        <v>1</v>
      </c>
      <c r="E792" s="1">
        <f>_xlfn.XLOOKUP(Sheet1[[#This Row],[day_id]],calendar!A62,calendar!B62)</f>
        <v>40632</v>
      </c>
      <c r="F792" t="str">
        <f>_xlfn.XLOOKUP(Sheet1[[#This Row],[day_id]],calendar!A62,calendar!C62)</f>
        <v>Wednesday</v>
      </c>
      <c r="G792">
        <f>_xlfn.XLOOKUP(Sheet1[[#This Row],[day_id]],calendar!A62,calendar!E62)</f>
        <v>3</v>
      </c>
      <c r="H792">
        <f>_xlfn.XLOOKUP(Sheet1[[#This Row],[day_id]],calendar!A62,calendar!F62)</f>
        <v>2011</v>
      </c>
      <c r="I792" t="str">
        <f>_xlfn.XLOOKUP(Sheet1[[#This Row],[day_id]],calendar!A62,calendar!J62)</f>
        <v>No Event</v>
      </c>
      <c r="J792" t="str">
        <f>_xlfn.XLOOKUP(Sheet1[[#This Row],[day_id]],calendar!A62,calendar!K62)</f>
        <v>No Event Type</v>
      </c>
      <c r="K792">
        <f>_xlfn.XLOOKUP(calendar!A62,calendar!A62,calendar!I62)</f>
        <v>0</v>
      </c>
    </row>
    <row r="793" spans="1:11" x14ac:dyDescent="0.2">
      <c r="A793" t="s">
        <v>371</v>
      </c>
      <c r="B793" t="s">
        <v>369</v>
      </c>
      <c r="C793" t="s">
        <v>63</v>
      </c>
      <c r="D793">
        <v>2</v>
      </c>
      <c r="E793" s="1">
        <f>_xlfn.XLOOKUP(Sheet1[[#This Row],[day_id]],calendar!A63,calendar!B63)</f>
        <v>40633</v>
      </c>
      <c r="F793" t="str">
        <f>_xlfn.XLOOKUP(Sheet1[[#This Row],[day_id]],calendar!A63,calendar!C63)</f>
        <v>Thursday</v>
      </c>
      <c r="G793">
        <f>_xlfn.XLOOKUP(Sheet1[[#This Row],[day_id]],calendar!A63,calendar!E63)</f>
        <v>3</v>
      </c>
      <c r="H793">
        <f>_xlfn.XLOOKUP(Sheet1[[#This Row],[day_id]],calendar!A63,calendar!F63)</f>
        <v>2011</v>
      </c>
      <c r="I793" t="str">
        <f>_xlfn.XLOOKUP(Sheet1[[#This Row],[day_id]],calendar!A63,calendar!J63)</f>
        <v>No Event</v>
      </c>
      <c r="J793" t="str">
        <f>_xlfn.XLOOKUP(Sheet1[[#This Row],[day_id]],calendar!A63,calendar!K63)</f>
        <v>No Event Type</v>
      </c>
      <c r="K793">
        <f>_xlfn.XLOOKUP(calendar!A63,calendar!A63,calendar!I63)</f>
        <v>0</v>
      </c>
    </row>
    <row r="794" spans="1:11" x14ac:dyDescent="0.2">
      <c r="A794" t="s">
        <v>371</v>
      </c>
      <c r="B794" t="s">
        <v>369</v>
      </c>
      <c r="C794" t="s">
        <v>64</v>
      </c>
      <c r="D794">
        <v>6</v>
      </c>
      <c r="E794" s="1">
        <f>_xlfn.XLOOKUP(Sheet1[[#This Row],[day_id]],calendar!A64,calendar!B64)</f>
        <v>40634</v>
      </c>
      <c r="F794" t="str">
        <f>_xlfn.XLOOKUP(Sheet1[[#This Row],[day_id]],calendar!A64,calendar!C64)</f>
        <v>Friday</v>
      </c>
      <c r="G794">
        <f>_xlfn.XLOOKUP(Sheet1[[#This Row],[day_id]],calendar!A64,calendar!E64)</f>
        <v>4</v>
      </c>
      <c r="H794">
        <f>_xlfn.XLOOKUP(Sheet1[[#This Row],[day_id]],calendar!A64,calendar!F64)</f>
        <v>2011</v>
      </c>
      <c r="I794" t="str">
        <f>_xlfn.XLOOKUP(Sheet1[[#This Row],[day_id]],calendar!A64,calendar!J64)</f>
        <v>No Event</v>
      </c>
      <c r="J794" t="str">
        <f>_xlfn.XLOOKUP(Sheet1[[#This Row],[day_id]],calendar!A64,calendar!K64)</f>
        <v>No Event Type</v>
      </c>
      <c r="K794">
        <f>_xlfn.XLOOKUP(calendar!A64,calendar!A64,calendar!I64)</f>
        <v>1</v>
      </c>
    </row>
    <row r="795" spans="1:11" x14ac:dyDescent="0.2">
      <c r="A795" t="s">
        <v>371</v>
      </c>
      <c r="B795" t="s">
        <v>369</v>
      </c>
      <c r="C795" t="s">
        <v>65</v>
      </c>
      <c r="D795">
        <v>6</v>
      </c>
      <c r="E795" s="1">
        <f>_xlfn.XLOOKUP(Sheet1[[#This Row],[day_id]],calendar!A65,calendar!B65)</f>
        <v>40635</v>
      </c>
      <c r="F795" t="str">
        <f>_xlfn.XLOOKUP(Sheet1[[#This Row],[day_id]],calendar!A65,calendar!C65)</f>
        <v>Saturday</v>
      </c>
      <c r="G795">
        <f>_xlfn.XLOOKUP(Sheet1[[#This Row],[day_id]],calendar!A65,calendar!E65)</f>
        <v>4</v>
      </c>
      <c r="H795">
        <f>_xlfn.XLOOKUP(Sheet1[[#This Row],[day_id]],calendar!A65,calendar!F65)</f>
        <v>2011</v>
      </c>
      <c r="I795" t="str">
        <f>_xlfn.XLOOKUP(Sheet1[[#This Row],[day_id]],calendar!A65,calendar!J65)</f>
        <v>No Event</v>
      </c>
      <c r="J795" t="str">
        <f>_xlfn.XLOOKUP(Sheet1[[#This Row],[day_id]],calendar!A65,calendar!K65)</f>
        <v>No Event Type</v>
      </c>
      <c r="K795">
        <f>_xlfn.XLOOKUP(calendar!A65,calendar!A65,calendar!I65)</f>
        <v>1</v>
      </c>
    </row>
    <row r="796" spans="1:11" x14ac:dyDescent="0.2">
      <c r="A796" t="s">
        <v>371</v>
      </c>
      <c r="B796" t="s">
        <v>369</v>
      </c>
      <c r="C796" t="s">
        <v>66</v>
      </c>
      <c r="D796">
        <v>1</v>
      </c>
      <c r="E796" s="1">
        <f>_xlfn.XLOOKUP(Sheet1[[#This Row],[day_id]],calendar!A66,calendar!B66)</f>
        <v>40636</v>
      </c>
      <c r="F796" t="str">
        <f>_xlfn.XLOOKUP(Sheet1[[#This Row],[day_id]],calendar!A66,calendar!C66)</f>
        <v>Sunday</v>
      </c>
      <c r="G796">
        <f>_xlfn.XLOOKUP(Sheet1[[#This Row],[day_id]],calendar!A66,calendar!E66)</f>
        <v>4</v>
      </c>
      <c r="H796">
        <f>_xlfn.XLOOKUP(Sheet1[[#This Row],[day_id]],calendar!A66,calendar!F66)</f>
        <v>2011</v>
      </c>
      <c r="I796" t="str">
        <f>_xlfn.XLOOKUP(Sheet1[[#This Row],[day_id]],calendar!A66,calendar!J66)</f>
        <v>No Event</v>
      </c>
      <c r="J796" t="str">
        <f>_xlfn.XLOOKUP(Sheet1[[#This Row],[day_id]],calendar!A66,calendar!K66)</f>
        <v>No Event Type</v>
      </c>
      <c r="K796">
        <f>_xlfn.XLOOKUP(calendar!A66,calendar!A66,calendar!I66)</f>
        <v>1</v>
      </c>
    </row>
    <row r="797" spans="1:11" x14ac:dyDescent="0.2">
      <c r="A797" t="s">
        <v>371</v>
      </c>
      <c r="B797" t="s">
        <v>369</v>
      </c>
      <c r="C797" t="s">
        <v>67</v>
      </c>
      <c r="D797">
        <v>2</v>
      </c>
      <c r="E797" s="1">
        <f>_xlfn.XLOOKUP(Sheet1[[#This Row],[day_id]],calendar!A67,calendar!B67)</f>
        <v>40637</v>
      </c>
      <c r="F797" t="str">
        <f>_xlfn.XLOOKUP(Sheet1[[#This Row],[day_id]],calendar!A67,calendar!C67)</f>
        <v>Monday</v>
      </c>
      <c r="G797">
        <f>_xlfn.XLOOKUP(Sheet1[[#This Row],[day_id]],calendar!A67,calendar!E67)</f>
        <v>4</v>
      </c>
      <c r="H797">
        <f>_xlfn.XLOOKUP(Sheet1[[#This Row],[day_id]],calendar!A67,calendar!F67)</f>
        <v>2011</v>
      </c>
      <c r="I797" t="str">
        <f>_xlfn.XLOOKUP(Sheet1[[#This Row],[day_id]],calendar!A67,calendar!J67)</f>
        <v>No Event</v>
      </c>
      <c r="J797" t="str">
        <f>_xlfn.XLOOKUP(Sheet1[[#This Row],[day_id]],calendar!A67,calendar!K67)</f>
        <v>No Event Type</v>
      </c>
      <c r="K797">
        <f>_xlfn.XLOOKUP(calendar!A67,calendar!A67,calendar!I67)</f>
        <v>1</v>
      </c>
    </row>
    <row r="798" spans="1:11" x14ac:dyDescent="0.2">
      <c r="A798" t="s">
        <v>371</v>
      </c>
      <c r="B798" t="s">
        <v>369</v>
      </c>
      <c r="C798" t="s">
        <v>68</v>
      </c>
      <c r="D798">
        <v>1</v>
      </c>
      <c r="E798" s="1">
        <f>_xlfn.XLOOKUP(Sheet1[[#This Row],[day_id]],calendar!A68,calendar!B68)</f>
        <v>40638</v>
      </c>
      <c r="F798" t="str">
        <f>_xlfn.XLOOKUP(Sheet1[[#This Row],[day_id]],calendar!A68,calendar!C68)</f>
        <v>Tuesday</v>
      </c>
      <c r="G798">
        <f>_xlfn.XLOOKUP(Sheet1[[#This Row],[day_id]],calendar!A68,calendar!E68)</f>
        <v>4</v>
      </c>
      <c r="H798">
        <f>_xlfn.XLOOKUP(Sheet1[[#This Row],[day_id]],calendar!A68,calendar!F68)</f>
        <v>2011</v>
      </c>
      <c r="I798" t="str">
        <f>_xlfn.XLOOKUP(Sheet1[[#This Row],[day_id]],calendar!A68,calendar!J68)</f>
        <v>No Event</v>
      </c>
      <c r="J798" t="str">
        <f>_xlfn.XLOOKUP(Sheet1[[#This Row],[day_id]],calendar!A68,calendar!K68)</f>
        <v>No Event Type</v>
      </c>
      <c r="K798">
        <f>_xlfn.XLOOKUP(calendar!A68,calendar!A68,calendar!I68)</f>
        <v>1</v>
      </c>
    </row>
    <row r="799" spans="1:11" x14ac:dyDescent="0.2">
      <c r="A799" t="s">
        <v>371</v>
      </c>
      <c r="B799" t="s">
        <v>369</v>
      </c>
      <c r="C799" t="s">
        <v>69</v>
      </c>
      <c r="D799">
        <v>2</v>
      </c>
      <c r="E799" s="1">
        <f>_xlfn.XLOOKUP(Sheet1[[#This Row],[day_id]],calendar!A69,calendar!B69)</f>
        <v>40639</v>
      </c>
      <c r="F799" t="str">
        <f>_xlfn.XLOOKUP(Sheet1[[#This Row],[day_id]],calendar!A69,calendar!C69)</f>
        <v>Wednesday</v>
      </c>
      <c r="G799">
        <f>_xlfn.XLOOKUP(Sheet1[[#This Row],[day_id]],calendar!A69,calendar!E69)</f>
        <v>4</v>
      </c>
      <c r="H799">
        <f>_xlfn.XLOOKUP(Sheet1[[#This Row],[day_id]],calendar!A69,calendar!F69)</f>
        <v>2011</v>
      </c>
      <c r="I799" t="str">
        <f>_xlfn.XLOOKUP(Sheet1[[#This Row],[day_id]],calendar!A69,calendar!J69)</f>
        <v>No Event</v>
      </c>
      <c r="J799" t="str">
        <f>_xlfn.XLOOKUP(Sheet1[[#This Row],[day_id]],calendar!A69,calendar!K69)</f>
        <v>No Event Type</v>
      </c>
      <c r="K799">
        <f>_xlfn.XLOOKUP(calendar!A69,calendar!A69,calendar!I69)</f>
        <v>1</v>
      </c>
    </row>
    <row r="800" spans="1:11" x14ac:dyDescent="0.2">
      <c r="A800" t="s">
        <v>371</v>
      </c>
      <c r="B800" t="s">
        <v>369</v>
      </c>
      <c r="C800" t="s">
        <v>70</v>
      </c>
      <c r="D800">
        <v>0</v>
      </c>
      <c r="E800" s="1">
        <f>_xlfn.XLOOKUP(Sheet1[[#This Row],[day_id]],calendar!A70,calendar!B70)</f>
        <v>40640</v>
      </c>
      <c r="F800" t="str">
        <f>_xlfn.XLOOKUP(Sheet1[[#This Row],[day_id]],calendar!A70,calendar!C70)</f>
        <v>Thursday</v>
      </c>
      <c r="G800">
        <f>_xlfn.XLOOKUP(Sheet1[[#This Row],[day_id]],calendar!A70,calendar!E70)</f>
        <v>4</v>
      </c>
      <c r="H800">
        <f>_xlfn.XLOOKUP(Sheet1[[#This Row],[day_id]],calendar!A70,calendar!F70)</f>
        <v>2011</v>
      </c>
      <c r="I800" t="str">
        <f>_xlfn.XLOOKUP(Sheet1[[#This Row],[day_id]],calendar!A70,calendar!J70)</f>
        <v>No Event</v>
      </c>
      <c r="J800" t="str">
        <f>_xlfn.XLOOKUP(Sheet1[[#This Row],[day_id]],calendar!A70,calendar!K70)</f>
        <v>No Event Type</v>
      </c>
      <c r="K800">
        <f>_xlfn.XLOOKUP(calendar!A70,calendar!A70,calendar!I70)</f>
        <v>1</v>
      </c>
    </row>
    <row r="801" spans="1:11" x14ac:dyDescent="0.2">
      <c r="A801" t="s">
        <v>371</v>
      </c>
      <c r="B801" t="s">
        <v>369</v>
      </c>
      <c r="C801" t="s">
        <v>71</v>
      </c>
      <c r="D801">
        <v>2</v>
      </c>
      <c r="E801" s="1">
        <f>_xlfn.XLOOKUP(Sheet1[[#This Row],[day_id]],calendar!A71,calendar!B71)</f>
        <v>40641</v>
      </c>
      <c r="F801" t="str">
        <f>_xlfn.XLOOKUP(Sheet1[[#This Row],[day_id]],calendar!A71,calendar!C71)</f>
        <v>Friday</v>
      </c>
      <c r="G801">
        <f>_xlfn.XLOOKUP(Sheet1[[#This Row],[day_id]],calendar!A71,calendar!E71)</f>
        <v>4</v>
      </c>
      <c r="H801">
        <f>_xlfn.XLOOKUP(Sheet1[[#This Row],[day_id]],calendar!A71,calendar!F71)</f>
        <v>2011</v>
      </c>
      <c r="I801" t="str">
        <f>_xlfn.XLOOKUP(Sheet1[[#This Row],[day_id]],calendar!A71,calendar!J71)</f>
        <v>No Event</v>
      </c>
      <c r="J801" t="str">
        <f>_xlfn.XLOOKUP(Sheet1[[#This Row],[day_id]],calendar!A71,calendar!K71)</f>
        <v>No Event Type</v>
      </c>
      <c r="K801">
        <f>_xlfn.XLOOKUP(calendar!A71,calendar!A71,calendar!I71)</f>
        <v>1</v>
      </c>
    </row>
    <row r="802" spans="1:11" x14ac:dyDescent="0.2">
      <c r="A802" t="s">
        <v>371</v>
      </c>
      <c r="B802" t="s">
        <v>369</v>
      </c>
      <c r="C802" t="s">
        <v>72</v>
      </c>
      <c r="D802">
        <v>2</v>
      </c>
      <c r="E802" s="1">
        <f>_xlfn.XLOOKUP(Sheet1[[#This Row],[day_id]],calendar!A72,calendar!B72)</f>
        <v>40642</v>
      </c>
      <c r="F802" t="str">
        <f>_xlfn.XLOOKUP(Sheet1[[#This Row],[day_id]],calendar!A72,calendar!C72)</f>
        <v>Saturday</v>
      </c>
      <c r="G802">
        <f>_xlfn.XLOOKUP(Sheet1[[#This Row],[day_id]],calendar!A72,calendar!E72)</f>
        <v>4</v>
      </c>
      <c r="H802">
        <f>_xlfn.XLOOKUP(Sheet1[[#This Row],[day_id]],calendar!A72,calendar!F72)</f>
        <v>2011</v>
      </c>
      <c r="I802" t="str">
        <f>_xlfn.XLOOKUP(Sheet1[[#This Row],[day_id]],calendar!A72,calendar!J72)</f>
        <v>No Event</v>
      </c>
      <c r="J802" t="str">
        <f>_xlfn.XLOOKUP(Sheet1[[#This Row],[day_id]],calendar!A72,calendar!K72)</f>
        <v>No Event Type</v>
      </c>
      <c r="K802">
        <f>_xlfn.XLOOKUP(calendar!A72,calendar!A72,calendar!I72)</f>
        <v>1</v>
      </c>
    </row>
    <row r="803" spans="1:11" x14ac:dyDescent="0.2">
      <c r="A803" t="s">
        <v>371</v>
      </c>
      <c r="B803" t="s">
        <v>369</v>
      </c>
      <c r="C803" t="s">
        <v>73</v>
      </c>
      <c r="D803">
        <v>0</v>
      </c>
      <c r="E803" s="1">
        <f>_xlfn.XLOOKUP(Sheet1[[#This Row],[day_id]],calendar!A73,calendar!B73)</f>
        <v>40643</v>
      </c>
      <c r="F803" t="str">
        <f>_xlfn.XLOOKUP(Sheet1[[#This Row],[day_id]],calendar!A73,calendar!C73)</f>
        <v>Sunday</v>
      </c>
      <c r="G803">
        <f>_xlfn.XLOOKUP(Sheet1[[#This Row],[day_id]],calendar!A73,calendar!E73)</f>
        <v>4</v>
      </c>
      <c r="H803">
        <f>_xlfn.XLOOKUP(Sheet1[[#This Row],[day_id]],calendar!A73,calendar!F73)</f>
        <v>2011</v>
      </c>
      <c r="I803" t="str">
        <f>_xlfn.XLOOKUP(Sheet1[[#This Row],[day_id]],calendar!A73,calendar!J73)</f>
        <v>No Event</v>
      </c>
      <c r="J803" t="str">
        <f>_xlfn.XLOOKUP(Sheet1[[#This Row],[day_id]],calendar!A73,calendar!K73)</f>
        <v>No Event Type</v>
      </c>
      <c r="K803">
        <f>_xlfn.XLOOKUP(calendar!A73,calendar!A73,calendar!I73)</f>
        <v>1</v>
      </c>
    </row>
    <row r="804" spans="1:11" x14ac:dyDescent="0.2">
      <c r="A804" t="s">
        <v>371</v>
      </c>
      <c r="B804" t="s">
        <v>369</v>
      </c>
      <c r="C804" t="s">
        <v>74</v>
      </c>
      <c r="D804">
        <v>1</v>
      </c>
      <c r="E804" s="1">
        <f>_xlfn.XLOOKUP(Sheet1[[#This Row],[day_id]],calendar!A74,calendar!B74)</f>
        <v>40644</v>
      </c>
      <c r="F804" t="str">
        <f>_xlfn.XLOOKUP(Sheet1[[#This Row],[day_id]],calendar!A74,calendar!C74)</f>
        <v>Monday</v>
      </c>
      <c r="G804">
        <f>_xlfn.XLOOKUP(Sheet1[[#This Row],[day_id]],calendar!A74,calendar!E74)</f>
        <v>4</v>
      </c>
      <c r="H804">
        <f>_xlfn.XLOOKUP(Sheet1[[#This Row],[day_id]],calendar!A74,calendar!F74)</f>
        <v>2011</v>
      </c>
      <c r="I804" t="str">
        <f>_xlfn.XLOOKUP(Sheet1[[#This Row],[day_id]],calendar!A74,calendar!J74)</f>
        <v>No Event</v>
      </c>
      <c r="J804" t="str">
        <f>_xlfn.XLOOKUP(Sheet1[[#This Row],[day_id]],calendar!A74,calendar!K74)</f>
        <v>No Event Type</v>
      </c>
      <c r="K804">
        <f>_xlfn.XLOOKUP(calendar!A74,calendar!A74,calendar!I74)</f>
        <v>0</v>
      </c>
    </row>
    <row r="805" spans="1:11" x14ac:dyDescent="0.2">
      <c r="A805" t="s">
        <v>371</v>
      </c>
      <c r="B805" t="s">
        <v>369</v>
      </c>
      <c r="C805" t="s">
        <v>75</v>
      </c>
      <c r="D805">
        <v>0</v>
      </c>
      <c r="E805" s="1">
        <f>_xlfn.XLOOKUP(Sheet1[[#This Row],[day_id]],calendar!A75,calendar!B75)</f>
        <v>40645</v>
      </c>
      <c r="F805" t="str">
        <f>_xlfn.XLOOKUP(Sheet1[[#This Row],[day_id]],calendar!A75,calendar!C75)</f>
        <v>Tuesday</v>
      </c>
      <c r="G805">
        <f>_xlfn.XLOOKUP(Sheet1[[#This Row],[day_id]],calendar!A75,calendar!E75)</f>
        <v>4</v>
      </c>
      <c r="H805">
        <f>_xlfn.XLOOKUP(Sheet1[[#This Row],[day_id]],calendar!A75,calendar!F75)</f>
        <v>2011</v>
      </c>
      <c r="I805" t="str">
        <f>_xlfn.XLOOKUP(Sheet1[[#This Row],[day_id]],calendar!A75,calendar!J75)</f>
        <v>No Event</v>
      </c>
      <c r="J805" t="str">
        <f>_xlfn.XLOOKUP(Sheet1[[#This Row],[day_id]],calendar!A75,calendar!K75)</f>
        <v>No Event Type</v>
      </c>
      <c r="K805">
        <f>_xlfn.XLOOKUP(calendar!A75,calendar!A75,calendar!I75)</f>
        <v>0</v>
      </c>
    </row>
    <row r="806" spans="1:11" x14ac:dyDescent="0.2">
      <c r="A806" t="s">
        <v>371</v>
      </c>
      <c r="B806" t="s">
        <v>369</v>
      </c>
      <c r="C806" t="s">
        <v>76</v>
      </c>
      <c r="D806">
        <v>0</v>
      </c>
      <c r="E806" s="1">
        <f>_xlfn.XLOOKUP(Sheet1[[#This Row],[day_id]],calendar!A76,calendar!B76)</f>
        <v>40646</v>
      </c>
      <c r="F806" t="str">
        <f>_xlfn.XLOOKUP(Sheet1[[#This Row],[day_id]],calendar!A76,calendar!C76)</f>
        <v>Wednesday</v>
      </c>
      <c r="G806">
        <f>_xlfn.XLOOKUP(Sheet1[[#This Row],[day_id]],calendar!A76,calendar!E76)</f>
        <v>4</v>
      </c>
      <c r="H806">
        <f>_xlfn.XLOOKUP(Sheet1[[#This Row],[day_id]],calendar!A76,calendar!F76)</f>
        <v>2011</v>
      </c>
      <c r="I806" t="str">
        <f>_xlfn.XLOOKUP(Sheet1[[#This Row],[day_id]],calendar!A76,calendar!J76)</f>
        <v>No Event</v>
      </c>
      <c r="J806" t="str">
        <f>_xlfn.XLOOKUP(Sheet1[[#This Row],[day_id]],calendar!A76,calendar!K76)</f>
        <v>No Event Type</v>
      </c>
      <c r="K806">
        <f>_xlfn.XLOOKUP(calendar!A76,calendar!A76,calendar!I76)</f>
        <v>0</v>
      </c>
    </row>
    <row r="807" spans="1:11" x14ac:dyDescent="0.2">
      <c r="A807" t="s">
        <v>371</v>
      </c>
      <c r="B807" t="s">
        <v>369</v>
      </c>
      <c r="C807" t="s">
        <v>77</v>
      </c>
      <c r="D807">
        <v>0</v>
      </c>
      <c r="E807" s="1">
        <f>_xlfn.XLOOKUP(Sheet1[[#This Row],[day_id]],calendar!A77,calendar!B77)</f>
        <v>40647</v>
      </c>
      <c r="F807" t="str">
        <f>_xlfn.XLOOKUP(Sheet1[[#This Row],[day_id]],calendar!A77,calendar!C77)</f>
        <v>Thursday</v>
      </c>
      <c r="G807">
        <f>_xlfn.XLOOKUP(Sheet1[[#This Row],[day_id]],calendar!A77,calendar!E77)</f>
        <v>4</v>
      </c>
      <c r="H807">
        <f>_xlfn.XLOOKUP(Sheet1[[#This Row],[day_id]],calendar!A77,calendar!F77)</f>
        <v>2011</v>
      </c>
      <c r="I807" t="str">
        <f>_xlfn.XLOOKUP(Sheet1[[#This Row],[day_id]],calendar!A77,calendar!J77)</f>
        <v>No Event</v>
      </c>
      <c r="J807" t="str">
        <f>_xlfn.XLOOKUP(Sheet1[[#This Row],[day_id]],calendar!A77,calendar!K77)</f>
        <v>No Event Type</v>
      </c>
      <c r="K807">
        <f>_xlfn.XLOOKUP(calendar!A77,calendar!A77,calendar!I77)</f>
        <v>0</v>
      </c>
    </row>
    <row r="808" spans="1:11" x14ac:dyDescent="0.2">
      <c r="A808" t="s">
        <v>371</v>
      </c>
      <c r="B808" t="s">
        <v>369</v>
      </c>
      <c r="C808" t="s">
        <v>78</v>
      </c>
      <c r="D808">
        <v>0</v>
      </c>
      <c r="E808" s="1">
        <f>_xlfn.XLOOKUP(Sheet1[[#This Row],[day_id]],calendar!A78,calendar!B78)</f>
        <v>40648</v>
      </c>
      <c r="F808" t="str">
        <f>_xlfn.XLOOKUP(Sheet1[[#This Row],[day_id]],calendar!A78,calendar!C78)</f>
        <v>Friday</v>
      </c>
      <c r="G808">
        <f>_xlfn.XLOOKUP(Sheet1[[#This Row],[day_id]],calendar!A78,calendar!E78)</f>
        <v>4</v>
      </c>
      <c r="H808">
        <f>_xlfn.XLOOKUP(Sheet1[[#This Row],[day_id]],calendar!A78,calendar!F78)</f>
        <v>2011</v>
      </c>
      <c r="I808" t="str">
        <f>_xlfn.XLOOKUP(Sheet1[[#This Row],[day_id]],calendar!A78,calendar!J78)</f>
        <v>No Event</v>
      </c>
      <c r="J808" t="str">
        <f>_xlfn.XLOOKUP(Sheet1[[#This Row],[day_id]],calendar!A78,calendar!K78)</f>
        <v>No Event Type</v>
      </c>
      <c r="K808">
        <f>_xlfn.XLOOKUP(calendar!A78,calendar!A78,calendar!I78)</f>
        <v>0</v>
      </c>
    </row>
    <row r="809" spans="1:11" x14ac:dyDescent="0.2">
      <c r="A809" t="s">
        <v>371</v>
      </c>
      <c r="B809" t="s">
        <v>369</v>
      </c>
      <c r="C809" t="s">
        <v>79</v>
      </c>
      <c r="D809">
        <v>0</v>
      </c>
      <c r="E809" s="1">
        <f>_xlfn.XLOOKUP(Sheet1[[#This Row],[day_id]],calendar!A79,calendar!B79)</f>
        <v>40649</v>
      </c>
      <c r="F809" t="str">
        <f>_xlfn.XLOOKUP(Sheet1[[#This Row],[day_id]],calendar!A79,calendar!C79)</f>
        <v>Saturday</v>
      </c>
      <c r="G809">
        <f>_xlfn.XLOOKUP(Sheet1[[#This Row],[day_id]],calendar!A79,calendar!E79)</f>
        <v>4</v>
      </c>
      <c r="H809">
        <f>_xlfn.XLOOKUP(Sheet1[[#This Row],[day_id]],calendar!A79,calendar!F79)</f>
        <v>2011</v>
      </c>
      <c r="I809" t="str">
        <f>_xlfn.XLOOKUP(Sheet1[[#This Row],[day_id]],calendar!A79,calendar!J79)</f>
        <v>No Event</v>
      </c>
      <c r="J809" t="str">
        <f>_xlfn.XLOOKUP(Sheet1[[#This Row],[day_id]],calendar!A79,calendar!K79)</f>
        <v>No Event Type</v>
      </c>
      <c r="K809">
        <f>_xlfn.XLOOKUP(calendar!A79,calendar!A79,calendar!I79)</f>
        <v>0</v>
      </c>
    </row>
    <row r="810" spans="1:11" x14ac:dyDescent="0.2">
      <c r="A810" t="s">
        <v>371</v>
      </c>
      <c r="B810" t="s">
        <v>369</v>
      </c>
      <c r="C810" t="s">
        <v>80</v>
      </c>
      <c r="D810">
        <v>6</v>
      </c>
      <c r="E810" s="1">
        <f>_xlfn.XLOOKUP(Sheet1[[#This Row],[day_id]],calendar!A80,calendar!B80)</f>
        <v>40650</v>
      </c>
      <c r="F810" t="str">
        <f>_xlfn.XLOOKUP(Sheet1[[#This Row],[day_id]],calendar!A80,calendar!C80)</f>
        <v>Sunday</v>
      </c>
      <c r="G810">
        <f>_xlfn.XLOOKUP(Sheet1[[#This Row],[day_id]],calendar!A80,calendar!E80)</f>
        <v>4</v>
      </c>
      <c r="H810">
        <f>_xlfn.XLOOKUP(Sheet1[[#This Row],[day_id]],calendar!A80,calendar!F80)</f>
        <v>2011</v>
      </c>
      <c r="I810" t="str">
        <f>_xlfn.XLOOKUP(Sheet1[[#This Row],[day_id]],calendar!A80,calendar!J80)</f>
        <v>No Event</v>
      </c>
      <c r="J810" t="str">
        <f>_xlfn.XLOOKUP(Sheet1[[#This Row],[day_id]],calendar!A80,calendar!K80)</f>
        <v>No Event Type</v>
      </c>
      <c r="K810">
        <f>_xlfn.XLOOKUP(calendar!A80,calendar!A80,calendar!I80)</f>
        <v>0</v>
      </c>
    </row>
    <row r="811" spans="1:11" x14ac:dyDescent="0.2">
      <c r="A811" t="s">
        <v>371</v>
      </c>
      <c r="B811" t="s">
        <v>369</v>
      </c>
      <c r="C811" t="s">
        <v>81</v>
      </c>
      <c r="D811">
        <v>2</v>
      </c>
      <c r="E811" s="1">
        <f>_xlfn.XLOOKUP(Sheet1[[#This Row],[day_id]],calendar!A81,calendar!B81)</f>
        <v>40651</v>
      </c>
      <c r="F811" t="str">
        <f>_xlfn.XLOOKUP(Sheet1[[#This Row],[day_id]],calendar!A81,calendar!C81)</f>
        <v>Monday</v>
      </c>
      <c r="G811">
        <f>_xlfn.XLOOKUP(Sheet1[[#This Row],[day_id]],calendar!A81,calendar!E81)</f>
        <v>4</v>
      </c>
      <c r="H811">
        <f>_xlfn.XLOOKUP(Sheet1[[#This Row],[day_id]],calendar!A81,calendar!F81)</f>
        <v>2011</v>
      </c>
      <c r="I811" t="str">
        <f>_xlfn.XLOOKUP(Sheet1[[#This Row],[day_id]],calendar!A81,calendar!J81)</f>
        <v>No Event</v>
      </c>
      <c r="J811" t="str">
        <f>_xlfn.XLOOKUP(Sheet1[[#This Row],[day_id]],calendar!A81,calendar!K81)</f>
        <v>No Event Type</v>
      </c>
      <c r="K811">
        <f>_xlfn.XLOOKUP(calendar!A81,calendar!A81,calendar!I81)</f>
        <v>0</v>
      </c>
    </row>
    <row r="812" spans="1:11" x14ac:dyDescent="0.2">
      <c r="A812" t="s">
        <v>371</v>
      </c>
      <c r="B812" t="s">
        <v>369</v>
      </c>
      <c r="C812" t="s">
        <v>82</v>
      </c>
      <c r="D812">
        <v>4</v>
      </c>
      <c r="E812" s="1">
        <f>_xlfn.XLOOKUP(Sheet1[[#This Row],[day_id]],calendar!A82,calendar!B82)</f>
        <v>40652</v>
      </c>
      <c r="F812" t="str">
        <f>_xlfn.XLOOKUP(Sheet1[[#This Row],[day_id]],calendar!A82,calendar!C82)</f>
        <v>Tuesday</v>
      </c>
      <c r="G812">
        <f>_xlfn.XLOOKUP(Sheet1[[#This Row],[day_id]],calendar!A82,calendar!E82)</f>
        <v>4</v>
      </c>
      <c r="H812">
        <f>_xlfn.XLOOKUP(Sheet1[[#This Row],[day_id]],calendar!A82,calendar!F82)</f>
        <v>2011</v>
      </c>
      <c r="I812" t="str">
        <f>_xlfn.XLOOKUP(Sheet1[[#This Row],[day_id]],calendar!A82,calendar!J82)</f>
        <v>No Event</v>
      </c>
      <c r="J812" t="str">
        <f>_xlfn.XLOOKUP(Sheet1[[#This Row],[day_id]],calendar!A82,calendar!K82)</f>
        <v>No Event Type</v>
      </c>
      <c r="K812">
        <f>_xlfn.XLOOKUP(calendar!A82,calendar!A82,calendar!I82)</f>
        <v>0</v>
      </c>
    </row>
    <row r="813" spans="1:11" x14ac:dyDescent="0.2">
      <c r="A813" t="s">
        <v>371</v>
      </c>
      <c r="B813" t="s">
        <v>369</v>
      </c>
      <c r="C813" t="s">
        <v>83</v>
      </c>
      <c r="D813">
        <v>4</v>
      </c>
      <c r="E813" s="1">
        <f>_xlfn.XLOOKUP(Sheet1[[#This Row],[day_id]],calendar!A83,calendar!B83)</f>
        <v>40653</v>
      </c>
      <c r="F813" t="str">
        <f>_xlfn.XLOOKUP(Sheet1[[#This Row],[day_id]],calendar!A83,calendar!C83)</f>
        <v>Wednesday</v>
      </c>
      <c r="G813">
        <f>_xlfn.XLOOKUP(Sheet1[[#This Row],[day_id]],calendar!A83,calendar!E83)</f>
        <v>4</v>
      </c>
      <c r="H813">
        <f>_xlfn.XLOOKUP(Sheet1[[#This Row],[day_id]],calendar!A83,calendar!F83)</f>
        <v>2011</v>
      </c>
      <c r="I813" t="str">
        <f>_xlfn.XLOOKUP(Sheet1[[#This Row],[day_id]],calendar!A83,calendar!J83)</f>
        <v>No Event</v>
      </c>
      <c r="J813" t="str">
        <f>_xlfn.XLOOKUP(Sheet1[[#This Row],[day_id]],calendar!A83,calendar!K83)</f>
        <v>No Event Type</v>
      </c>
      <c r="K813">
        <f>_xlfn.XLOOKUP(calendar!A83,calendar!A83,calendar!I83)</f>
        <v>0</v>
      </c>
    </row>
    <row r="814" spans="1:11" x14ac:dyDescent="0.2">
      <c r="A814" t="s">
        <v>371</v>
      </c>
      <c r="B814" t="s">
        <v>369</v>
      </c>
      <c r="C814" t="s">
        <v>84</v>
      </c>
      <c r="D814">
        <v>4</v>
      </c>
      <c r="E814" s="1">
        <f>_xlfn.XLOOKUP(Sheet1[[#This Row],[day_id]],calendar!A84,calendar!B84)</f>
        <v>40654</v>
      </c>
      <c r="F814" t="str">
        <f>_xlfn.XLOOKUP(Sheet1[[#This Row],[day_id]],calendar!A84,calendar!C84)</f>
        <v>Thursday</v>
      </c>
      <c r="G814">
        <f>_xlfn.XLOOKUP(Sheet1[[#This Row],[day_id]],calendar!A84,calendar!E84)</f>
        <v>4</v>
      </c>
      <c r="H814">
        <f>_xlfn.XLOOKUP(Sheet1[[#This Row],[day_id]],calendar!A84,calendar!F84)</f>
        <v>2011</v>
      </c>
      <c r="I814" t="str">
        <f>_xlfn.XLOOKUP(Sheet1[[#This Row],[day_id]],calendar!A84,calendar!J84)</f>
        <v>No Event</v>
      </c>
      <c r="J814" t="str">
        <f>_xlfn.XLOOKUP(Sheet1[[#This Row],[day_id]],calendar!A84,calendar!K84)</f>
        <v>No Event Type</v>
      </c>
      <c r="K814">
        <f>_xlfn.XLOOKUP(calendar!A84,calendar!A84,calendar!I84)</f>
        <v>0</v>
      </c>
    </row>
    <row r="815" spans="1:11" x14ac:dyDescent="0.2">
      <c r="A815" t="s">
        <v>371</v>
      </c>
      <c r="B815" t="s">
        <v>369</v>
      </c>
      <c r="C815" t="s">
        <v>85</v>
      </c>
      <c r="D815">
        <v>4</v>
      </c>
      <c r="E815" s="1">
        <f>_xlfn.XLOOKUP(Sheet1[[#This Row],[day_id]],calendar!A85,calendar!B85)</f>
        <v>40655</v>
      </c>
      <c r="F815" t="str">
        <f>_xlfn.XLOOKUP(Sheet1[[#This Row],[day_id]],calendar!A85,calendar!C85)</f>
        <v>Friday</v>
      </c>
      <c r="G815">
        <f>_xlfn.XLOOKUP(Sheet1[[#This Row],[day_id]],calendar!A85,calendar!E85)</f>
        <v>4</v>
      </c>
      <c r="H815">
        <f>_xlfn.XLOOKUP(Sheet1[[#This Row],[day_id]],calendar!A85,calendar!F85)</f>
        <v>2011</v>
      </c>
      <c r="I815" t="str">
        <f>_xlfn.XLOOKUP(Sheet1[[#This Row],[day_id]],calendar!A85,calendar!J85)</f>
        <v>No Event</v>
      </c>
      <c r="J815" t="str">
        <f>_xlfn.XLOOKUP(Sheet1[[#This Row],[day_id]],calendar!A85,calendar!K85)</f>
        <v>No Event Type</v>
      </c>
      <c r="K815">
        <f>_xlfn.XLOOKUP(calendar!A85,calendar!A85,calendar!I85)</f>
        <v>0</v>
      </c>
    </row>
    <row r="816" spans="1:11" x14ac:dyDescent="0.2">
      <c r="A816" t="s">
        <v>371</v>
      </c>
      <c r="B816" t="s">
        <v>369</v>
      </c>
      <c r="C816" t="s">
        <v>86</v>
      </c>
      <c r="D816">
        <v>3</v>
      </c>
      <c r="E816" s="1">
        <f>_xlfn.XLOOKUP(Sheet1[[#This Row],[day_id]],calendar!A86,calendar!B86)</f>
        <v>40656</v>
      </c>
      <c r="F816" t="str">
        <f>_xlfn.XLOOKUP(Sheet1[[#This Row],[day_id]],calendar!A86,calendar!C86)</f>
        <v>Saturday</v>
      </c>
      <c r="G816">
        <f>_xlfn.XLOOKUP(Sheet1[[#This Row],[day_id]],calendar!A86,calendar!E86)</f>
        <v>4</v>
      </c>
      <c r="H816">
        <f>_xlfn.XLOOKUP(Sheet1[[#This Row],[day_id]],calendar!A86,calendar!F86)</f>
        <v>2011</v>
      </c>
      <c r="I816" t="str">
        <f>_xlfn.XLOOKUP(Sheet1[[#This Row],[day_id]],calendar!A86,calendar!J86)</f>
        <v>No Event</v>
      </c>
      <c r="J816" t="str">
        <f>_xlfn.XLOOKUP(Sheet1[[#This Row],[day_id]],calendar!A86,calendar!K86)</f>
        <v>No Event Type</v>
      </c>
      <c r="K816">
        <f>_xlfn.XLOOKUP(calendar!A86,calendar!A86,calendar!I86)</f>
        <v>0</v>
      </c>
    </row>
    <row r="817" spans="1:11" x14ac:dyDescent="0.2">
      <c r="A817" t="s">
        <v>371</v>
      </c>
      <c r="B817" t="s">
        <v>369</v>
      </c>
      <c r="C817" t="s">
        <v>87</v>
      </c>
      <c r="D817">
        <v>2</v>
      </c>
      <c r="E817" s="1">
        <f>_xlfn.XLOOKUP(Sheet1[[#This Row],[day_id]],calendar!A87,calendar!B87)</f>
        <v>40657</v>
      </c>
      <c r="F817" t="str">
        <f>_xlfn.XLOOKUP(Sheet1[[#This Row],[day_id]],calendar!A87,calendar!C87)</f>
        <v>Sunday</v>
      </c>
      <c r="G817">
        <f>_xlfn.XLOOKUP(Sheet1[[#This Row],[day_id]],calendar!A87,calendar!E87)</f>
        <v>4</v>
      </c>
      <c r="H817">
        <f>_xlfn.XLOOKUP(Sheet1[[#This Row],[day_id]],calendar!A87,calendar!F87)</f>
        <v>2011</v>
      </c>
      <c r="I817" t="str">
        <f>_xlfn.XLOOKUP(Sheet1[[#This Row],[day_id]],calendar!A87,calendar!J87)</f>
        <v>OrthodoxEaster</v>
      </c>
      <c r="J817" t="str">
        <f>_xlfn.XLOOKUP(Sheet1[[#This Row],[day_id]],calendar!A87,calendar!K87)</f>
        <v>Religious</v>
      </c>
      <c r="K817">
        <f>_xlfn.XLOOKUP(calendar!A87,calendar!A87,calendar!I87)</f>
        <v>0</v>
      </c>
    </row>
    <row r="818" spans="1:11" x14ac:dyDescent="0.2">
      <c r="A818" t="s">
        <v>371</v>
      </c>
      <c r="B818" t="s">
        <v>369</v>
      </c>
      <c r="C818" t="s">
        <v>88</v>
      </c>
      <c r="D818">
        <v>1</v>
      </c>
      <c r="E818" s="1">
        <f>_xlfn.XLOOKUP(Sheet1[[#This Row],[day_id]],calendar!A88,calendar!B88)</f>
        <v>40658</v>
      </c>
      <c r="F818" t="str">
        <f>_xlfn.XLOOKUP(Sheet1[[#This Row],[day_id]],calendar!A88,calendar!C88)</f>
        <v>Monday</v>
      </c>
      <c r="G818">
        <f>_xlfn.XLOOKUP(Sheet1[[#This Row],[day_id]],calendar!A88,calendar!E88)</f>
        <v>4</v>
      </c>
      <c r="H818">
        <f>_xlfn.XLOOKUP(Sheet1[[#This Row],[day_id]],calendar!A88,calendar!F88)</f>
        <v>2011</v>
      </c>
      <c r="I818" t="str">
        <f>_xlfn.XLOOKUP(Sheet1[[#This Row],[day_id]],calendar!A88,calendar!J88)</f>
        <v>No Event</v>
      </c>
      <c r="J818" t="str">
        <f>_xlfn.XLOOKUP(Sheet1[[#This Row],[day_id]],calendar!A88,calendar!K88)</f>
        <v>No Event Type</v>
      </c>
      <c r="K818">
        <f>_xlfn.XLOOKUP(calendar!A88,calendar!A88,calendar!I88)</f>
        <v>0</v>
      </c>
    </row>
    <row r="819" spans="1:11" x14ac:dyDescent="0.2">
      <c r="A819" t="s">
        <v>371</v>
      </c>
      <c r="B819" t="s">
        <v>369</v>
      </c>
      <c r="C819" t="s">
        <v>89</v>
      </c>
      <c r="D819">
        <v>2</v>
      </c>
      <c r="E819" s="1">
        <f>_xlfn.XLOOKUP(Sheet1[[#This Row],[day_id]],calendar!A89,calendar!B89)</f>
        <v>40659</v>
      </c>
      <c r="F819" t="str">
        <f>_xlfn.XLOOKUP(Sheet1[[#This Row],[day_id]],calendar!A89,calendar!C89)</f>
        <v>Tuesday</v>
      </c>
      <c r="G819">
        <f>_xlfn.XLOOKUP(Sheet1[[#This Row],[day_id]],calendar!A89,calendar!E89)</f>
        <v>4</v>
      </c>
      <c r="H819">
        <f>_xlfn.XLOOKUP(Sheet1[[#This Row],[day_id]],calendar!A89,calendar!F89)</f>
        <v>2011</v>
      </c>
      <c r="I819" t="str">
        <f>_xlfn.XLOOKUP(Sheet1[[#This Row],[day_id]],calendar!A89,calendar!J89)</f>
        <v>Pesach End</v>
      </c>
      <c r="J819" t="str">
        <f>_xlfn.XLOOKUP(Sheet1[[#This Row],[day_id]],calendar!A89,calendar!K89)</f>
        <v>Religious</v>
      </c>
      <c r="K819">
        <f>_xlfn.XLOOKUP(calendar!A89,calendar!A89,calendar!I89)</f>
        <v>0</v>
      </c>
    </row>
    <row r="820" spans="1:11" x14ac:dyDescent="0.2">
      <c r="A820" t="s">
        <v>371</v>
      </c>
      <c r="B820" t="s">
        <v>369</v>
      </c>
      <c r="C820" t="s">
        <v>90</v>
      </c>
      <c r="D820">
        <v>3</v>
      </c>
      <c r="E820" s="1">
        <f>_xlfn.XLOOKUP(Sheet1[[#This Row],[day_id]],calendar!A90,calendar!B90)</f>
        <v>40660</v>
      </c>
      <c r="F820" t="str">
        <f>_xlfn.XLOOKUP(Sheet1[[#This Row],[day_id]],calendar!A90,calendar!C90)</f>
        <v>Wednesday</v>
      </c>
      <c r="G820">
        <f>_xlfn.XLOOKUP(Sheet1[[#This Row],[day_id]],calendar!A90,calendar!E90)</f>
        <v>4</v>
      </c>
      <c r="H820">
        <f>_xlfn.XLOOKUP(Sheet1[[#This Row],[day_id]],calendar!A90,calendar!F90)</f>
        <v>2011</v>
      </c>
      <c r="I820" t="str">
        <f>_xlfn.XLOOKUP(Sheet1[[#This Row],[day_id]],calendar!A90,calendar!J90)</f>
        <v>No Event</v>
      </c>
      <c r="J820" t="str">
        <f>_xlfn.XLOOKUP(Sheet1[[#This Row],[day_id]],calendar!A90,calendar!K90)</f>
        <v>No Event Type</v>
      </c>
      <c r="K820">
        <f>_xlfn.XLOOKUP(calendar!A90,calendar!A90,calendar!I90)</f>
        <v>0</v>
      </c>
    </row>
    <row r="821" spans="1:11" x14ac:dyDescent="0.2">
      <c r="A821" t="s">
        <v>371</v>
      </c>
      <c r="B821" t="s">
        <v>369</v>
      </c>
      <c r="C821" t="s">
        <v>91</v>
      </c>
      <c r="D821">
        <v>3</v>
      </c>
      <c r="E821" s="1">
        <f>_xlfn.XLOOKUP(Sheet1[[#This Row],[day_id]],calendar!A91,calendar!B91)</f>
        <v>40661</v>
      </c>
      <c r="F821" t="str">
        <f>_xlfn.XLOOKUP(Sheet1[[#This Row],[day_id]],calendar!A91,calendar!C91)</f>
        <v>Thursday</v>
      </c>
      <c r="G821">
        <f>_xlfn.XLOOKUP(Sheet1[[#This Row],[day_id]],calendar!A91,calendar!E91)</f>
        <v>4</v>
      </c>
      <c r="H821">
        <f>_xlfn.XLOOKUP(Sheet1[[#This Row],[day_id]],calendar!A91,calendar!F91)</f>
        <v>2011</v>
      </c>
      <c r="I821" t="str">
        <f>_xlfn.XLOOKUP(Sheet1[[#This Row],[day_id]],calendar!A91,calendar!J91)</f>
        <v>No Event</v>
      </c>
      <c r="J821" t="str">
        <f>_xlfn.XLOOKUP(Sheet1[[#This Row],[day_id]],calendar!A91,calendar!K91)</f>
        <v>No Event Type</v>
      </c>
      <c r="K821">
        <f>_xlfn.XLOOKUP(calendar!A91,calendar!A91,calendar!I91)</f>
        <v>0</v>
      </c>
    </row>
    <row r="822" spans="1:11" x14ac:dyDescent="0.2">
      <c r="A822" t="s">
        <v>371</v>
      </c>
      <c r="B822" t="s">
        <v>369</v>
      </c>
      <c r="C822" t="s">
        <v>92</v>
      </c>
      <c r="D822">
        <v>8</v>
      </c>
      <c r="E822" s="1">
        <f>_xlfn.XLOOKUP(Sheet1[[#This Row],[day_id]],calendar!A92,calendar!B92)</f>
        <v>40662</v>
      </c>
      <c r="F822" t="str">
        <f>_xlfn.XLOOKUP(Sheet1[[#This Row],[day_id]],calendar!A92,calendar!C92)</f>
        <v>Friday</v>
      </c>
      <c r="G822">
        <f>_xlfn.XLOOKUP(Sheet1[[#This Row],[day_id]],calendar!A92,calendar!E92)</f>
        <v>4</v>
      </c>
      <c r="H822">
        <f>_xlfn.XLOOKUP(Sheet1[[#This Row],[day_id]],calendar!A92,calendar!F92)</f>
        <v>2011</v>
      </c>
      <c r="I822" t="str">
        <f>_xlfn.XLOOKUP(Sheet1[[#This Row],[day_id]],calendar!A92,calendar!J92)</f>
        <v>No Event</v>
      </c>
      <c r="J822" t="str">
        <f>_xlfn.XLOOKUP(Sheet1[[#This Row],[day_id]],calendar!A92,calendar!K92)</f>
        <v>No Event Type</v>
      </c>
      <c r="K822">
        <f>_xlfn.XLOOKUP(calendar!A92,calendar!A92,calendar!I92)</f>
        <v>0</v>
      </c>
    </row>
    <row r="823" spans="1:11" x14ac:dyDescent="0.2">
      <c r="A823" t="s">
        <v>371</v>
      </c>
      <c r="B823" t="s">
        <v>369</v>
      </c>
      <c r="C823" t="s">
        <v>93</v>
      </c>
      <c r="D823">
        <v>6</v>
      </c>
      <c r="E823" s="1">
        <f>_xlfn.XLOOKUP(Sheet1[[#This Row],[day_id]],calendar!A93,calendar!B93)</f>
        <v>40663</v>
      </c>
      <c r="F823" t="str">
        <f>_xlfn.XLOOKUP(Sheet1[[#This Row],[day_id]],calendar!A93,calendar!C93)</f>
        <v>Saturday</v>
      </c>
      <c r="G823">
        <f>_xlfn.XLOOKUP(Sheet1[[#This Row],[day_id]],calendar!A93,calendar!E93)</f>
        <v>4</v>
      </c>
      <c r="H823">
        <f>_xlfn.XLOOKUP(Sheet1[[#This Row],[day_id]],calendar!A93,calendar!F93)</f>
        <v>2011</v>
      </c>
      <c r="I823" t="str">
        <f>_xlfn.XLOOKUP(Sheet1[[#This Row],[day_id]],calendar!A93,calendar!J93)</f>
        <v>No Event</v>
      </c>
      <c r="J823" t="str">
        <f>_xlfn.XLOOKUP(Sheet1[[#This Row],[day_id]],calendar!A93,calendar!K93)</f>
        <v>No Event Type</v>
      </c>
      <c r="K823">
        <f>_xlfn.XLOOKUP(calendar!A93,calendar!A93,calendar!I93)</f>
        <v>0</v>
      </c>
    </row>
    <row r="824" spans="1:11" x14ac:dyDescent="0.2">
      <c r="A824" t="s">
        <v>371</v>
      </c>
      <c r="B824" t="s">
        <v>369</v>
      </c>
      <c r="C824" t="s">
        <v>94</v>
      </c>
      <c r="D824">
        <v>6</v>
      </c>
      <c r="E824" s="1">
        <f>_xlfn.XLOOKUP(Sheet1[[#This Row],[day_id]],calendar!A94,calendar!B94)</f>
        <v>40664</v>
      </c>
      <c r="F824" t="str">
        <f>_xlfn.XLOOKUP(Sheet1[[#This Row],[day_id]],calendar!A94,calendar!C94)</f>
        <v>Sunday</v>
      </c>
      <c r="G824">
        <f>_xlfn.XLOOKUP(Sheet1[[#This Row],[day_id]],calendar!A94,calendar!E94)</f>
        <v>5</v>
      </c>
      <c r="H824">
        <f>_xlfn.XLOOKUP(Sheet1[[#This Row],[day_id]],calendar!A94,calendar!F94)</f>
        <v>2011</v>
      </c>
      <c r="I824" t="str">
        <f>_xlfn.XLOOKUP(Sheet1[[#This Row],[day_id]],calendar!A94,calendar!J94)</f>
        <v>No Event</v>
      </c>
      <c r="J824" t="str">
        <f>_xlfn.XLOOKUP(Sheet1[[#This Row],[day_id]],calendar!A94,calendar!K94)</f>
        <v>No Event Type</v>
      </c>
      <c r="K824">
        <f>_xlfn.XLOOKUP(calendar!A94,calendar!A94,calendar!I94)</f>
        <v>1</v>
      </c>
    </row>
    <row r="825" spans="1:11" x14ac:dyDescent="0.2">
      <c r="A825" t="s">
        <v>371</v>
      </c>
      <c r="B825" t="s">
        <v>369</v>
      </c>
      <c r="C825" t="s">
        <v>95</v>
      </c>
      <c r="D825">
        <v>9</v>
      </c>
      <c r="E825" s="1">
        <f>_xlfn.XLOOKUP(Sheet1[[#This Row],[day_id]],calendar!A95,calendar!B95)</f>
        <v>40665</v>
      </c>
      <c r="F825" t="str">
        <f>_xlfn.XLOOKUP(Sheet1[[#This Row],[day_id]],calendar!A95,calendar!C95)</f>
        <v>Monday</v>
      </c>
      <c r="G825">
        <f>_xlfn.XLOOKUP(Sheet1[[#This Row],[day_id]],calendar!A95,calendar!E95)</f>
        <v>5</v>
      </c>
      <c r="H825">
        <f>_xlfn.XLOOKUP(Sheet1[[#This Row],[day_id]],calendar!A95,calendar!F95)</f>
        <v>2011</v>
      </c>
      <c r="I825" t="str">
        <f>_xlfn.XLOOKUP(Sheet1[[#This Row],[day_id]],calendar!A95,calendar!J95)</f>
        <v>No Event</v>
      </c>
      <c r="J825" t="str">
        <f>_xlfn.XLOOKUP(Sheet1[[#This Row],[day_id]],calendar!A95,calendar!K95)</f>
        <v>No Event Type</v>
      </c>
      <c r="K825">
        <f>_xlfn.XLOOKUP(calendar!A95,calendar!A95,calendar!I95)</f>
        <v>1</v>
      </c>
    </row>
    <row r="826" spans="1:11" x14ac:dyDescent="0.2">
      <c r="A826" t="s">
        <v>371</v>
      </c>
      <c r="B826" t="s">
        <v>369</v>
      </c>
      <c r="C826" t="s">
        <v>96</v>
      </c>
      <c r="D826">
        <v>8</v>
      </c>
      <c r="E826" s="1">
        <f>_xlfn.XLOOKUP(Sheet1[[#This Row],[day_id]],calendar!A96,calendar!B96)</f>
        <v>40666</v>
      </c>
      <c r="F826" t="str">
        <f>_xlfn.XLOOKUP(Sheet1[[#This Row],[day_id]],calendar!A96,calendar!C96)</f>
        <v>Tuesday</v>
      </c>
      <c r="G826">
        <f>_xlfn.XLOOKUP(Sheet1[[#This Row],[day_id]],calendar!A96,calendar!E96)</f>
        <v>5</v>
      </c>
      <c r="H826">
        <f>_xlfn.XLOOKUP(Sheet1[[#This Row],[day_id]],calendar!A96,calendar!F96)</f>
        <v>2011</v>
      </c>
      <c r="I826" t="str">
        <f>_xlfn.XLOOKUP(Sheet1[[#This Row],[day_id]],calendar!A96,calendar!J96)</f>
        <v>No Event</v>
      </c>
      <c r="J826" t="str">
        <f>_xlfn.XLOOKUP(Sheet1[[#This Row],[day_id]],calendar!A96,calendar!K96)</f>
        <v>No Event Type</v>
      </c>
      <c r="K826">
        <f>_xlfn.XLOOKUP(calendar!A96,calendar!A96,calendar!I96)</f>
        <v>1</v>
      </c>
    </row>
    <row r="827" spans="1:11" x14ac:dyDescent="0.2">
      <c r="A827" t="s">
        <v>371</v>
      </c>
      <c r="B827" t="s">
        <v>369</v>
      </c>
      <c r="C827" t="s">
        <v>97</v>
      </c>
      <c r="D827">
        <v>1</v>
      </c>
      <c r="E827" s="1">
        <f>_xlfn.XLOOKUP(Sheet1[[#This Row],[day_id]],calendar!A97,calendar!B97)</f>
        <v>40667</v>
      </c>
      <c r="F827" t="str">
        <f>_xlfn.XLOOKUP(Sheet1[[#This Row],[day_id]],calendar!A97,calendar!C97)</f>
        <v>Wednesday</v>
      </c>
      <c r="G827">
        <f>_xlfn.XLOOKUP(Sheet1[[#This Row],[day_id]],calendar!A97,calendar!E97)</f>
        <v>5</v>
      </c>
      <c r="H827">
        <f>_xlfn.XLOOKUP(Sheet1[[#This Row],[day_id]],calendar!A97,calendar!F97)</f>
        <v>2011</v>
      </c>
      <c r="I827" t="str">
        <f>_xlfn.XLOOKUP(Sheet1[[#This Row],[day_id]],calendar!A97,calendar!J97)</f>
        <v>No Event</v>
      </c>
      <c r="J827" t="str">
        <f>_xlfn.XLOOKUP(Sheet1[[#This Row],[day_id]],calendar!A97,calendar!K97)</f>
        <v>No Event Type</v>
      </c>
      <c r="K827">
        <f>_xlfn.XLOOKUP(calendar!A97,calendar!A97,calendar!I97)</f>
        <v>1</v>
      </c>
    </row>
    <row r="828" spans="1:11" x14ac:dyDescent="0.2">
      <c r="A828" t="s">
        <v>371</v>
      </c>
      <c r="B828" t="s">
        <v>369</v>
      </c>
      <c r="C828" t="s">
        <v>98</v>
      </c>
      <c r="D828">
        <v>2</v>
      </c>
      <c r="E828" s="1">
        <f>_xlfn.XLOOKUP(Sheet1[[#This Row],[day_id]],calendar!A98,calendar!B98)</f>
        <v>40668</v>
      </c>
      <c r="F828" t="str">
        <f>_xlfn.XLOOKUP(Sheet1[[#This Row],[day_id]],calendar!A98,calendar!C98)</f>
        <v>Thursday</v>
      </c>
      <c r="G828">
        <f>_xlfn.XLOOKUP(Sheet1[[#This Row],[day_id]],calendar!A98,calendar!E98)</f>
        <v>5</v>
      </c>
      <c r="H828">
        <f>_xlfn.XLOOKUP(Sheet1[[#This Row],[day_id]],calendar!A98,calendar!F98)</f>
        <v>2011</v>
      </c>
      <c r="I828" t="str">
        <f>_xlfn.XLOOKUP(Sheet1[[#This Row],[day_id]],calendar!A98,calendar!J98)</f>
        <v>Cinco De Mayo</v>
      </c>
      <c r="J828" t="str">
        <f>_xlfn.XLOOKUP(Sheet1[[#This Row],[day_id]],calendar!A98,calendar!K98)</f>
        <v>Cultural</v>
      </c>
      <c r="K828">
        <f>_xlfn.XLOOKUP(calendar!A98,calendar!A98,calendar!I98)</f>
        <v>1</v>
      </c>
    </row>
    <row r="829" spans="1:11" x14ac:dyDescent="0.2">
      <c r="A829" t="s">
        <v>371</v>
      </c>
      <c r="B829" t="s">
        <v>369</v>
      </c>
      <c r="C829" t="s">
        <v>99</v>
      </c>
      <c r="D829">
        <v>7</v>
      </c>
      <c r="E829" s="1">
        <f>_xlfn.XLOOKUP(Sheet1[[#This Row],[day_id]],calendar!A99,calendar!B99)</f>
        <v>40669</v>
      </c>
      <c r="F829" t="str">
        <f>_xlfn.XLOOKUP(Sheet1[[#This Row],[day_id]],calendar!A99,calendar!C99)</f>
        <v>Friday</v>
      </c>
      <c r="G829">
        <f>_xlfn.XLOOKUP(Sheet1[[#This Row],[day_id]],calendar!A99,calendar!E99)</f>
        <v>5</v>
      </c>
      <c r="H829">
        <f>_xlfn.XLOOKUP(Sheet1[[#This Row],[day_id]],calendar!A99,calendar!F99)</f>
        <v>2011</v>
      </c>
      <c r="I829" t="str">
        <f>_xlfn.XLOOKUP(Sheet1[[#This Row],[day_id]],calendar!A99,calendar!J99)</f>
        <v>No Event</v>
      </c>
      <c r="J829" t="str">
        <f>_xlfn.XLOOKUP(Sheet1[[#This Row],[day_id]],calendar!A99,calendar!K99)</f>
        <v>No Event Type</v>
      </c>
      <c r="K829">
        <f>_xlfn.XLOOKUP(calendar!A99,calendar!A99,calendar!I99)</f>
        <v>1</v>
      </c>
    </row>
    <row r="830" spans="1:11" x14ac:dyDescent="0.2">
      <c r="A830" t="s">
        <v>371</v>
      </c>
      <c r="B830" t="s">
        <v>369</v>
      </c>
      <c r="C830" t="s">
        <v>100</v>
      </c>
      <c r="D830">
        <v>1</v>
      </c>
      <c r="E830" s="1">
        <f>_xlfn.XLOOKUP(Sheet1[[#This Row],[day_id]],calendar!A100,calendar!B100)</f>
        <v>40670</v>
      </c>
      <c r="F830" t="str">
        <f>_xlfn.XLOOKUP(Sheet1[[#This Row],[day_id]],calendar!A100,calendar!C100)</f>
        <v>Saturday</v>
      </c>
      <c r="G830">
        <f>_xlfn.XLOOKUP(Sheet1[[#This Row],[day_id]],calendar!A100,calendar!E100)</f>
        <v>5</v>
      </c>
      <c r="H830">
        <f>_xlfn.XLOOKUP(Sheet1[[#This Row],[day_id]],calendar!A100,calendar!F100)</f>
        <v>2011</v>
      </c>
      <c r="I830" t="str">
        <f>_xlfn.XLOOKUP(Sheet1[[#This Row],[day_id]],calendar!A100,calendar!J100)</f>
        <v>No Event</v>
      </c>
      <c r="J830" t="str">
        <f>_xlfn.XLOOKUP(Sheet1[[#This Row],[day_id]],calendar!A100,calendar!K100)</f>
        <v>No Event Type</v>
      </c>
      <c r="K830">
        <f>_xlfn.XLOOKUP(calendar!A100,calendar!A100,calendar!I100)</f>
        <v>1</v>
      </c>
    </row>
    <row r="831" spans="1:11" x14ac:dyDescent="0.2">
      <c r="A831" t="s">
        <v>371</v>
      </c>
      <c r="B831" t="s">
        <v>369</v>
      </c>
      <c r="C831" t="s">
        <v>101</v>
      </c>
      <c r="D831">
        <v>3</v>
      </c>
      <c r="E831" s="1">
        <f>_xlfn.XLOOKUP(Sheet1[[#This Row],[day_id]],calendar!A101,calendar!B101)</f>
        <v>40671</v>
      </c>
      <c r="F831" t="str">
        <f>_xlfn.XLOOKUP(Sheet1[[#This Row],[day_id]],calendar!A101,calendar!C101)</f>
        <v>Sunday</v>
      </c>
      <c r="G831">
        <f>_xlfn.XLOOKUP(Sheet1[[#This Row],[day_id]],calendar!A101,calendar!E101)</f>
        <v>5</v>
      </c>
      <c r="H831">
        <f>_xlfn.XLOOKUP(Sheet1[[#This Row],[day_id]],calendar!A101,calendar!F101)</f>
        <v>2011</v>
      </c>
      <c r="I831" t="str">
        <f>_xlfn.XLOOKUP(Sheet1[[#This Row],[day_id]],calendar!A101,calendar!J101)</f>
        <v>Mother's day</v>
      </c>
      <c r="J831" t="str">
        <f>_xlfn.XLOOKUP(Sheet1[[#This Row],[day_id]],calendar!A101,calendar!K101)</f>
        <v>Cultural</v>
      </c>
      <c r="K831">
        <f>_xlfn.XLOOKUP(calendar!A101,calendar!A101,calendar!I101)</f>
        <v>1</v>
      </c>
    </row>
    <row r="832" spans="1:11" x14ac:dyDescent="0.2">
      <c r="A832" t="s">
        <v>371</v>
      </c>
      <c r="B832" t="s">
        <v>369</v>
      </c>
      <c r="C832" t="s">
        <v>102</v>
      </c>
      <c r="D832">
        <v>3</v>
      </c>
      <c r="E832" s="1">
        <f>_xlfn.XLOOKUP(Sheet1[[#This Row],[day_id]],calendar!A102,calendar!B102)</f>
        <v>40672</v>
      </c>
      <c r="F832" t="str">
        <f>_xlfn.XLOOKUP(Sheet1[[#This Row],[day_id]],calendar!A102,calendar!C102)</f>
        <v>Monday</v>
      </c>
      <c r="G832">
        <f>_xlfn.XLOOKUP(Sheet1[[#This Row],[day_id]],calendar!A102,calendar!E102)</f>
        <v>5</v>
      </c>
      <c r="H832">
        <f>_xlfn.XLOOKUP(Sheet1[[#This Row],[day_id]],calendar!A102,calendar!F102)</f>
        <v>2011</v>
      </c>
      <c r="I832" t="str">
        <f>_xlfn.XLOOKUP(Sheet1[[#This Row],[day_id]],calendar!A102,calendar!J102)</f>
        <v>No Event</v>
      </c>
      <c r="J832" t="str">
        <f>_xlfn.XLOOKUP(Sheet1[[#This Row],[day_id]],calendar!A102,calendar!K102)</f>
        <v>No Event Type</v>
      </c>
      <c r="K832">
        <f>_xlfn.XLOOKUP(calendar!A102,calendar!A102,calendar!I102)</f>
        <v>1</v>
      </c>
    </row>
    <row r="833" spans="1:11" x14ac:dyDescent="0.2">
      <c r="A833" t="s">
        <v>371</v>
      </c>
      <c r="B833" t="s">
        <v>369</v>
      </c>
      <c r="C833" t="s">
        <v>103</v>
      </c>
      <c r="D833">
        <v>1</v>
      </c>
      <c r="E833" s="1">
        <f>_xlfn.XLOOKUP(Sheet1[[#This Row],[day_id]],calendar!A103,calendar!B103)</f>
        <v>40673</v>
      </c>
      <c r="F833" t="str">
        <f>_xlfn.XLOOKUP(Sheet1[[#This Row],[day_id]],calendar!A103,calendar!C103)</f>
        <v>Tuesday</v>
      </c>
      <c r="G833">
        <f>_xlfn.XLOOKUP(Sheet1[[#This Row],[day_id]],calendar!A103,calendar!E103)</f>
        <v>5</v>
      </c>
      <c r="H833">
        <f>_xlfn.XLOOKUP(Sheet1[[#This Row],[day_id]],calendar!A103,calendar!F103)</f>
        <v>2011</v>
      </c>
      <c r="I833" t="str">
        <f>_xlfn.XLOOKUP(Sheet1[[#This Row],[day_id]],calendar!A103,calendar!J103)</f>
        <v>No Event</v>
      </c>
      <c r="J833" t="str">
        <f>_xlfn.XLOOKUP(Sheet1[[#This Row],[day_id]],calendar!A103,calendar!K103)</f>
        <v>No Event Type</v>
      </c>
      <c r="K833">
        <f>_xlfn.XLOOKUP(calendar!A103,calendar!A103,calendar!I103)</f>
        <v>1</v>
      </c>
    </row>
    <row r="834" spans="1:11" x14ac:dyDescent="0.2">
      <c r="A834" t="s">
        <v>371</v>
      </c>
      <c r="B834" t="s">
        <v>369</v>
      </c>
      <c r="C834" t="s">
        <v>104</v>
      </c>
      <c r="D834">
        <v>0</v>
      </c>
      <c r="E834" s="1">
        <f>_xlfn.XLOOKUP(Sheet1[[#This Row],[day_id]],calendar!A104,calendar!B104)</f>
        <v>40674</v>
      </c>
      <c r="F834" t="str">
        <f>_xlfn.XLOOKUP(Sheet1[[#This Row],[day_id]],calendar!A104,calendar!C104)</f>
        <v>Wednesday</v>
      </c>
      <c r="G834">
        <f>_xlfn.XLOOKUP(Sheet1[[#This Row],[day_id]],calendar!A104,calendar!E104)</f>
        <v>5</v>
      </c>
      <c r="H834">
        <f>_xlfn.XLOOKUP(Sheet1[[#This Row],[day_id]],calendar!A104,calendar!F104)</f>
        <v>2011</v>
      </c>
      <c r="I834" t="str">
        <f>_xlfn.XLOOKUP(Sheet1[[#This Row],[day_id]],calendar!A104,calendar!J104)</f>
        <v>No Event</v>
      </c>
      <c r="J834" t="str">
        <f>_xlfn.XLOOKUP(Sheet1[[#This Row],[day_id]],calendar!A104,calendar!K104)</f>
        <v>No Event Type</v>
      </c>
      <c r="K834">
        <f>_xlfn.XLOOKUP(calendar!A104,calendar!A104,calendar!I104)</f>
        <v>0</v>
      </c>
    </row>
    <row r="835" spans="1:11" x14ac:dyDescent="0.2">
      <c r="A835" t="s">
        <v>371</v>
      </c>
      <c r="B835" t="s">
        <v>369</v>
      </c>
      <c r="C835" t="s">
        <v>105</v>
      </c>
      <c r="D835">
        <v>0</v>
      </c>
      <c r="E835" s="1">
        <f>_xlfn.XLOOKUP(Sheet1[[#This Row],[day_id]],calendar!A105,calendar!B105)</f>
        <v>40675</v>
      </c>
      <c r="F835" t="str">
        <f>_xlfn.XLOOKUP(Sheet1[[#This Row],[day_id]],calendar!A105,calendar!C105)</f>
        <v>Thursday</v>
      </c>
      <c r="G835">
        <f>_xlfn.XLOOKUP(Sheet1[[#This Row],[day_id]],calendar!A105,calendar!E105)</f>
        <v>5</v>
      </c>
      <c r="H835">
        <f>_xlfn.XLOOKUP(Sheet1[[#This Row],[day_id]],calendar!A105,calendar!F105)</f>
        <v>2011</v>
      </c>
      <c r="I835" t="str">
        <f>_xlfn.XLOOKUP(Sheet1[[#This Row],[day_id]],calendar!A105,calendar!J105)</f>
        <v>No Event</v>
      </c>
      <c r="J835" t="str">
        <f>_xlfn.XLOOKUP(Sheet1[[#This Row],[day_id]],calendar!A105,calendar!K105)</f>
        <v>No Event Type</v>
      </c>
      <c r="K835">
        <f>_xlfn.XLOOKUP(calendar!A105,calendar!A105,calendar!I105)</f>
        <v>0</v>
      </c>
    </row>
    <row r="836" spans="1:11" x14ac:dyDescent="0.2">
      <c r="A836" t="s">
        <v>371</v>
      </c>
      <c r="B836" t="s">
        <v>369</v>
      </c>
      <c r="C836" t="s">
        <v>106</v>
      </c>
      <c r="D836">
        <v>9</v>
      </c>
      <c r="E836" s="1">
        <f>_xlfn.XLOOKUP(Sheet1[[#This Row],[day_id]],calendar!A106,calendar!B106)</f>
        <v>40676</v>
      </c>
      <c r="F836" t="str">
        <f>_xlfn.XLOOKUP(Sheet1[[#This Row],[day_id]],calendar!A106,calendar!C106)</f>
        <v>Friday</v>
      </c>
      <c r="G836">
        <f>_xlfn.XLOOKUP(Sheet1[[#This Row],[day_id]],calendar!A106,calendar!E106)</f>
        <v>5</v>
      </c>
      <c r="H836">
        <f>_xlfn.XLOOKUP(Sheet1[[#This Row],[day_id]],calendar!A106,calendar!F106)</f>
        <v>2011</v>
      </c>
      <c r="I836" t="str">
        <f>_xlfn.XLOOKUP(Sheet1[[#This Row],[day_id]],calendar!A106,calendar!J106)</f>
        <v>No Event</v>
      </c>
      <c r="J836" t="str">
        <f>_xlfn.XLOOKUP(Sheet1[[#This Row],[day_id]],calendar!A106,calendar!K106)</f>
        <v>No Event Type</v>
      </c>
      <c r="K836">
        <f>_xlfn.XLOOKUP(calendar!A106,calendar!A106,calendar!I106)</f>
        <v>0</v>
      </c>
    </row>
    <row r="837" spans="1:11" x14ac:dyDescent="0.2">
      <c r="A837" t="s">
        <v>371</v>
      </c>
      <c r="B837" t="s">
        <v>369</v>
      </c>
      <c r="C837" t="s">
        <v>107</v>
      </c>
      <c r="D837">
        <v>10</v>
      </c>
      <c r="E837" s="1">
        <f>_xlfn.XLOOKUP(Sheet1[[#This Row],[day_id]],calendar!A107,calendar!B107)</f>
        <v>40677</v>
      </c>
      <c r="F837" t="str">
        <f>_xlfn.XLOOKUP(Sheet1[[#This Row],[day_id]],calendar!A107,calendar!C107)</f>
        <v>Saturday</v>
      </c>
      <c r="G837">
        <f>_xlfn.XLOOKUP(Sheet1[[#This Row],[day_id]],calendar!A107,calendar!E107)</f>
        <v>5</v>
      </c>
      <c r="H837">
        <f>_xlfn.XLOOKUP(Sheet1[[#This Row],[day_id]],calendar!A107,calendar!F107)</f>
        <v>2011</v>
      </c>
      <c r="I837" t="str">
        <f>_xlfn.XLOOKUP(Sheet1[[#This Row],[day_id]],calendar!A107,calendar!J107)</f>
        <v>No Event</v>
      </c>
      <c r="J837" t="str">
        <f>_xlfn.XLOOKUP(Sheet1[[#This Row],[day_id]],calendar!A107,calendar!K107)</f>
        <v>No Event Type</v>
      </c>
      <c r="K837">
        <f>_xlfn.XLOOKUP(calendar!A107,calendar!A107,calendar!I107)</f>
        <v>0</v>
      </c>
    </row>
    <row r="838" spans="1:11" x14ac:dyDescent="0.2">
      <c r="A838" t="s">
        <v>371</v>
      </c>
      <c r="B838" t="s">
        <v>369</v>
      </c>
      <c r="C838" t="s">
        <v>108</v>
      </c>
      <c r="D838">
        <v>5</v>
      </c>
      <c r="E838" s="1">
        <f>_xlfn.XLOOKUP(Sheet1[[#This Row],[day_id]],calendar!A108,calendar!B108)</f>
        <v>40678</v>
      </c>
      <c r="F838" t="str">
        <f>_xlfn.XLOOKUP(Sheet1[[#This Row],[day_id]],calendar!A108,calendar!C108)</f>
        <v>Sunday</v>
      </c>
      <c r="G838">
        <f>_xlfn.XLOOKUP(Sheet1[[#This Row],[day_id]],calendar!A108,calendar!E108)</f>
        <v>5</v>
      </c>
      <c r="H838">
        <f>_xlfn.XLOOKUP(Sheet1[[#This Row],[day_id]],calendar!A108,calendar!F108)</f>
        <v>2011</v>
      </c>
      <c r="I838" t="str">
        <f>_xlfn.XLOOKUP(Sheet1[[#This Row],[day_id]],calendar!A108,calendar!J108)</f>
        <v>No Event</v>
      </c>
      <c r="J838" t="str">
        <f>_xlfn.XLOOKUP(Sheet1[[#This Row],[day_id]],calendar!A108,calendar!K108)</f>
        <v>No Event Type</v>
      </c>
      <c r="K838">
        <f>_xlfn.XLOOKUP(calendar!A108,calendar!A108,calendar!I108)</f>
        <v>0</v>
      </c>
    </row>
    <row r="839" spans="1:11" x14ac:dyDescent="0.2">
      <c r="A839" t="s">
        <v>371</v>
      </c>
      <c r="B839" t="s">
        <v>369</v>
      </c>
      <c r="C839" t="s">
        <v>109</v>
      </c>
      <c r="D839">
        <v>8</v>
      </c>
      <c r="E839" s="1">
        <f>_xlfn.XLOOKUP(Sheet1[[#This Row],[day_id]],calendar!A109,calendar!B109)</f>
        <v>40679</v>
      </c>
      <c r="F839" t="str">
        <f>_xlfn.XLOOKUP(Sheet1[[#This Row],[day_id]],calendar!A109,calendar!C109)</f>
        <v>Monday</v>
      </c>
      <c r="G839">
        <f>_xlfn.XLOOKUP(Sheet1[[#This Row],[day_id]],calendar!A109,calendar!E109)</f>
        <v>5</v>
      </c>
      <c r="H839">
        <f>_xlfn.XLOOKUP(Sheet1[[#This Row],[day_id]],calendar!A109,calendar!F109)</f>
        <v>2011</v>
      </c>
      <c r="I839" t="str">
        <f>_xlfn.XLOOKUP(Sheet1[[#This Row],[day_id]],calendar!A109,calendar!J109)</f>
        <v>No Event</v>
      </c>
      <c r="J839" t="str">
        <f>_xlfn.XLOOKUP(Sheet1[[#This Row],[day_id]],calendar!A109,calendar!K109)</f>
        <v>No Event Type</v>
      </c>
      <c r="K839">
        <f>_xlfn.XLOOKUP(calendar!A109,calendar!A109,calendar!I109)</f>
        <v>0</v>
      </c>
    </row>
    <row r="840" spans="1:11" x14ac:dyDescent="0.2">
      <c r="A840" t="s">
        <v>371</v>
      </c>
      <c r="B840" t="s">
        <v>369</v>
      </c>
      <c r="C840" t="s">
        <v>110</v>
      </c>
      <c r="D840">
        <v>0</v>
      </c>
      <c r="E840" s="1">
        <f>_xlfn.XLOOKUP(Sheet1[[#This Row],[day_id]],calendar!A110,calendar!B110)</f>
        <v>40680</v>
      </c>
      <c r="F840" t="str">
        <f>_xlfn.XLOOKUP(Sheet1[[#This Row],[day_id]],calendar!A110,calendar!C110)</f>
        <v>Tuesday</v>
      </c>
      <c r="G840">
        <f>_xlfn.XLOOKUP(Sheet1[[#This Row],[day_id]],calendar!A110,calendar!E110)</f>
        <v>5</v>
      </c>
      <c r="H840">
        <f>_xlfn.XLOOKUP(Sheet1[[#This Row],[day_id]],calendar!A110,calendar!F110)</f>
        <v>2011</v>
      </c>
      <c r="I840" t="str">
        <f>_xlfn.XLOOKUP(Sheet1[[#This Row],[day_id]],calendar!A110,calendar!J110)</f>
        <v>No Event</v>
      </c>
      <c r="J840" t="str">
        <f>_xlfn.XLOOKUP(Sheet1[[#This Row],[day_id]],calendar!A110,calendar!K110)</f>
        <v>No Event Type</v>
      </c>
      <c r="K840">
        <f>_xlfn.XLOOKUP(calendar!A110,calendar!A110,calendar!I110)</f>
        <v>0</v>
      </c>
    </row>
    <row r="841" spans="1:11" x14ac:dyDescent="0.2">
      <c r="A841" t="s">
        <v>371</v>
      </c>
      <c r="B841" t="s">
        <v>369</v>
      </c>
      <c r="C841" t="s">
        <v>111</v>
      </c>
      <c r="D841">
        <v>4</v>
      </c>
      <c r="E841" s="1">
        <f>_xlfn.XLOOKUP(Sheet1[[#This Row],[day_id]],calendar!A111,calendar!B111)</f>
        <v>40681</v>
      </c>
      <c r="F841" t="str">
        <f>_xlfn.XLOOKUP(Sheet1[[#This Row],[day_id]],calendar!A111,calendar!C111)</f>
        <v>Wednesday</v>
      </c>
      <c r="G841">
        <f>_xlfn.XLOOKUP(Sheet1[[#This Row],[day_id]],calendar!A111,calendar!E111)</f>
        <v>5</v>
      </c>
      <c r="H841">
        <f>_xlfn.XLOOKUP(Sheet1[[#This Row],[day_id]],calendar!A111,calendar!F111)</f>
        <v>2011</v>
      </c>
      <c r="I841" t="str">
        <f>_xlfn.XLOOKUP(Sheet1[[#This Row],[day_id]],calendar!A111,calendar!J111)</f>
        <v>No Event</v>
      </c>
      <c r="J841" t="str">
        <f>_xlfn.XLOOKUP(Sheet1[[#This Row],[day_id]],calendar!A111,calendar!K111)</f>
        <v>No Event Type</v>
      </c>
      <c r="K841">
        <f>_xlfn.XLOOKUP(calendar!A111,calendar!A111,calendar!I111)</f>
        <v>0</v>
      </c>
    </row>
    <row r="842" spans="1:11" x14ac:dyDescent="0.2">
      <c r="A842" t="s">
        <v>371</v>
      </c>
      <c r="B842" t="s">
        <v>369</v>
      </c>
      <c r="C842" t="s">
        <v>112</v>
      </c>
      <c r="D842">
        <v>7</v>
      </c>
      <c r="E842" s="1">
        <f>_xlfn.XLOOKUP(Sheet1[[#This Row],[day_id]],calendar!A112,calendar!B112)</f>
        <v>40682</v>
      </c>
      <c r="F842" t="str">
        <f>_xlfn.XLOOKUP(Sheet1[[#This Row],[day_id]],calendar!A112,calendar!C112)</f>
        <v>Thursday</v>
      </c>
      <c r="G842">
        <f>_xlfn.XLOOKUP(Sheet1[[#This Row],[day_id]],calendar!A112,calendar!E112)</f>
        <v>5</v>
      </c>
      <c r="H842">
        <f>_xlfn.XLOOKUP(Sheet1[[#This Row],[day_id]],calendar!A112,calendar!F112)</f>
        <v>2011</v>
      </c>
      <c r="I842" t="str">
        <f>_xlfn.XLOOKUP(Sheet1[[#This Row],[day_id]],calendar!A112,calendar!J112)</f>
        <v>No Event</v>
      </c>
      <c r="J842" t="str">
        <f>_xlfn.XLOOKUP(Sheet1[[#This Row],[day_id]],calendar!A112,calendar!K112)</f>
        <v>No Event Type</v>
      </c>
      <c r="K842">
        <f>_xlfn.XLOOKUP(calendar!A112,calendar!A112,calendar!I112)</f>
        <v>0</v>
      </c>
    </row>
    <row r="843" spans="1:11" x14ac:dyDescent="0.2">
      <c r="A843" t="s">
        <v>371</v>
      </c>
      <c r="B843" t="s">
        <v>369</v>
      </c>
      <c r="C843" t="s">
        <v>113</v>
      </c>
      <c r="D843">
        <v>6</v>
      </c>
      <c r="E843" s="1">
        <f>_xlfn.XLOOKUP(Sheet1[[#This Row],[day_id]],calendar!A113,calendar!B113)</f>
        <v>40683</v>
      </c>
      <c r="F843" t="str">
        <f>_xlfn.XLOOKUP(Sheet1[[#This Row],[day_id]],calendar!A113,calendar!C113)</f>
        <v>Friday</v>
      </c>
      <c r="G843">
        <f>_xlfn.XLOOKUP(Sheet1[[#This Row],[day_id]],calendar!A113,calendar!E113)</f>
        <v>5</v>
      </c>
      <c r="H843">
        <f>_xlfn.XLOOKUP(Sheet1[[#This Row],[day_id]],calendar!A113,calendar!F113)</f>
        <v>2011</v>
      </c>
      <c r="I843" t="str">
        <f>_xlfn.XLOOKUP(Sheet1[[#This Row],[day_id]],calendar!A113,calendar!J113)</f>
        <v>No Event</v>
      </c>
      <c r="J843" t="str">
        <f>_xlfn.XLOOKUP(Sheet1[[#This Row],[day_id]],calendar!A113,calendar!K113)</f>
        <v>No Event Type</v>
      </c>
      <c r="K843">
        <f>_xlfn.XLOOKUP(calendar!A113,calendar!A113,calendar!I113)</f>
        <v>0</v>
      </c>
    </row>
    <row r="844" spans="1:11" x14ac:dyDescent="0.2">
      <c r="A844" t="s">
        <v>371</v>
      </c>
      <c r="B844" t="s">
        <v>369</v>
      </c>
      <c r="C844" t="s">
        <v>114</v>
      </c>
      <c r="D844">
        <v>11</v>
      </c>
      <c r="E844" s="1">
        <f>_xlfn.XLOOKUP(Sheet1[[#This Row],[day_id]],calendar!A114,calendar!B114)</f>
        <v>40684</v>
      </c>
      <c r="F844" t="str">
        <f>_xlfn.XLOOKUP(Sheet1[[#This Row],[day_id]],calendar!A114,calendar!C114)</f>
        <v>Saturday</v>
      </c>
      <c r="G844">
        <f>_xlfn.XLOOKUP(Sheet1[[#This Row],[day_id]],calendar!A114,calendar!E114)</f>
        <v>5</v>
      </c>
      <c r="H844">
        <f>_xlfn.XLOOKUP(Sheet1[[#This Row],[day_id]],calendar!A114,calendar!F114)</f>
        <v>2011</v>
      </c>
      <c r="I844" t="str">
        <f>_xlfn.XLOOKUP(Sheet1[[#This Row],[day_id]],calendar!A114,calendar!J114)</f>
        <v>No Event</v>
      </c>
      <c r="J844" t="str">
        <f>_xlfn.XLOOKUP(Sheet1[[#This Row],[day_id]],calendar!A114,calendar!K114)</f>
        <v>No Event Type</v>
      </c>
      <c r="K844">
        <f>_xlfn.XLOOKUP(calendar!A114,calendar!A114,calendar!I114)</f>
        <v>0</v>
      </c>
    </row>
    <row r="845" spans="1:11" x14ac:dyDescent="0.2">
      <c r="A845" t="s">
        <v>371</v>
      </c>
      <c r="B845" t="s">
        <v>369</v>
      </c>
      <c r="C845" t="s">
        <v>115</v>
      </c>
      <c r="D845">
        <v>8</v>
      </c>
      <c r="E845" s="1">
        <f>_xlfn.XLOOKUP(Sheet1[[#This Row],[day_id]],calendar!A115,calendar!B115)</f>
        <v>40685</v>
      </c>
      <c r="F845" t="str">
        <f>_xlfn.XLOOKUP(Sheet1[[#This Row],[day_id]],calendar!A115,calendar!C115)</f>
        <v>Sunday</v>
      </c>
      <c r="G845">
        <f>_xlfn.XLOOKUP(Sheet1[[#This Row],[day_id]],calendar!A115,calendar!E115)</f>
        <v>5</v>
      </c>
      <c r="H845">
        <f>_xlfn.XLOOKUP(Sheet1[[#This Row],[day_id]],calendar!A115,calendar!F115)</f>
        <v>2011</v>
      </c>
      <c r="I845" t="str">
        <f>_xlfn.XLOOKUP(Sheet1[[#This Row],[day_id]],calendar!A115,calendar!J115)</f>
        <v>No Event</v>
      </c>
      <c r="J845" t="str">
        <f>_xlfn.XLOOKUP(Sheet1[[#This Row],[day_id]],calendar!A115,calendar!K115)</f>
        <v>No Event Type</v>
      </c>
      <c r="K845">
        <f>_xlfn.XLOOKUP(calendar!A115,calendar!A115,calendar!I115)</f>
        <v>0</v>
      </c>
    </row>
    <row r="846" spans="1:11" x14ac:dyDescent="0.2">
      <c r="A846" t="s">
        <v>371</v>
      </c>
      <c r="B846" t="s">
        <v>369</v>
      </c>
      <c r="C846" t="s">
        <v>116</v>
      </c>
      <c r="D846">
        <v>5</v>
      </c>
      <c r="E846" s="1">
        <f>_xlfn.XLOOKUP(Sheet1[[#This Row],[day_id]],calendar!A116,calendar!B116)</f>
        <v>40686</v>
      </c>
      <c r="F846" t="str">
        <f>_xlfn.XLOOKUP(Sheet1[[#This Row],[day_id]],calendar!A116,calendar!C116)</f>
        <v>Monday</v>
      </c>
      <c r="G846">
        <f>_xlfn.XLOOKUP(Sheet1[[#This Row],[day_id]],calendar!A116,calendar!E116)</f>
        <v>5</v>
      </c>
      <c r="H846">
        <f>_xlfn.XLOOKUP(Sheet1[[#This Row],[day_id]],calendar!A116,calendar!F116)</f>
        <v>2011</v>
      </c>
      <c r="I846" t="str">
        <f>_xlfn.XLOOKUP(Sheet1[[#This Row],[day_id]],calendar!A116,calendar!J116)</f>
        <v>No Event</v>
      </c>
      <c r="J846" t="str">
        <f>_xlfn.XLOOKUP(Sheet1[[#This Row],[day_id]],calendar!A116,calendar!K116)</f>
        <v>No Event Type</v>
      </c>
      <c r="K846">
        <f>_xlfn.XLOOKUP(calendar!A116,calendar!A116,calendar!I116)</f>
        <v>0</v>
      </c>
    </row>
    <row r="847" spans="1:11" x14ac:dyDescent="0.2">
      <c r="A847" t="s">
        <v>371</v>
      </c>
      <c r="B847" t="s">
        <v>369</v>
      </c>
      <c r="C847" t="s">
        <v>117</v>
      </c>
      <c r="D847">
        <v>7</v>
      </c>
      <c r="E847" s="1">
        <f>_xlfn.XLOOKUP(Sheet1[[#This Row],[day_id]],calendar!A117,calendar!B117)</f>
        <v>40687</v>
      </c>
      <c r="F847" t="str">
        <f>_xlfn.XLOOKUP(Sheet1[[#This Row],[day_id]],calendar!A117,calendar!C117)</f>
        <v>Tuesday</v>
      </c>
      <c r="G847">
        <f>_xlfn.XLOOKUP(Sheet1[[#This Row],[day_id]],calendar!A117,calendar!E117)</f>
        <v>5</v>
      </c>
      <c r="H847">
        <f>_xlfn.XLOOKUP(Sheet1[[#This Row],[day_id]],calendar!A117,calendar!F117)</f>
        <v>2011</v>
      </c>
      <c r="I847" t="str">
        <f>_xlfn.XLOOKUP(Sheet1[[#This Row],[day_id]],calendar!A117,calendar!J117)</f>
        <v>No Event</v>
      </c>
      <c r="J847" t="str">
        <f>_xlfn.XLOOKUP(Sheet1[[#This Row],[day_id]],calendar!A117,calendar!K117)</f>
        <v>No Event Type</v>
      </c>
      <c r="K847">
        <f>_xlfn.XLOOKUP(calendar!A117,calendar!A117,calendar!I117)</f>
        <v>0</v>
      </c>
    </row>
    <row r="848" spans="1:11" x14ac:dyDescent="0.2">
      <c r="A848" t="s">
        <v>371</v>
      </c>
      <c r="B848" t="s">
        <v>369</v>
      </c>
      <c r="C848" t="s">
        <v>118</v>
      </c>
      <c r="D848">
        <v>3</v>
      </c>
      <c r="E848" s="1">
        <f>_xlfn.XLOOKUP(Sheet1[[#This Row],[day_id]],calendar!A118,calendar!B118)</f>
        <v>40688</v>
      </c>
      <c r="F848" t="str">
        <f>_xlfn.XLOOKUP(Sheet1[[#This Row],[day_id]],calendar!A118,calendar!C118)</f>
        <v>Wednesday</v>
      </c>
      <c r="G848">
        <f>_xlfn.XLOOKUP(Sheet1[[#This Row],[day_id]],calendar!A118,calendar!E118)</f>
        <v>5</v>
      </c>
      <c r="H848">
        <f>_xlfn.XLOOKUP(Sheet1[[#This Row],[day_id]],calendar!A118,calendar!F118)</f>
        <v>2011</v>
      </c>
      <c r="I848" t="str">
        <f>_xlfn.XLOOKUP(Sheet1[[#This Row],[day_id]],calendar!A118,calendar!J118)</f>
        <v>No Event</v>
      </c>
      <c r="J848" t="str">
        <f>_xlfn.XLOOKUP(Sheet1[[#This Row],[day_id]],calendar!A118,calendar!K118)</f>
        <v>No Event Type</v>
      </c>
      <c r="K848">
        <f>_xlfn.XLOOKUP(calendar!A118,calendar!A118,calendar!I118)</f>
        <v>0</v>
      </c>
    </row>
    <row r="849" spans="1:11" x14ac:dyDescent="0.2">
      <c r="A849" t="s">
        <v>371</v>
      </c>
      <c r="B849" t="s">
        <v>369</v>
      </c>
      <c r="C849" t="s">
        <v>119</v>
      </c>
      <c r="D849">
        <v>5</v>
      </c>
      <c r="E849" s="1">
        <f>_xlfn.XLOOKUP(Sheet1[[#This Row],[day_id]],calendar!A119,calendar!B119)</f>
        <v>40689</v>
      </c>
      <c r="F849" t="str">
        <f>_xlfn.XLOOKUP(Sheet1[[#This Row],[day_id]],calendar!A119,calendar!C119)</f>
        <v>Thursday</v>
      </c>
      <c r="G849">
        <f>_xlfn.XLOOKUP(Sheet1[[#This Row],[day_id]],calendar!A119,calendar!E119)</f>
        <v>5</v>
      </c>
      <c r="H849">
        <f>_xlfn.XLOOKUP(Sheet1[[#This Row],[day_id]],calendar!A119,calendar!F119)</f>
        <v>2011</v>
      </c>
      <c r="I849" t="str">
        <f>_xlfn.XLOOKUP(Sheet1[[#This Row],[day_id]],calendar!A119,calendar!J119)</f>
        <v>No Event</v>
      </c>
      <c r="J849" t="str">
        <f>_xlfn.XLOOKUP(Sheet1[[#This Row],[day_id]],calendar!A119,calendar!K119)</f>
        <v>No Event Type</v>
      </c>
      <c r="K849">
        <f>_xlfn.XLOOKUP(calendar!A119,calendar!A119,calendar!I119)</f>
        <v>0</v>
      </c>
    </row>
    <row r="850" spans="1:11" x14ac:dyDescent="0.2">
      <c r="A850" t="s">
        <v>371</v>
      </c>
      <c r="B850" t="s">
        <v>369</v>
      </c>
      <c r="C850" t="s">
        <v>120</v>
      </c>
      <c r="D850">
        <v>1</v>
      </c>
      <c r="E850" s="1">
        <f>_xlfn.XLOOKUP(Sheet1[[#This Row],[day_id]],calendar!A120,calendar!B120)</f>
        <v>40690</v>
      </c>
      <c r="F850" t="str">
        <f>_xlfn.XLOOKUP(Sheet1[[#This Row],[day_id]],calendar!A120,calendar!C120)</f>
        <v>Friday</v>
      </c>
      <c r="G850">
        <f>_xlfn.XLOOKUP(Sheet1[[#This Row],[day_id]],calendar!A120,calendar!E120)</f>
        <v>5</v>
      </c>
      <c r="H850">
        <f>_xlfn.XLOOKUP(Sheet1[[#This Row],[day_id]],calendar!A120,calendar!F120)</f>
        <v>2011</v>
      </c>
      <c r="I850" t="str">
        <f>_xlfn.XLOOKUP(Sheet1[[#This Row],[day_id]],calendar!A120,calendar!J120)</f>
        <v>No Event</v>
      </c>
      <c r="J850" t="str">
        <f>_xlfn.XLOOKUP(Sheet1[[#This Row],[day_id]],calendar!A120,calendar!K120)</f>
        <v>No Event Type</v>
      </c>
      <c r="K850">
        <f>_xlfn.XLOOKUP(calendar!A120,calendar!A120,calendar!I120)</f>
        <v>0</v>
      </c>
    </row>
    <row r="851" spans="1:11" x14ac:dyDescent="0.2">
      <c r="A851" t="s">
        <v>371</v>
      </c>
      <c r="B851" t="s">
        <v>369</v>
      </c>
      <c r="C851" t="s">
        <v>121</v>
      </c>
      <c r="D851">
        <v>7</v>
      </c>
      <c r="E851" s="1">
        <f>_xlfn.XLOOKUP(Sheet1[[#This Row],[day_id]],calendar!A121,calendar!B121)</f>
        <v>40691</v>
      </c>
      <c r="F851" t="str">
        <f>_xlfn.XLOOKUP(Sheet1[[#This Row],[day_id]],calendar!A121,calendar!C121)</f>
        <v>Saturday</v>
      </c>
      <c r="G851">
        <f>_xlfn.XLOOKUP(Sheet1[[#This Row],[day_id]],calendar!A121,calendar!E121)</f>
        <v>5</v>
      </c>
      <c r="H851">
        <f>_xlfn.XLOOKUP(Sheet1[[#This Row],[day_id]],calendar!A121,calendar!F121)</f>
        <v>2011</v>
      </c>
      <c r="I851" t="str">
        <f>_xlfn.XLOOKUP(Sheet1[[#This Row],[day_id]],calendar!A121,calendar!J121)</f>
        <v>No Event</v>
      </c>
      <c r="J851" t="str">
        <f>_xlfn.XLOOKUP(Sheet1[[#This Row],[day_id]],calendar!A121,calendar!K121)</f>
        <v>No Event Type</v>
      </c>
      <c r="K851">
        <f>_xlfn.XLOOKUP(calendar!A121,calendar!A121,calendar!I121)</f>
        <v>0</v>
      </c>
    </row>
    <row r="852" spans="1:11" x14ac:dyDescent="0.2">
      <c r="A852" t="s">
        <v>371</v>
      </c>
      <c r="B852" t="s">
        <v>369</v>
      </c>
      <c r="C852" t="s">
        <v>122</v>
      </c>
      <c r="D852">
        <v>10</v>
      </c>
      <c r="E852" s="1">
        <f>_xlfn.XLOOKUP(Sheet1[[#This Row],[day_id]],calendar!A122,calendar!B122)</f>
        <v>40692</v>
      </c>
      <c r="F852" t="str">
        <f>_xlfn.XLOOKUP(Sheet1[[#This Row],[day_id]],calendar!A122,calendar!C122)</f>
        <v>Sunday</v>
      </c>
      <c r="G852">
        <f>_xlfn.XLOOKUP(Sheet1[[#This Row],[day_id]],calendar!A122,calendar!E122)</f>
        <v>5</v>
      </c>
      <c r="H852">
        <f>_xlfn.XLOOKUP(Sheet1[[#This Row],[day_id]],calendar!A122,calendar!F122)</f>
        <v>2011</v>
      </c>
      <c r="I852" t="str">
        <f>_xlfn.XLOOKUP(Sheet1[[#This Row],[day_id]],calendar!A122,calendar!J122)</f>
        <v>No Event</v>
      </c>
      <c r="J852" t="str">
        <f>_xlfn.XLOOKUP(Sheet1[[#This Row],[day_id]],calendar!A122,calendar!K122)</f>
        <v>No Event Type</v>
      </c>
      <c r="K852">
        <f>_xlfn.XLOOKUP(calendar!A122,calendar!A122,calendar!I122)</f>
        <v>0</v>
      </c>
    </row>
    <row r="853" spans="1:11" x14ac:dyDescent="0.2">
      <c r="A853" t="s">
        <v>371</v>
      </c>
      <c r="B853" t="s">
        <v>369</v>
      </c>
      <c r="C853" t="s">
        <v>123</v>
      </c>
      <c r="D853">
        <v>7</v>
      </c>
      <c r="E853" s="1">
        <f>_xlfn.XLOOKUP(Sheet1[[#This Row],[day_id]],calendar!A123,calendar!B123)</f>
        <v>40693</v>
      </c>
      <c r="F853" t="str">
        <f>_xlfn.XLOOKUP(Sheet1[[#This Row],[day_id]],calendar!A123,calendar!C123)</f>
        <v>Monday</v>
      </c>
      <c r="G853">
        <f>_xlfn.XLOOKUP(Sheet1[[#This Row],[day_id]],calendar!A123,calendar!E123)</f>
        <v>5</v>
      </c>
      <c r="H853">
        <f>_xlfn.XLOOKUP(Sheet1[[#This Row],[day_id]],calendar!A123,calendar!F123)</f>
        <v>2011</v>
      </c>
      <c r="I853" t="str">
        <f>_xlfn.XLOOKUP(Sheet1[[#This Row],[day_id]],calendar!A123,calendar!J123)</f>
        <v>MemorialDay</v>
      </c>
      <c r="J853" t="str">
        <f>_xlfn.XLOOKUP(Sheet1[[#This Row],[day_id]],calendar!A123,calendar!K123)</f>
        <v>National</v>
      </c>
      <c r="K853">
        <f>_xlfn.XLOOKUP(calendar!A123,calendar!A123,calendar!I123)</f>
        <v>0</v>
      </c>
    </row>
    <row r="854" spans="1:11" x14ac:dyDescent="0.2">
      <c r="A854" t="s">
        <v>371</v>
      </c>
      <c r="B854" t="s">
        <v>369</v>
      </c>
      <c r="C854" t="s">
        <v>124</v>
      </c>
      <c r="D854">
        <v>5</v>
      </c>
      <c r="E854" s="1">
        <f>_xlfn.XLOOKUP(Sheet1[[#This Row],[day_id]],calendar!A124,calendar!B124)</f>
        <v>40694</v>
      </c>
      <c r="F854" t="str">
        <f>_xlfn.XLOOKUP(Sheet1[[#This Row],[day_id]],calendar!A124,calendar!C124)</f>
        <v>Tuesday</v>
      </c>
      <c r="G854">
        <f>_xlfn.XLOOKUP(Sheet1[[#This Row],[day_id]],calendar!A124,calendar!E124)</f>
        <v>5</v>
      </c>
      <c r="H854">
        <f>_xlfn.XLOOKUP(Sheet1[[#This Row],[day_id]],calendar!A124,calendar!F124)</f>
        <v>2011</v>
      </c>
      <c r="I854" t="str">
        <f>_xlfn.XLOOKUP(Sheet1[[#This Row],[day_id]],calendar!A124,calendar!J124)</f>
        <v>NBAFinalsStart</v>
      </c>
      <c r="J854" t="str">
        <f>_xlfn.XLOOKUP(Sheet1[[#This Row],[day_id]],calendar!A124,calendar!K124)</f>
        <v>Sporting</v>
      </c>
      <c r="K854">
        <f>_xlfn.XLOOKUP(calendar!A124,calendar!A124,calendar!I124)</f>
        <v>0</v>
      </c>
    </row>
    <row r="855" spans="1:11" x14ac:dyDescent="0.2">
      <c r="A855" t="s">
        <v>371</v>
      </c>
      <c r="B855" t="s">
        <v>369</v>
      </c>
      <c r="C855" t="s">
        <v>125</v>
      </c>
      <c r="D855">
        <v>2</v>
      </c>
      <c r="E855" s="1">
        <f>_xlfn.XLOOKUP(Sheet1[[#This Row],[day_id]],calendar!A125,calendar!B125)</f>
        <v>40695</v>
      </c>
      <c r="F855" t="str">
        <f>_xlfn.XLOOKUP(Sheet1[[#This Row],[day_id]],calendar!A125,calendar!C125)</f>
        <v>Wednesday</v>
      </c>
      <c r="G855">
        <f>_xlfn.XLOOKUP(Sheet1[[#This Row],[day_id]],calendar!A125,calendar!E125)</f>
        <v>6</v>
      </c>
      <c r="H855">
        <f>_xlfn.XLOOKUP(Sheet1[[#This Row],[day_id]],calendar!A125,calendar!F125)</f>
        <v>2011</v>
      </c>
      <c r="I855" t="str">
        <f>_xlfn.XLOOKUP(Sheet1[[#This Row],[day_id]],calendar!A125,calendar!J125)</f>
        <v>No Event</v>
      </c>
      <c r="J855" t="str">
        <f>_xlfn.XLOOKUP(Sheet1[[#This Row],[day_id]],calendar!A125,calendar!K125)</f>
        <v>No Event Type</v>
      </c>
      <c r="K855">
        <f>_xlfn.XLOOKUP(calendar!A125,calendar!A125,calendar!I125)</f>
        <v>1</v>
      </c>
    </row>
    <row r="856" spans="1:11" x14ac:dyDescent="0.2">
      <c r="A856" t="s">
        <v>371</v>
      </c>
      <c r="B856" t="s">
        <v>369</v>
      </c>
      <c r="C856" t="s">
        <v>126</v>
      </c>
      <c r="D856">
        <v>3</v>
      </c>
      <c r="E856" s="1">
        <f>_xlfn.XLOOKUP(Sheet1[[#This Row],[day_id]],calendar!A126,calendar!B126)</f>
        <v>40696</v>
      </c>
      <c r="F856" t="str">
        <f>_xlfn.XLOOKUP(Sheet1[[#This Row],[day_id]],calendar!A126,calendar!C126)</f>
        <v>Thursday</v>
      </c>
      <c r="G856">
        <f>_xlfn.XLOOKUP(Sheet1[[#This Row],[day_id]],calendar!A126,calendar!E126)</f>
        <v>6</v>
      </c>
      <c r="H856">
        <f>_xlfn.XLOOKUP(Sheet1[[#This Row],[day_id]],calendar!A126,calendar!F126)</f>
        <v>2011</v>
      </c>
      <c r="I856" t="str">
        <f>_xlfn.XLOOKUP(Sheet1[[#This Row],[day_id]],calendar!A126,calendar!J126)</f>
        <v>No Event</v>
      </c>
      <c r="J856" t="str">
        <f>_xlfn.XLOOKUP(Sheet1[[#This Row],[day_id]],calendar!A126,calendar!K126)</f>
        <v>No Event Type</v>
      </c>
      <c r="K856">
        <f>_xlfn.XLOOKUP(calendar!A126,calendar!A126,calendar!I126)</f>
        <v>1</v>
      </c>
    </row>
    <row r="857" spans="1:11" x14ac:dyDescent="0.2">
      <c r="A857" t="s">
        <v>371</v>
      </c>
      <c r="B857" t="s">
        <v>369</v>
      </c>
      <c r="C857" t="s">
        <v>127</v>
      </c>
      <c r="D857">
        <v>1</v>
      </c>
      <c r="E857" s="1">
        <f>_xlfn.XLOOKUP(Sheet1[[#This Row],[day_id]],calendar!A127,calendar!B127)</f>
        <v>40697</v>
      </c>
      <c r="F857" t="str">
        <f>_xlfn.XLOOKUP(Sheet1[[#This Row],[day_id]],calendar!A127,calendar!C127)</f>
        <v>Friday</v>
      </c>
      <c r="G857">
        <f>_xlfn.XLOOKUP(Sheet1[[#This Row],[day_id]],calendar!A127,calendar!E127)</f>
        <v>6</v>
      </c>
      <c r="H857">
        <f>_xlfn.XLOOKUP(Sheet1[[#This Row],[day_id]],calendar!A127,calendar!F127)</f>
        <v>2011</v>
      </c>
      <c r="I857" t="str">
        <f>_xlfn.XLOOKUP(Sheet1[[#This Row],[day_id]],calendar!A127,calendar!J127)</f>
        <v>No Event</v>
      </c>
      <c r="J857" t="str">
        <f>_xlfn.XLOOKUP(Sheet1[[#This Row],[day_id]],calendar!A127,calendar!K127)</f>
        <v>No Event Type</v>
      </c>
      <c r="K857">
        <f>_xlfn.XLOOKUP(calendar!A127,calendar!A127,calendar!I127)</f>
        <v>1</v>
      </c>
    </row>
    <row r="858" spans="1:11" x14ac:dyDescent="0.2">
      <c r="A858" t="s">
        <v>371</v>
      </c>
      <c r="B858" t="s">
        <v>369</v>
      </c>
      <c r="C858" t="s">
        <v>128</v>
      </c>
      <c r="D858">
        <v>2</v>
      </c>
      <c r="E858" s="1">
        <f>_xlfn.XLOOKUP(Sheet1[[#This Row],[day_id]],calendar!A128,calendar!B128)</f>
        <v>40698</v>
      </c>
      <c r="F858" t="str">
        <f>_xlfn.XLOOKUP(Sheet1[[#This Row],[day_id]],calendar!A128,calendar!C128)</f>
        <v>Saturday</v>
      </c>
      <c r="G858">
        <f>_xlfn.XLOOKUP(Sheet1[[#This Row],[day_id]],calendar!A128,calendar!E128)</f>
        <v>6</v>
      </c>
      <c r="H858">
        <f>_xlfn.XLOOKUP(Sheet1[[#This Row],[day_id]],calendar!A128,calendar!F128)</f>
        <v>2011</v>
      </c>
      <c r="I858" t="str">
        <f>_xlfn.XLOOKUP(Sheet1[[#This Row],[day_id]],calendar!A128,calendar!J128)</f>
        <v>No Event</v>
      </c>
      <c r="J858" t="str">
        <f>_xlfn.XLOOKUP(Sheet1[[#This Row],[day_id]],calendar!A128,calendar!K128)</f>
        <v>No Event Type</v>
      </c>
      <c r="K858">
        <f>_xlfn.XLOOKUP(calendar!A128,calendar!A128,calendar!I128)</f>
        <v>1</v>
      </c>
    </row>
    <row r="859" spans="1:11" x14ac:dyDescent="0.2">
      <c r="A859" t="s">
        <v>371</v>
      </c>
      <c r="B859" t="s">
        <v>369</v>
      </c>
      <c r="C859" t="s">
        <v>129</v>
      </c>
      <c r="D859">
        <v>15</v>
      </c>
      <c r="E859" s="1">
        <f>_xlfn.XLOOKUP(Sheet1[[#This Row],[day_id]],calendar!A129,calendar!B129)</f>
        <v>40699</v>
      </c>
      <c r="F859" t="str">
        <f>_xlfn.XLOOKUP(Sheet1[[#This Row],[day_id]],calendar!A129,calendar!C129)</f>
        <v>Sunday</v>
      </c>
      <c r="G859">
        <f>_xlfn.XLOOKUP(Sheet1[[#This Row],[day_id]],calendar!A129,calendar!E129)</f>
        <v>6</v>
      </c>
      <c r="H859">
        <f>_xlfn.XLOOKUP(Sheet1[[#This Row],[day_id]],calendar!A129,calendar!F129)</f>
        <v>2011</v>
      </c>
      <c r="I859" t="str">
        <f>_xlfn.XLOOKUP(Sheet1[[#This Row],[day_id]],calendar!A129,calendar!J129)</f>
        <v>No Event</v>
      </c>
      <c r="J859" t="str">
        <f>_xlfn.XLOOKUP(Sheet1[[#This Row],[day_id]],calendar!A129,calendar!K129)</f>
        <v>No Event Type</v>
      </c>
      <c r="K859">
        <f>_xlfn.XLOOKUP(calendar!A129,calendar!A129,calendar!I129)</f>
        <v>1</v>
      </c>
    </row>
    <row r="860" spans="1:11" x14ac:dyDescent="0.2">
      <c r="A860" t="s">
        <v>371</v>
      </c>
      <c r="B860" t="s">
        <v>369</v>
      </c>
      <c r="C860" t="s">
        <v>130</v>
      </c>
      <c r="D860">
        <v>3</v>
      </c>
      <c r="E860" s="1">
        <f>_xlfn.XLOOKUP(Sheet1[[#This Row],[day_id]],calendar!A130,calendar!B130)</f>
        <v>40700</v>
      </c>
      <c r="F860" t="str">
        <f>_xlfn.XLOOKUP(Sheet1[[#This Row],[day_id]],calendar!A130,calendar!C130)</f>
        <v>Monday</v>
      </c>
      <c r="G860">
        <f>_xlfn.XLOOKUP(Sheet1[[#This Row],[day_id]],calendar!A130,calendar!E130)</f>
        <v>6</v>
      </c>
      <c r="H860">
        <f>_xlfn.XLOOKUP(Sheet1[[#This Row],[day_id]],calendar!A130,calendar!F130)</f>
        <v>2011</v>
      </c>
      <c r="I860" t="str">
        <f>_xlfn.XLOOKUP(Sheet1[[#This Row],[day_id]],calendar!A130,calendar!J130)</f>
        <v>No Event</v>
      </c>
      <c r="J860" t="str">
        <f>_xlfn.XLOOKUP(Sheet1[[#This Row],[day_id]],calendar!A130,calendar!K130)</f>
        <v>No Event Type</v>
      </c>
      <c r="K860">
        <f>_xlfn.XLOOKUP(calendar!A130,calendar!A130,calendar!I130)</f>
        <v>1</v>
      </c>
    </row>
    <row r="861" spans="1:11" x14ac:dyDescent="0.2">
      <c r="A861" t="s">
        <v>371</v>
      </c>
      <c r="B861" t="s">
        <v>369</v>
      </c>
      <c r="C861" t="s">
        <v>131</v>
      </c>
      <c r="D861">
        <v>2</v>
      </c>
      <c r="E861" s="1">
        <f>_xlfn.XLOOKUP(Sheet1[[#This Row],[day_id]],calendar!A131,calendar!B131)</f>
        <v>40701</v>
      </c>
      <c r="F861" t="str">
        <f>_xlfn.XLOOKUP(Sheet1[[#This Row],[day_id]],calendar!A131,calendar!C131)</f>
        <v>Tuesday</v>
      </c>
      <c r="G861">
        <f>_xlfn.XLOOKUP(Sheet1[[#This Row],[day_id]],calendar!A131,calendar!E131)</f>
        <v>6</v>
      </c>
      <c r="H861">
        <f>_xlfn.XLOOKUP(Sheet1[[#This Row],[day_id]],calendar!A131,calendar!F131)</f>
        <v>2011</v>
      </c>
      <c r="I861" t="str">
        <f>_xlfn.XLOOKUP(Sheet1[[#This Row],[day_id]],calendar!A131,calendar!J131)</f>
        <v>No Event</v>
      </c>
      <c r="J861" t="str">
        <f>_xlfn.XLOOKUP(Sheet1[[#This Row],[day_id]],calendar!A131,calendar!K131)</f>
        <v>No Event Type</v>
      </c>
      <c r="K861">
        <f>_xlfn.XLOOKUP(calendar!A131,calendar!A131,calendar!I131)</f>
        <v>1</v>
      </c>
    </row>
    <row r="862" spans="1:11" x14ac:dyDescent="0.2">
      <c r="A862" t="s">
        <v>371</v>
      </c>
      <c r="B862" t="s">
        <v>369</v>
      </c>
      <c r="C862" t="s">
        <v>132</v>
      </c>
      <c r="D862">
        <v>0</v>
      </c>
      <c r="E862" s="1">
        <f>_xlfn.XLOOKUP(Sheet1[[#This Row],[day_id]],calendar!A132,calendar!B132)</f>
        <v>40702</v>
      </c>
      <c r="F862" t="str">
        <f>_xlfn.XLOOKUP(Sheet1[[#This Row],[day_id]],calendar!A132,calendar!C132)</f>
        <v>Wednesday</v>
      </c>
      <c r="G862">
        <f>_xlfn.XLOOKUP(Sheet1[[#This Row],[day_id]],calendar!A132,calendar!E132)</f>
        <v>6</v>
      </c>
      <c r="H862">
        <f>_xlfn.XLOOKUP(Sheet1[[#This Row],[day_id]],calendar!A132,calendar!F132)</f>
        <v>2011</v>
      </c>
      <c r="I862" t="str">
        <f>_xlfn.XLOOKUP(Sheet1[[#This Row],[day_id]],calendar!A132,calendar!J132)</f>
        <v>No Event</v>
      </c>
      <c r="J862" t="str">
        <f>_xlfn.XLOOKUP(Sheet1[[#This Row],[day_id]],calendar!A132,calendar!K132)</f>
        <v>No Event Type</v>
      </c>
      <c r="K862">
        <f>_xlfn.XLOOKUP(calendar!A132,calendar!A132,calendar!I132)</f>
        <v>1</v>
      </c>
    </row>
    <row r="863" spans="1:11" x14ac:dyDescent="0.2">
      <c r="A863" t="s">
        <v>371</v>
      </c>
      <c r="B863" t="s">
        <v>369</v>
      </c>
      <c r="C863" t="s">
        <v>133</v>
      </c>
      <c r="D863">
        <v>0</v>
      </c>
      <c r="E863" s="1">
        <f>_xlfn.XLOOKUP(Sheet1[[#This Row],[day_id]],calendar!A133,calendar!B133)</f>
        <v>40703</v>
      </c>
      <c r="F863" t="str">
        <f>_xlfn.XLOOKUP(Sheet1[[#This Row],[day_id]],calendar!A133,calendar!C133)</f>
        <v>Thursday</v>
      </c>
      <c r="G863">
        <f>_xlfn.XLOOKUP(Sheet1[[#This Row],[day_id]],calendar!A133,calendar!E133)</f>
        <v>6</v>
      </c>
      <c r="H863">
        <f>_xlfn.XLOOKUP(Sheet1[[#This Row],[day_id]],calendar!A133,calendar!F133)</f>
        <v>2011</v>
      </c>
      <c r="I863" t="str">
        <f>_xlfn.XLOOKUP(Sheet1[[#This Row],[day_id]],calendar!A133,calendar!J133)</f>
        <v>No Event</v>
      </c>
      <c r="J863" t="str">
        <f>_xlfn.XLOOKUP(Sheet1[[#This Row],[day_id]],calendar!A133,calendar!K133)</f>
        <v>No Event Type</v>
      </c>
      <c r="K863">
        <f>_xlfn.XLOOKUP(calendar!A133,calendar!A133,calendar!I133)</f>
        <v>1</v>
      </c>
    </row>
    <row r="864" spans="1:11" x14ac:dyDescent="0.2">
      <c r="A864" t="s">
        <v>371</v>
      </c>
      <c r="B864" t="s">
        <v>369</v>
      </c>
      <c r="C864" t="s">
        <v>134</v>
      </c>
      <c r="D864">
        <v>0</v>
      </c>
      <c r="E864" s="1">
        <f>_xlfn.XLOOKUP(Sheet1[[#This Row],[day_id]],calendar!A134,calendar!B134)</f>
        <v>40704</v>
      </c>
      <c r="F864" t="str">
        <f>_xlfn.XLOOKUP(Sheet1[[#This Row],[day_id]],calendar!A134,calendar!C134)</f>
        <v>Friday</v>
      </c>
      <c r="G864">
        <f>_xlfn.XLOOKUP(Sheet1[[#This Row],[day_id]],calendar!A134,calendar!E134)</f>
        <v>6</v>
      </c>
      <c r="H864">
        <f>_xlfn.XLOOKUP(Sheet1[[#This Row],[day_id]],calendar!A134,calendar!F134)</f>
        <v>2011</v>
      </c>
      <c r="I864" t="str">
        <f>_xlfn.XLOOKUP(Sheet1[[#This Row],[day_id]],calendar!A134,calendar!J134)</f>
        <v>No Event</v>
      </c>
      <c r="J864" t="str">
        <f>_xlfn.XLOOKUP(Sheet1[[#This Row],[day_id]],calendar!A134,calendar!K134)</f>
        <v>No Event Type</v>
      </c>
      <c r="K864">
        <f>_xlfn.XLOOKUP(calendar!A134,calendar!A134,calendar!I134)</f>
        <v>1</v>
      </c>
    </row>
    <row r="865" spans="1:11" x14ac:dyDescent="0.2">
      <c r="A865" t="s">
        <v>371</v>
      </c>
      <c r="B865" t="s">
        <v>369</v>
      </c>
      <c r="C865" t="s">
        <v>135</v>
      </c>
      <c r="D865">
        <v>7</v>
      </c>
      <c r="E865" s="1">
        <f>_xlfn.XLOOKUP(Sheet1[[#This Row],[day_id]],calendar!A135,calendar!B135)</f>
        <v>40705</v>
      </c>
      <c r="F865" t="str">
        <f>_xlfn.XLOOKUP(Sheet1[[#This Row],[day_id]],calendar!A135,calendar!C135)</f>
        <v>Saturday</v>
      </c>
      <c r="G865">
        <f>_xlfn.XLOOKUP(Sheet1[[#This Row],[day_id]],calendar!A135,calendar!E135)</f>
        <v>6</v>
      </c>
      <c r="H865">
        <f>_xlfn.XLOOKUP(Sheet1[[#This Row],[day_id]],calendar!A135,calendar!F135)</f>
        <v>2011</v>
      </c>
      <c r="I865" t="str">
        <f>_xlfn.XLOOKUP(Sheet1[[#This Row],[day_id]],calendar!A135,calendar!J135)</f>
        <v>No Event</v>
      </c>
      <c r="J865" t="str">
        <f>_xlfn.XLOOKUP(Sheet1[[#This Row],[day_id]],calendar!A135,calendar!K135)</f>
        <v>No Event Type</v>
      </c>
      <c r="K865">
        <f>_xlfn.XLOOKUP(calendar!A135,calendar!A135,calendar!I135)</f>
        <v>0</v>
      </c>
    </row>
    <row r="866" spans="1:11" x14ac:dyDescent="0.2">
      <c r="A866" t="s">
        <v>371</v>
      </c>
      <c r="B866" t="s">
        <v>369</v>
      </c>
      <c r="C866" t="s">
        <v>136</v>
      </c>
      <c r="D866">
        <v>3</v>
      </c>
      <c r="E866" s="1">
        <f>_xlfn.XLOOKUP(Sheet1[[#This Row],[day_id]],calendar!A136,calendar!B136)</f>
        <v>40706</v>
      </c>
      <c r="F866" t="str">
        <f>_xlfn.XLOOKUP(Sheet1[[#This Row],[day_id]],calendar!A136,calendar!C136)</f>
        <v>Sunday</v>
      </c>
      <c r="G866">
        <f>_xlfn.XLOOKUP(Sheet1[[#This Row],[day_id]],calendar!A136,calendar!E136)</f>
        <v>6</v>
      </c>
      <c r="H866">
        <f>_xlfn.XLOOKUP(Sheet1[[#This Row],[day_id]],calendar!A136,calendar!F136)</f>
        <v>2011</v>
      </c>
      <c r="I866" t="str">
        <f>_xlfn.XLOOKUP(Sheet1[[#This Row],[day_id]],calendar!A136,calendar!J136)</f>
        <v>NBAFinalsEnd</v>
      </c>
      <c r="J866" t="str">
        <f>_xlfn.XLOOKUP(Sheet1[[#This Row],[day_id]],calendar!A136,calendar!K136)</f>
        <v>Sporting</v>
      </c>
      <c r="K866">
        <f>_xlfn.XLOOKUP(calendar!A136,calendar!A136,calendar!I136)</f>
        <v>0</v>
      </c>
    </row>
    <row r="867" spans="1:11" x14ac:dyDescent="0.2">
      <c r="A867" t="s">
        <v>371</v>
      </c>
      <c r="B867" t="s">
        <v>369</v>
      </c>
      <c r="C867" t="s">
        <v>137</v>
      </c>
      <c r="D867">
        <v>7</v>
      </c>
      <c r="E867" s="1">
        <f>_xlfn.XLOOKUP(Sheet1[[#This Row],[day_id]],calendar!A137,calendar!B137)</f>
        <v>40707</v>
      </c>
      <c r="F867" t="str">
        <f>_xlfn.XLOOKUP(Sheet1[[#This Row],[day_id]],calendar!A137,calendar!C137)</f>
        <v>Monday</v>
      </c>
      <c r="G867">
        <f>_xlfn.XLOOKUP(Sheet1[[#This Row],[day_id]],calendar!A137,calendar!E137)</f>
        <v>6</v>
      </c>
      <c r="H867">
        <f>_xlfn.XLOOKUP(Sheet1[[#This Row],[day_id]],calendar!A137,calendar!F137)</f>
        <v>2011</v>
      </c>
      <c r="I867" t="str">
        <f>_xlfn.XLOOKUP(Sheet1[[#This Row],[day_id]],calendar!A137,calendar!J137)</f>
        <v>No Event</v>
      </c>
      <c r="J867" t="str">
        <f>_xlfn.XLOOKUP(Sheet1[[#This Row],[day_id]],calendar!A137,calendar!K137)</f>
        <v>No Event Type</v>
      </c>
      <c r="K867">
        <f>_xlfn.XLOOKUP(calendar!A137,calendar!A137,calendar!I137)</f>
        <v>0</v>
      </c>
    </row>
    <row r="868" spans="1:11" x14ac:dyDescent="0.2">
      <c r="A868" t="s">
        <v>371</v>
      </c>
      <c r="B868" t="s">
        <v>369</v>
      </c>
      <c r="C868" t="s">
        <v>138</v>
      </c>
      <c r="D868">
        <v>7</v>
      </c>
      <c r="E868" s="1">
        <f>_xlfn.XLOOKUP(Sheet1[[#This Row],[day_id]],calendar!A138,calendar!B138)</f>
        <v>40708</v>
      </c>
      <c r="F868" t="str">
        <f>_xlfn.XLOOKUP(Sheet1[[#This Row],[day_id]],calendar!A138,calendar!C138)</f>
        <v>Tuesday</v>
      </c>
      <c r="G868">
        <f>_xlfn.XLOOKUP(Sheet1[[#This Row],[day_id]],calendar!A138,calendar!E138)</f>
        <v>6</v>
      </c>
      <c r="H868">
        <f>_xlfn.XLOOKUP(Sheet1[[#This Row],[day_id]],calendar!A138,calendar!F138)</f>
        <v>2011</v>
      </c>
      <c r="I868" t="str">
        <f>_xlfn.XLOOKUP(Sheet1[[#This Row],[day_id]],calendar!A138,calendar!J138)</f>
        <v>No Event</v>
      </c>
      <c r="J868" t="str">
        <f>_xlfn.XLOOKUP(Sheet1[[#This Row],[day_id]],calendar!A138,calendar!K138)</f>
        <v>No Event Type</v>
      </c>
      <c r="K868">
        <f>_xlfn.XLOOKUP(calendar!A138,calendar!A138,calendar!I138)</f>
        <v>0</v>
      </c>
    </row>
    <row r="869" spans="1:11" x14ac:dyDescent="0.2">
      <c r="A869" t="s">
        <v>371</v>
      </c>
      <c r="B869" t="s">
        <v>369</v>
      </c>
      <c r="C869" t="s">
        <v>139</v>
      </c>
      <c r="D869">
        <v>6</v>
      </c>
      <c r="E869" s="1">
        <f>_xlfn.XLOOKUP(Sheet1[[#This Row],[day_id]],calendar!A139,calendar!B139)</f>
        <v>40709</v>
      </c>
      <c r="F869" t="str">
        <f>_xlfn.XLOOKUP(Sheet1[[#This Row],[day_id]],calendar!A139,calendar!C139)</f>
        <v>Wednesday</v>
      </c>
      <c r="G869">
        <f>_xlfn.XLOOKUP(Sheet1[[#This Row],[day_id]],calendar!A139,calendar!E139)</f>
        <v>6</v>
      </c>
      <c r="H869">
        <f>_xlfn.XLOOKUP(Sheet1[[#This Row],[day_id]],calendar!A139,calendar!F139)</f>
        <v>2011</v>
      </c>
      <c r="I869" t="str">
        <f>_xlfn.XLOOKUP(Sheet1[[#This Row],[day_id]],calendar!A139,calendar!J139)</f>
        <v>No Event</v>
      </c>
      <c r="J869" t="str">
        <f>_xlfn.XLOOKUP(Sheet1[[#This Row],[day_id]],calendar!A139,calendar!K139)</f>
        <v>No Event Type</v>
      </c>
      <c r="K869">
        <f>_xlfn.XLOOKUP(calendar!A139,calendar!A139,calendar!I139)</f>
        <v>0</v>
      </c>
    </row>
    <row r="870" spans="1:11" x14ac:dyDescent="0.2">
      <c r="A870" t="s">
        <v>371</v>
      </c>
      <c r="B870" t="s">
        <v>369</v>
      </c>
      <c r="C870" t="s">
        <v>140</v>
      </c>
      <c r="D870">
        <v>4</v>
      </c>
      <c r="E870" s="1">
        <f>_xlfn.XLOOKUP(Sheet1[[#This Row],[day_id]],calendar!A140,calendar!B140)</f>
        <v>40710</v>
      </c>
      <c r="F870" t="str">
        <f>_xlfn.XLOOKUP(Sheet1[[#This Row],[day_id]],calendar!A140,calendar!C140)</f>
        <v>Thursday</v>
      </c>
      <c r="G870">
        <f>_xlfn.XLOOKUP(Sheet1[[#This Row],[day_id]],calendar!A140,calendar!E140)</f>
        <v>6</v>
      </c>
      <c r="H870">
        <f>_xlfn.XLOOKUP(Sheet1[[#This Row],[day_id]],calendar!A140,calendar!F140)</f>
        <v>2011</v>
      </c>
      <c r="I870" t="str">
        <f>_xlfn.XLOOKUP(Sheet1[[#This Row],[day_id]],calendar!A140,calendar!J140)</f>
        <v>No Event</v>
      </c>
      <c r="J870" t="str">
        <f>_xlfn.XLOOKUP(Sheet1[[#This Row],[day_id]],calendar!A140,calendar!K140)</f>
        <v>No Event Type</v>
      </c>
      <c r="K870">
        <f>_xlfn.XLOOKUP(calendar!A140,calendar!A140,calendar!I140)</f>
        <v>0</v>
      </c>
    </row>
    <row r="871" spans="1:11" x14ac:dyDescent="0.2">
      <c r="A871" t="s">
        <v>371</v>
      </c>
      <c r="B871" t="s">
        <v>369</v>
      </c>
      <c r="C871" t="s">
        <v>141</v>
      </c>
      <c r="D871">
        <v>3</v>
      </c>
      <c r="E871" s="1">
        <f>_xlfn.XLOOKUP(Sheet1[[#This Row],[day_id]],calendar!A141,calendar!B141)</f>
        <v>40711</v>
      </c>
      <c r="F871" t="str">
        <f>_xlfn.XLOOKUP(Sheet1[[#This Row],[day_id]],calendar!A141,calendar!C141)</f>
        <v>Friday</v>
      </c>
      <c r="G871">
        <f>_xlfn.XLOOKUP(Sheet1[[#This Row],[day_id]],calendar!A141,calendar!E141)</f>
        <v>6</v>
      </c>
      <c r="H871">
        <f>_xlfn.XLOOKUP(Sheet1[[#This Row],[day_id]],calendar!A141,calendar!F141)</f>
        <v>2011</v>
      </c>
      <c r="I871" t="str">
        <f>_xlfn.XLOOKUP(Sheet1[[#This Row],[day_id]],calendar!A141,calendar!J141)</f>
        <v>No Event</v>
      </c>
      <c r="J871" t="str">
        <f>_xlfn.XLOOKUP(Sheet1[[#This Row],[day_id]],calendar!A141,calendar!K141)</f>
        <v>No Event Type</v>
      </c>
      <c r="K871">
        <f>_xlfn.XLOOKUP(calendar!A141,calendar!A141,calendar!I141)</f>
        <v>0</v>
      </c>
    </row>
    <row r="872" spans="1:11" x14ac:dyDescent="0.2">
      <c r="A872" t="s">
        <v>371</v>
      </c>
      <c r="B872" t="s">
        <v>369</v>
      </c>
      <c r="C872" t="s">
        <v>142</v>
      </c>
      <c r="D872">
        <v>12</v>
      </c>
      <c r="E872" s="1">
        <f>_xlfn.XLOOKUP(Sheet1[[#This Row],[day_id]],calendar!A142,calendar!B142)</f>
        <v>40712</v>
      </c>
      <c r="F872" t="str">
        <f>_xlfn.XLOOKUP(Sheet1[[#This Row],[day_id]],calendar!A142,calendar!C142)</f>
        <v>Saturday</v>
      </c>
      <c r="G872">
        <f>_xlfn.XLOOKUP(Sheet1[[#This Row],[day_id]],calendar!A142,calendar!E142)</f>
        <v>6</v>
      </c>
      <c r="H872">
        <f>_xlfn.XLOOKUP(Sheet1[[#This Row],[day_id]],calendar!A142,calendar!F142)</f>
        <v>2011</v>
      </c>
      <c r="I872" t="str">
        <f>_xlfn.XLOOKUP(Sheet1[[#This Row],[day_id]],calendar!A142,calendar!J142)</f>
        <v>No Event</v>
      </c>
      <c r="J872" t="str">
        <f>_xlfn.XLOOKUP(Sheet1[[#This Row],[day_id]],calendar!A142,calendar!K142)</f>
        <v>No Event Type</v>
      </c>
      <c r="K872">
        <f>_xlfn.XLOOKUP(calendar!A142,calendar!A142,calendar!I142)</f>
        <v>0</v>
      </c>
    </row>
    <row r="873" spans="1:11" x14ac:dyDescent="0.2">
      <c r="A873" t="s">
        <v>371</v>
      </c>
      <c r="B873" t="s">
        <v>369</v>
      </c>
      <c r="C873" t="s">
        <v>143</v>
      </c>
      <c r="D873">
        <v>8</v>
      </c>
      <c r="E873" s="1">
        <f>_xlfn.XLOOKUP(Sheet1[[#This Row],[day_id]],calendar!A143,calendar!B143)</f>
        <v>40713</v>
      </c>
      <c r="F873" t="str">
        <f>_xlfn.XLOOKUP(Sheet1[[#This Row],[day_id]],calendar!A143,calendar!C143)</f>
        <v>Sunday</v>
      </c>
      <c r="G873">
        <f>_xlfn.XLOOKUP(Sheet1[[#This Row],[day_id]],calendar!A143,calendar!E143)</f>
        <v>6</v>
      </c>
      <c r="H873">
        <f>_xlfn.XLOOKUP(Sheet1[[#This Row],[day_id]],calendar!A143,calendar!F143)</f>
        <v>2011</v>
      </c>
      <c r="I873" t="str">
        <f>_xlfn.XLOOKUP(Sheet1[[#This Row],[day_id]],calendar!A143,calendar!J143)</f>
        <v>Father's day</v>
      </c>
      <c r="J873" t="str">
        <f>_xlfn.XLOOKUP(Sheet1[[#This Row],[day_id]],calendar!A143,calendar!K143)</f>
        <v>Cultural</v>
      </c>
      <c r="K873">
        <f>_xlfn.XLOOKUP(calendar!A143,calendar!A143,calendar!I143)</f>
        <v>0</v>
      </c>
    </row>
    <row r="874" spans="1:11" x14ac:dyDescent="0.2">
      <c r="A874" t="s">
        <v>371</v>
      </c>
      <c r="B874" t="s">
        <v>369</v>
      </c>
      <c r="C874" t="s">
        <v>144</v>
      </c>
      <c r="D874">
        <v>5</v>
      </c>
      <c r="E874" s="1">
        <f>_xlfn.XLOOKUP(Sheet1[[#This Row],[day_id]],calendar!A144,calendar!B144)</f>
        <v>40714</v>
      </c>
      <c r="F874" t="str">
        <f>_xlfn.XLOOKUP(Sheet1[[#This Row],[day_id]],calendar!A144,calendar!C144)</f>
        <v>Monday</v>
      </c>
      <c r="G874">
        <f>_xlfn.XLOOKUP(Sheet1[[#This Row],[day_id]],calendar!A144,calendar!E144)</f>
        <v>6</v>
      </c>
      <c r="H874">
        <f>_xlfn.XLOOKUP(Sheet1[[#This Row],[day_id]],calendar!A144,calendar!F144)</f>
        <v>2011</v>
      </c>
      <c r="I874" t="str">
        <f>_xlfn.XLOOKUP(Sheet1[[#This Row],[day_id]],calendar!A144,calendar!J144)</f>
        <v>No Event</v>
      </c>
      <c r="J874" t="str">
        <f>_xlfn.XLOOKUP(Sheet1[[#This Row],[day_id]],calendar!A144,calendar!K144)</f>
        <v>No Event Type</v>
      </c>
      <c r="K874">
        <f>_xlfn.XLOOKUP(calendar!A144,calendar!A144,calendar!I144)</f>
        <v>0</v>
      </c>
    </row>
    <row r="875" spans="1:11" x14ac:dyDescent="0.2">
      <c r="A875" t="s">
        <v>371</v>
      </c>
      <c r="B875" t="s">
        <v>369</v>
      </c>
      <c r="C875" t="s">
        <v>145</v>
      </c>
      <c r="D875">
        <v>5</v>
      </c>
      <c r="E875" s="1">
        <f>_xlfn.XLOOKUP(Sheet1[[#This Row],[day_id]],calendar!A145,calendar!B145)</f>
        <v>40715</v>
      </c>
      <c r="F875" t="str">
        <f>_xlfn.XLOOKUP(Sheet1[[#This Row],[day_id]],calendar!A145,calendar!C145)</f>
        <v>Tuesday</v>
      </c>
      <c r="G875">
        <f>_xlfn.XLOOKUP(Sheet1[[#This Row],[day_id]],calendar!A145,calendar!E145)</f>
        <v>6</v>
      </c>
      <c r="H875">
        <f>_xlfn.XLOOKUP(Sheet1[[#This Row],[day_id]],calendar!A145,calendar!F145)</f>
        <v>2011</v>
      </c>
      <c r="I875" t="str">
        <f>_xlfn.XLOOKUP(Sheet1[[#This Row],[day_id]],calendar!A145,calendar!J145)</f>
        <v>No Event</v>
      </c>
      <c r="J875" t="str">
        <f>_xlfn.XLOOKUP(Sheet1[[#This Row],[day_id]],calendar!A145,calendar!K145)</f>
        <v>No Event Type</v>
      </c>
      <c r="K875">
        <f>_xlfn.XLOOKUP(calendar!A145,calendar!A145,calendar!I145)</f>
        <v>0</v>
      </c>
    </row>
    <row r="876" spans="1:11" x14ac:dyDescent="0.2">
      <c r="A876" t="s">
        <v>371</v>
      </c>
      <c r="B876" t="s">
        <v>369</v>
      </c>
      <c r="C876" t="s">
        <v>146</v>
      </c>
      <c r="D876">
        <v>7</v>
      </c>
      <c r="E876" s="1">
        <f>_xlfn.XLOOKUP(Sheet1[[#This Row],[day_id]],calendar!A146,calendar!B146)</f>
        <v>40716</v>
      </c>
      <c r="F876" t="str">
        <f>_xlfn.XLOOKUP(Sheet1[[#This Row],[day_id]],calendar!A146,calendar!C146)</f>
        <v>Wednesday</v>
      </c>
      <c r="G876">
        <f>_xlfn.XLOOKUP(Sheet1[[#This Row],[day_id]],calendar!A146,calendar!E146)</f>
        <v>6</v>
      </c>
      <c r="H876">
        <f>_xlfn.XLOOKUP(Sheet1[[#This Row],[day_id]],calendar!A146,calendar!F146)</f>
        <v>2011</v>
      </c>
      <c r="I876" t="str">
        <f>_xlfn.XLOOKUP(Sheet1[[#This Row],[day_id]],calendar!A146,calendar!J146)</f>
        <v>No Event</v>
      </c>
      <c r="J876" t="str">
        <f>_xlfn.XLOOKUP(Sheet1[[#This Row],[day_id]],calendar!A146,calendar!K146)</f>
        <v>No Event Type</v>
      </c>
      <c r="K876">
        <f>_xlfn.XLOOKUP(calendar!A146,calendar!A146,calendar!I146)</f>
        <v>0</v>
      </c>
    </row>
    <row r="877" spans="1:11" x14ac:dyDescent="0.2">
      <c r="A877" t="s">
        <v>371</v>
      </c>
      <c r="B877" t="s">
        <v>369</v>
      </c>
      <c r="C877" t="s">
        <v>147</v>
      </c>
      <c r="D877">
        <v>9</v>
      </c>
      <c r="E877" s="1">
        <f>_xlfn.XLOOKUP(Sheet1[[#This Row],[day_id]],calendar!A147,calendar!B147)</f>
        <v>40717</v>
      </c>
      <c r="F877" t="str">
        <f>_xlfn.XLOOKUP(Sheet1[[#This Row],[day_id]],calendar!A147,calendar!C147)</f>
        <v>Thursday</v>
      </c>
      <c r="G877">
        <f>_xlfn.XLOOKUP(Sheet1[[#This Row],[day_id]],calendar!A147,calendar!E147)</f>
        <v>6</v>
      </c>
      <c r="H877">
        <f>_xlfn.XLOOKUP(Sheet1[[#This Row],[day_id]],calendar!A147,calendar!F147)</f>
        <v>2011</v>
      </c>
      <c r="I877" t="str">
        <f>_xlfn.XLOOKUP(Sheet1[[#This Row],[day_id]],calendar!A147,calendar!J147)</f>
        <v>No Event</v>
      </c>
      <c r="J877" t="str">
        <f>_xlfn.XLOOKUP(Sheet1[[#This Row],[day_id]],calendar!A147,calendar!K147)</f>
        <v>No Event Type</v>
      </c>
      <c r="K877">
        <f>_xlfn.XLOOKUP(calendar!A147,calendar!A147,calendar!I147)</f>
        <v>0</v>
      </c>
    </row>
    <row r="878" spans="1:11" x14ac:dyDescent="0.2">
      <c r="A878" t="s">
        <v>371</v>
      </c>
      <c r="B878" t="s">
        <v>369</v>
      </c>
      <c r="C878" t="s">
        <v>148</v>
      </c>
      <c r="D878">
        <v>2</v>
      </c>
      <c r="E878" s="1">
        <f>_xlfn.XLOOKUP(Sheet1[[#This Row],[day_id]],calendar!A148,calendar!B148)</f>
        <v>40718</v>
      </c>
      <c r="F878" t="str">
        <f>_xlfn.XLOOKUP(Sheet1[[#This Row],[day_id]],calendar!A148,calendar!C148)</f>
        <v>Friday</v>
      </c>
      <c r="G878">
        <f>_xlfn.XLOOKUP(Sheet1[[#This Row],[day_id]],calendar!A148,calendar!E148)</f>
        <v>6</v>
      </c>
      <c r="H878">
        <f>_xlfn.XLOOKUP(Sheet1[[#This Row],[day_id]],calendar!A148,calendar!F148)</f>
        <v>2011</v>
      </c>
      <c r="I878" t="str">
        <f>_xlfn.XLOOKUP(Sheet1[[#This Row],[day_id]],calendar!A148,calendar!J148)</f>
        <v>No Event</v>
      </c>
      <c r="J878" t="str">
        <f>_xlfn.XLOOKUP(Sheet1[[#This Row],[day_id]],calendar!A148,calendar!K148)</f>
        <v>No Event Type</v>
      </c>
      <c r="K878">
        <f>_xlfn.XLOOKUP(calendar!A148,calendar!A148,calendar!I148)</f>
        <v>0</v>
      </c>
    </row>
    <row r="879" spans="1:11" x14ac:dyDescent="0.2">
      <c r="A879" t="s">
        <v>371</v>
      </c>
      <c r="B879" t="s">
        <v>369</v>
      </c>
      <c r="C879" t="s">
        <v>149</v>
      </c>
      <c r="D879">
        <v>9</v>
      </c>
      <c r="E879" s="1">
        <f>_xlfn.XLOOKUP(Sheet1[[#This Row],[day_id]],calendar!A149,calendar!B149)</f>
        <v>40719</v>
      </c>
      <c r="F879" t="str">
        <f>_xlfn.XLOOKUP(Sheet1[[#This Row],[day_id]],calendar!A149,calendar!C149)</f>
        <v>Saturday</v>
      </c>
      <c r="G879">
        <f>_xlfn.XLOOKUP(Sheet1[[#This Row],[day_id]],calendar!A149,calendar!E149)</f>
        <v>6</v>
      </c>
      <c r="H879">
        <f>_xlfn.XLOOKUP(Sheet1[[#This Row],[day_id]],calendar!A149,calendar!F149)</f>
        <v>2011</v>
      </c>
      <c r="I879" t="str">
        <f>_xlfn.XLOOKUP(Sheet1[[#This Row],[day_id]],calendar!A149,calendar!J149)</f>
        <v>No Event</v>
      </c>
      <c r="J879" t="str">
        <f>_xlfn.XLOOKUP(Sheet1[[#This Row],[day_id]],calendar!A149,calendar!K149)</f>
        <v>No Event Type</v>
      </c>
      <c r="K879">
        <f>_xlfn.XLOOKUP(calendar!A149,calendar!A149,calendar!I149)</f>
        <v>0</v>
      </c>
    </row>
    <row r="880" spans="1:11" x14ac:dyDescent="0.2">
      <c r="A880" t="s">
        <v>371</v>
      </c>
      <c r="B880" t="s">
        <v>369</v>
      </c>
      <c r="C880" t="s">
        <v>150</v>
      </c>
      <c r="D880">
        <v>12</v>
      </c>
      <c r="E880" s="1">
        <f>_xlfn.XLOOKUP(Sheet1[[#This Row],[day_id]],calendar!A150,calendar!B150)</f>
        <v>40720</v>
      </c>
      <c r="F880" t="str">
        <f>_xlfn.XLOOKUP(Sheet1[[#This Row],[day_id]],calendar!A150,calendar!C150)</f>
        <v>Sunday</v>
      </c>
      <c r="G880">
        <f>_xlfn.XLOOKUP(Sheet1[[#This Row],[day_id]],calendar!A150,calendar!E150)</f>
        <v>6</v>
      </c>
      <c r="H880">
        <f>_xlfn.XLOOKUP(Sheet1[[#This Row],[day_id]],calendar!A150,calendar!F150)</f>
        <v>2011</v>
      </c>
      <c r="I880" t="str">
        <f>_xlfn.XLOOKUP(Sheet1[[#This Row],[day_id]],calendar!A150,calendar!J150)</f>
        <v>No Event</v>
      </c>
      <c r="J880" t="str">
        <f>_xlfn.XLOOKUP(Sheet1[[#This Row],[day_id]],calendar!A150,calendar!K150)</f>
        <v>No Event Type</v>
      </c>
      <c r="K880">
        <f>_xlfn.XLOOKUP(calendar!A150,calendar!A150,calendar!I150)</f>
        <v>0</v>
      </c>
    </row>
    <row r="881" spans="1:11" x14ac:dyDescent="0.2">
      <c r="A881" t="s">
        <v>371</v>
      </c>
      <c r="B881" t="s">
        <v>369</v>
      </c>
      <c r="C881" t="s">
        <v>151</v>
      </c>
      <c r="D881">
        <v>17</v>
      </c>
      <c r="E881" s="1">
        <f>_xlfn.XLOOKUP(Sheet1[[#This Row],[day_id]],calendar!A151,calendar!B151)</f>
        <v>40721</v>
      </c>
      <c r="F881" t="str">
        <f>_xlfn.XLOOKUP(Sheet1[[#This Row],[day_id]],calendar!A151,calendar!C151)</f>
        <v>Monday</v>
      </c>
      <c r="G881">
        <f>_xlfn.XLOOKUP(Sheet1[[#This Row],[day_id]],calendar!A151,calendar!E151)</f>
        <v>6</v>
      </c>
      <c r="H881">
        <f>_xlfn.XLOOKUP(Sheet1[[#This Row],[day_id]],calendar!A151,calendar!F151)</f>
        <v>2011</v>
      </c>
      <c r="I881" t="str">
        <f>_xlfn.XLOOKUP(Sheet1[[#This Row],[day_id]],calendar!A151,calendar!J151)</f>
        <v>No Event</v>
      </c>
      <c r="J881" t="str">
        <f>_xlfn.XLOOKUP(Sheet1[[#This Row],[day_id]],calendar!A151,calendar!K151)</f>
        <v>No Event Type</v>
      </c>
      <c r="K881">
        <f>_xlfn.XLOOKUP(calendar!A151,calendar!A151,calendar!I151)</f>
        <v>0</v>
      </c>
    </row>
    <row r="882" spans="1:11" x14ac:dyDescent="0.2">
      <c r="A882" t="s">
        <v>371</v>
      </c>
      <c r="B882" t="s">
        <v>369</v>
      </c>
      <c r="C882" t="s">
        <v>152</v>
      </c>
      <c r="D882">
        <v>5</v>
      </c>
      <c r="E882" s="1">
        <f>_xlfn.XLOOKUP(Sheet1[[#This Row],[day_id]],calendar!A152,calendar!B152)</f>
        <v>40722</v>
      </c>
      <c r="F882" t="str">
        <f>_xlfn.XLOOKUP(Sheet1[[#This Row],[day_id]],calendar!A152,calendar!C152)</f>
        <v>Tuesday</v>
      </c>
      <c r="G882">
        <f>_xlfn.XLOOKUP(Sheet1[[#This Row],[day_id]],calendar!A152,calendar!E152)</f>
        <v>6</v>
      </c>
      <c r="H882">
        <f>_xlfn.XLOOKUP(Sheet1[[#This Row],[day_id]],calendar!A152,calendar!F152)</f>
        <v>2011</v>
      </c>
      <c r="I882" t="str">
        <f>_xlfn.XLOOKUP(Sheet1[[#This Row],[day_id]],calendar!A152,calendar!J152)</f>
        <v>No Event</v>
      </c>
      <c r="J882" t="str">
        <f>_xlfn.XLOOKUP(Sheet1[[#This Row],[day_id]],calendar!A152,calendar!K152)</f>
        <v>No Event Type</v>
      </c>
      <c r="K882">
        <f>_xlfn.XLOOKUP(calendar!A152,calendar!A152,calendar!I152)</f>
        <v>0</v>
      </c>
    </row>
    <row r="883" spans="1:11" x14ac:dyDescent="0.2">
      <c r="A883" t="s">
        <v>371</v>
      </c>
      <c r="B883" t="s">
        <v>369</v>
      </c>
      <c r="C883" t="s">
        <v>153</v>
      </c>
      <c r="D883">
        <v>11</v>
      </c>
      <c r="E883" s="1">
        <f>_xlfn.XLOOKUP(Sheet1[[#This Row],[day_id]],calendar!A153,calendar!B153)</f>
        <v>40723</v>
      </c>
      <c r="F883" t="str">
        <f>_xlfn.XLOOKUP(Sheet1[[#This Row],[day_id]],calendar!A153,calendar!C153)</f>
        <v>Wednesday</v>
      </c>
      <c r="G883">
        <f>_xlfn.XLOOKUP(Sheet1[[#This Row],[day_id]],calendar!A153,calendar!E153)</f>
        <v>6</v>
      </c>
      <c r="H883">
        <f>_xlfn.XLOOKUP(Sheet1[[#This Row],[day_id]],calendar!A153,calendar!F153)</f>
        <v>2011</v>
      </c>
      <c r="I883" t="str">
        <f>_xlfn.XLOOKUP(Sheet1[[#This Row],[day_id]],calendar!A153,calendar!J153)</f>
        <v>No Event</v>
      </c>
      <c r="J883" t="str">
        <f>_xlfn.XLOOKUP(Sheet1[[#This Row],[day_id]],calendar!A153,calendar!K153)</f>
        <v>No Event Type</v>
      </c>
      <c r="K883">
        <f>_xlfn.XLOOKUP(calendar!A153,calendar!A153,calendar!I153)</f>
        <v>0</v>
      </c>
    </row>
    <row r="884" spans="1:11" x14ac:dyDescent="0.2">
      <c r="A884" t="s">
        <v>371</v>
      </c>
      <c r="B884" t="s">
        <v>369</v>
      </c>
      <c r="C884" t="s">
        <v>154</v>
      </c>
      <c r="D884">
        <v>7</v>
      </c>
      <c r="E884" s="1">
        <f>_xlfn.XLOOKUP(Sheet1[[#This Row],[day_id]],calendar!A154,calendar!B154)</f>
        <v>40724</v>
      </c>
      <c r="F884" t="str">
        <f>_xlfn.XLOOKUP(Sheet1[[#This Row],[day_id]],calendar!A154,calendar!C154)</f>
        <v>Thursday</v>
      </c>
      <c r="G884">
        <f>_xlfn.XLOOKUP(Sheet1[[#This Row],[day_id]],calendar!A154,calendar!E154)</f>
        <v>6</v>
      </c>
      <c r="H884">
        <f>_xlfn.XLOOKUP(Sheet1[[#This Row],[day_id]],calendar!A154,calendar!F154)</f>
        <v>2011</v>
      </c>
      <c r="I884" t="str">
        <f>_xlfn.XLOOKUP(Sheet1[[#This Row],[day_id]],calendar!A154,calendar!J154)</f>
        <v>No Event</v>
      </c>
      <c r="J884" t="str">
        <f>_xlfn.XLOOKUP(Sheet1[[#This Row],[day_id]],calendar!A154,calendar!K154)</f>
        <v>No Event Type</v>
      </c>
      <c r="K884">
        <f>_xlfn.XLOOKUP(calendar!A154,calendar!A154,calendar!I154)</f>
        <v>0</v>
      </c>
    </row>
    <row r="885" spans="1:11" x14ac:dyDescent="0.2">
      <c r="A885" t="s">
        <v>371</v>
      </c>
      <c r="B885" t="s">
        <v>369</v>
      </c>
      <c r="C885" t="s">
        <v>155</v>
      </c>
      <c r="D885">
        <v>4</v>
      </c>
      <c r="E885" s="1">
        <f>_xlfn.XLOOKUP(Sheet1[[#This Row],[day_id]],calendar!A155,calendar!B155)</f>
        <v>40725</v>
      </c>
      <c r="F885" t="str">
        <f>_xlfn.XLOOKUP(Sheet1[[#This Row],[day_id]],calendar!A155,calendar!C155)</f>
        <v>Friday</v>
      </c>
      <c r="G885">
        <f>_xlfn.XLOOKUP(Sheet1[[#This Row],[day_id]],calendar!A155,calendar!E155)</f>
        <v>7</v>
      </c>
      <c r="H885">
        <f>_xlfn.XLOOKUP(Sheet1[[#This Row],[day_id]],calendar!A155,calendar!F155)</f>
        <v>2011</v>
      </c>
      <c r="I885" t="str">
        <f>_xlfn.XLOOKUP(Sheet1[[#This Row],[day_id]],calendar!A155,calendar!J155)</f>
        <v>No Event</v>
      </c>
      <c r="J885" t="str">
        <f>_xlfn.XLOOKUP(Sheet1[[#This Row],[day_id]],calendar!A155,calendar!K155)</f>
        <v>No Event Type</v>
      </c>
      <c r="K885">
        <f>_xlfn.XLOOKUP(calendar!A155,calendar!A155,calendar!I155)</f>
        <v>1</v>
      </c>
    </row>
    <row r="886" spans="1:11" x14ac:dyDescent="0.2">
      <c r="A886" t="s">
        <v>371</v>
      </c>
      <c r="B886" t="s">
        <v>369</v>
      </c>
      <c r="C886" t="s">
        <v>156</v>
      </c>
      <c r="D886">
        <v>4</v>
      </c>
      <c r="E886" s="1">
        <f>_xlfn.XLOOKUP(Sheet1[[#This Row],[day_id]],calendar!A156,calendar!B156)</f>
        <v>40726</v>
      </c>
      <c r="F886" t="str">
        <f>_xlfn.XLOOKUP(Sheet1[[#This Row],[day_id]],calendar!A156,calendar!C156)</f>
        <v>Saturday</v>
      </c>
      <c r="G886">
        <f>_xlfn.XLOOKUP(Sheet1[[#This Row],[day_id]],calendar!A156,calendar!E156)</f>
        <v>7</v>
      </c>
      <c r="H886">
        <f>_xlfn.XLOOKUP(Sheet1[[#This Row],[day_id]],calendar!A156,calendar!F156)</f>
        <v>2011</v>
      </c>
      <c r="I886" t="str">
        <f>_xlfn.XLOOKUP(Sheet1[[#This Row],[day_id]],calendar!A156,calendar!J156)</f>
        <v>No Event</v>
      </c>
      <c r="J886" t="str">
        <f>_xlfn.XLOOKUP(Sheet1[[#This Row],[day_id]],calendar!A156,calendar!K156)</f>
        <v>No Event Type</v>
      </c>
      <c r="K886">
        <f>_xlfn.XLOOKUP(calendar!A156,calendar!A156,calendar!I156)</f>
        <v>1</v>
      </c>
    </row>
    <row r="887" spans="1:11" x14ac:dyDescent="0.2">
      <c r="A887" t="s">
        <v>371</v>
      </c>
      <c r="B887" t="s">
        <v>369</v>
      </c>
      <c r="C887" t="s">
        <v>157</v>
      </c>
      <c r="D887">
        <v>9</v>
      </c>
      <c r="E887" s="1">
        <f>_xlfn.XLOOKUP(Sheet1[[#This Row],[day_id]],calendar!A157,calendar!B157)</f>
        <v>40727</v>
      </c>
      <c r="F887" t="str">
        <f>_xlfn.XLOOKUP(Sheet1[[#This Row],[day_id]],calendar!A157,calendar!C157)</f>
        <v>Sunday</v>
      </c>
      <c r="G887">
        <f>_xlfn.XLOOKUP(Sheet1[[#This Row],[day_id]],calendar!A157,calendar!E157)</f>
        <v>7</v>
      </c>
      <c r="H887">
        <f>_xlfn.XLOOKUP(Sheet1[[#This Row],[day_id]],calendar!A157,calendar!F157)</f>
        <v>2011</v>
      </c>
      <c r="I887" t="str">
        <f>_xlfn.XLOOKUP(Sheet1[[#This Row],[day_id]],calendar!A157,calendar!J157)</f>
        <v>No Event</v>
      </c>
      <c r="J887" t="str">
        <f>_xlfn.XLOOKUP(Sheet1[[#This Row],[day_id]],calendar!A157,calendar!K157)</f>
        <v>No Event Type</v>
      </c>
      <c r="K887">
        <f>_xlfn.XLOOKUP(calendar!A157,calendar!A157,calendar!I157)</f>
        <v>1</v>
      </c>
    </row>
    <row r="888" spans="1:11" x14ac:dyDescent="0.2">
      <c r="A888" t="s">
        <v>371</v>
      </c>
      <c r="B888" t="s">
        <v>369</v>
      </c>
      <c r="C888" t="s">
        <v>158</v>
      </c>
      <c r="D888">
        <v>1</v>
      </c>
      <c r="E888" s="1">
        <f>_xlfn.XLOOKUP(Sheet1[[#This Row],[day_id]],calendar!A158,calendar!B158)</f>
        <v>40728</v>
      </c>
      <c r="F888" t="str">
        <f>_xlfn.XLOOKUP(Sheet1[[#This Row],[day_id]],calendar!A158,calendar!C158)</f>
        <v>Monday</v>
      </c>
      <c r="G888">
        <f>_xlfn.XLOOKUP(Sheet1[[#This Row],[day_id]],calendar!A158,calendar!E158)</f>
        <v>7</v>
      </c>
      <c r="H888">
        <f>_xlfn.XLOOKUP(Sheet1[[#This Row],[day_id]],calendar!A158,calendar!F158)</f>
        <v>2011</v>
      </c>
      <c r="I888" t="str">
        <f>_xlfn.XLOOKUP(Sheet1[[#This Row],[day_id]],calendar!A158,calendar!J158)</f>
        <v>IndependenceDay</v>
      </c>
      <c r="J888" t="str">
        <f>_xlfn.XLOOKUP(Sheet1[[#This Row],[day_id]],calendar!A158,calendar!K158)</f>
        <v>National</v>
      </c>
      <c r="K888">
        <f>_xlfn.XLOOKUP(calendar!A158,calendar!A158,calendar!I158)</f>
        <v>1</v>
      </c>
    </row>
    <row r="889" spans="1:11" x14ac:dyDescent="0.2">
      <c r="A889" t="s">
        <v>371</v>
      </c>
      <c r="B889" t="s">
        <v>369</v>
      </c>
      <c r="C889" t="s">
        <v>159</v>
      </c>
      <c r="D889">
        <v>5</v>
      </c>
      <c r="E889" s="1">
        <f>_xlfn.XLOOKUP(Sheet1[[#This Row],[day_id]],calendar!A159,calendar!B159)</f>
        <v>40729</v>
      </c>
      <c r="F889" t="str">
        <f>_xlfn.XLOOKUP(Sheet1[[#This Row],[day_id]],calendar!A159,calendar!C159)</f>
        <v>Tuesday</v>
      </c>
      <c r="G889">
        <f>_xlfn.XLOOKUP(Sheet1[[#This Row],[day_id]],calendar!A159,calendar!E159)</f>
        <v>7</v>
      </c>
      <c r="H889">
        <f>_xlfn.XLOOKUP(Sheet1[[#This Row],[day_id]],calendar!A159,calendar!F159)</f>
        <v>2011</v>
      </c>
      <c r="I889" t="str">
        <f>_xlfn.XLOOKUP(Sheet1[[#This Row],[day_id]],calendar!A159,calendar!J159)</f>
        <v>No Event</v>
      </c>
      <c r="J889" t="str">
        <f>_xlfn.XLOOKUP(Sheet1[[#This Row],[day_id]],calendar!A159,calendar!K159)</f>
        <v>No Event Type</v>
      </c>
      <c r="K889">
        <f>_xlfn.XLOOKUP(calendar!A159,calendar!A159,calendar!I159)</f>
        <v>1</v>
      </c>
    </row>
    <row r="890" spans="1:11" x14ac:dyDescent="0.2">
      <c r="A890" t="s">
        <v>371</v>
      </c>
      <c r="B890" t="s">
        <v>369</v>
      </c>
      <c r="C890" t="s">
        <v>160</v>
      </c>
      <c r="D890">
        <v>3</v>
      </c>
      <c r="E890" s="1">
        <f>_xlfn.XLOOKUP(Sheet1[[#This Row],[day_id]],calendar!A160,calendar!B160)</f>
        <v>40730</v>
      </c>
      <c r="F890" t="str">
        <f>_xlfn.XLOOKUP(Sheet1[[#This Row],[day_id]],calendar!A160,calendar!C160)</f>
        <v>Wednesday</v>
      </c>
      <c r="G890">
        <f>_xlfn.XLOOKUP(Sheet1[[#This Row],[day_id]],calendar!A160,calendar!E160)</f>
        <v>7</v>
      </c>
      <c r="H890">
        <f>_xlfn.XLOOKUP(Sheet1[[#This Row],[day_id]],calendar!A160,calendar!F160)</f>
        <v>2011</v>
      </c>
      <c r="I890" t="str">
        <f>_xlfn.XLOOKUP(Sheet1[[#This Row],[day_id]],calendar!A160,calendar!J160)</f>
        <v>No Event</v>
      </c>
      <c r="J890" t="str">
        <f>_xlfn.XLOOKUP(Sheet1[[#This Row],[day_id]],calendar!A160,calendar!K160)</f>
        <v>No Event Type</v>
      </c>
      <c r="K890">
        <f>_xlfn.XLOOKUP(calendar!A160,calendar!A160,calendar!I160)</f>
        <v>1</v>
      </c>
    </row>
    <row r="891" spans="1:11" x14ac:dyDescent="0.2">
      <c r="A891" t="s">
        <v>371</v>
      </c>
      <c r="B891" t="s">
        <v>369</v>
      </c>
      <c r="C891" t="s">
        <v>161</v>
      </c>
      <c r="D891">
        <v>4</v>
      </c>
      <c r="E891" s="1">
        <f>_xlfn.XLOOKUP(Sheet1[[#This Row],[day_id]],calendar!A161,calendar!B161)</f>
        <v>40731</v>
      </c>
      <c r="F891" t="str">
        <f>_xlfn.XLOOKUP(Sheet1[[#This Row],[day_id]],calendar!A161,calendar!C161)</f>
        <v>Thursday</v>
      </c>
      <c r="G891">
        <f>_xlfn.XLOOKUP(Sheet1[[#This Row],[day_id]],calendar!A161,calendar!E161)</f>
        <v>7</v>
      </c>
      <c r="H891">
        <f>_xlfn.XLOOKUP(Sheet1[[#This Row],[day_id]],calendar!A161,calendar!F161)</f>
        <v>2011</v>
      </c>
      <c r="I891" t="str">
        <f>_xlfn.XLOOKUP(Sheet1[[#This Row],[day_id]],calendar!A161,calendar!J161)</f>
        <v>No Event</v>
      </c>
      <c r="J891" t="str">
        <f>_xlfn.XLOOKUP(Sheet1[[#This Row],[day_id]],calendar!A161,calendar!K161)</f>
        <v>No Event Type</v>
      </c>
      <c r="K891">
        <f>_xlfn.XLOOKUP(calendar!A161,calendar!A161,calendar!I161)</f>
        <v>1</v>
      </c>
    </row>
    <row r="892" spans="1:11" x14ac:dyDescent="0.2">
      <c r="A892" t="s">
        <v>371</v>
      </c>
      <c r="B892" t="s">
        <v>369</v>
      </c>
      <c r="C892" t="s">
        <v>162</v>
      </c>
      <c r="D892">
        <v>5</v>
      </c>
      <c r="E892" s="1">
        <f>_xlfn.XLOOKUP(Sheet1[[#This Row],[day_id]],calendar!A162,calendar!B162)</f>
        <v>40732</v>
      </c>
      <c r="F892" t="str">
        <f>_xlfn.XLOOKUP(Sheet1[[#This Row],[day_id]],calendar!A162,calendar!C162)</f>
        <v>Friday</v>
      </c>
      <c r="G892">
        <f>_xlfn.XLOOKUP(Sheet1[[#This Row],[day_id]],calendar!A162,calendar!E162)</f>
        <v>7</v>
      </c>
      <c r="H892">
        <f>_xlfn.XLOOKUP(Sheet1[[#This Row],[day_id]],calendar!A162,calendar!F162)</f>
        <v>2011</v>
      </c>
      <c r="I892" t="str">
        <f>_xlfn.XLOOKUP(Sheet1[[#This Row],[day_id]],calendar!A162,calendar!J162)</f>
        <v>No Event</v>
      </c>
      <c r="J892" t="str">
        <f>_xlfn.XLOOKUP(Sheet1[[#This Row],[day_id]],calendar!A162,calendar!K162)</f>
        <v>No Event Type</v>
      </c>
      <c r="K892">
        <f>_xlfn.XLOOKUP(calendar!A162,calendar!A162,calendar!I162)</f>
        <v>1</v>
      </c>
    </row>
    <row r="893" spans="1:11" x14ac:dyDescent="0.2">
      <c r="A893" t="s">
        <v>371</v>
      </c>
      <c r="B893" t="s">
        <v>369</v>
      </c>
      <c r="C893" t="s">
        <v>163</v>
      </c>
      <c r="D893">
        <v>3</v>
      </c>
      <c r="E893" s="1">
        <f>_xlfn.XLOOKUP(Sheet1[[#This Row],[day_id]],calendar!A163,calendar!B163)</f>
        <v>40733</v>
      </c>
      <c r="F893" t="str">
        <f>_xlfn.XLOOKUP(Sheet1[[#This Row],[day_id]],calendar!A163,calendar!C163)</f>
        <v>Saturday</v>
      </c>
      <c r="G893">
        <f>_xlfn.XLOOKUP(Sheet1[[#This Row],[day_id]],calendar!A163,calendar!E163)</f>
        <v>7</v>
      </c>
      <c r="H893">
        <f>_xlfn.XLOOKUP(Sheet1[[#This Row],[day_id]],calendar!A163,calendar!F163)</f>
        <v>2011</v>
      </c>
      <c r="I893" t="str">
        <f>_xlfn.XLOOKUP(Sheet1[[#This Row],[day_id]],calendar!A163,calendar!J163)</f>
        <v>No Event</v>
      </c>
      <c r="J893" t="str">
        <f>_xlfn.XLOOKUP(Sheet1[[#This Row],[day_id]],calendar!A163,calendar!K163)</f>
        <v>No Event Type</v>
      </c>
      <c r="K893">
        <f>_xlfn.XLOOKUP(calendar!A163,calendar!A163,calendar!I163)</f>
        <v>1</v>
      </c>
    </row>
    <row r="894" spans="1:11" x14ac:dyDescent="0.2">
      <c r="A894" t="s">
        <v>371</v>
      </c>
      <c r="B894" t="s">
        <v>369</v>
      </c>
      <c r="C894" t="s">
        <v>164</v>
      </c>
      <c r="D894">
        <v>2</v>
      </c>
      <c r="E894" s="1">
        <f>_xlfn.XLOOKUP(Sheet1[[#This Row],[day_id]],calendar!A164,calendar!B164)</f>
        <v>40734</v>
      </c>
      <c r="F894" t="str">
        <f>_xlfn.XLOOKUP(Sheet1[[#This Row],[day_id]],calendar!A164,calendar!C164)</f>
        <v>Sunday</v>
      </c>
      <c r="G894">
        <f>_xlfn.XLOOKUP(Sheet1[[#This Row],[day_id]],calendar!A164,calendar!E164)</f>
        <v>7</v>
      </c>
      <c r="H894">
        <f>_xlfn.XLOOKUP(Sheet1[[#This Row],[day_id]],calendar!A164,calendar!F164)</f>
        <v>2011</v>
      </c>
      <c r="I894" t="str">
        <f>_xlfn.XLOOKUP(Sheet1[[#This Row],[day_id]],calendar!A164,calendar!J164)</f>
        <v>No Event</v>
      </c>
      <c r="J894" t="str">
        <f>_xlfn.XLOOKUP(Sheet1[[#This Row],[day_id]],calendar!A164,calendar!K164)</f>
        <v>No Event Type</v>
      </c>
      <c r="K894">
        <f>_xlfn.XLOOKUP(calendar!A164,calendar!A164,calendar!I164)</f>
        <v>1</v>
      </c>
    </row>
    <row r="895" spans="1:11" x14ac:dyDescent="0.2">
      <c r="A895" t="s">
        <v>371</v>
      </c>
      <c r="B895" t="s">
        <v>369</v>
      </c>
      <c r="C895" t="s">
        <v>165</v>
      </c>
      <c r="D895">
        <v>3</v>
      </c>
      <c r="E895" s="1">
        <f>_xlfn.XLOOKUP(Sheet1[[#This Row],[day_id]],calendar!A165,calendar!B165)</f>
        <v>40735</v>
      </c>
      <c r="F895" t="str">
        <f>_xlfn.XLOOKUP(Sheet1[[#This Row],[day_id]],calendar!A165,calendar!C165)</f>
        <v>Monday</v>
      </c>
      <c r="G895">
        <f>_xlfn.XLOOKUP(Sheet1[[#This Row],[day_id]],calendar!A165,calendar!E165)</f>
        <v>7</v>
      </c>
      <c r="H895">
        <f>_xlfn.XLOOKUP(Sheet1[[#This Row],[day_id]],calendar!A165,calendar!F165)</f>
        <v>2011</v>
      </c>
      <c r="I895" t="str">
        <f>_xlfn.XLOOKUP(Sheet1[[#This Row],[day_id]],calendar!A165,calendar!J165)</f>
        <v>No Event</v>
      </c>
      <c r="J895" t="str">
        <f>_xlfn.XLOOKUP(Sheet1[[#This Row],[day_id]],calendar!A165,calendar!K165)</f>
        <v>No Event Type</v>
      </c>
      <c r="K895">
        <f>_xlfn.XLOOKUP(calendar!A165,calendar!A165,calendar!I165)</f>
        <v>0</v>
      </c>
    </row>
    <row r="896" spans="1:11" x14ac:dyDescent="0.2">
      <c r="A896" t="s">
        <v>371</v>
      </c>
      <c r="B896" t="s">
        <v>369</v>
      </c>
      <c r="C896" t="s">
        <v>166</v>
      </c>
      <c r="D896">
        <v>0</v>
      </c>
      <c r="E896" s="1">
        <f>_xlfn.XLOOKUP(Sheet1[[#This Row],[day_id]],calendar!A166,calendar!B166)</f>
        <v>40736</v>
      </c>
      <c r="F896" t="str">
        <f>_xlfn.XLOOKUP(Sheet1[[#This Row],[day_id]],calendar!A166,calendar!C166)</f>
        <v>Tuesday</v>
      </c>
      <c r="G896">
        <f>_xlfn.XLOOKUP(Sheet1[[#This Row],[day_id]],calendar!A166,calendar!E166)</f>
        <v>7</v>
      </c>
      <c r="H896">
        <f>_xlfn.XLOOKUP(Sheet1[[#This Row],[day_id]],calendar!A166,calendar!F166)</f>
        <v>2011</v>
      </c>
      <c r="I896" t="str">
        <f>_xlfn.XLOOKUP(Sheet1[[#This Row],[day_id]],calendar!A166,calendar!J166)</f>
        <v>No Event</v>
      </c>
      <c r="J896" t="str">
        <f>_xlfn.XLOOKUP(Sheet1[[#This Row],[day_id]],calendar!A166,calendar!K166)</f>
        <v>No Event Type</v>
      </c>
      <c r="K896">
        <f>_xlfn.XLOOKUP(calendar!A166,calendar!A166,calendar!I166)</f>
        <v>0</v>
      </c>
    </row>
    <row r="897" spans="1:11" x14ac:dyDescent="0.2">
      <c r="A897" t="s">
        <v>371</v>
      </c>
      <c r="B897" t="s">
        <v>369</v>
      </c>
      <c r="C897" t="s">
        <v>167</v>
      </c>
      <c r="D897">
        <v>9</v>
      </c>
      <c r="E897" s="1">
        <f>_xlfn.XLOOKUP(Sheet1[[#This Row],[day_id]],calendar!A167,calendar!B167)</f>
        <v>40737</v>
      </c>
      <c r="F897" t="str">
        <f>_xlfn.XLOOKUP(Sheet1[[#This Row],[day_id]],calendar!A167,calendar!C167)</f>
        <v>Wednesday</v>
      </c>
      <c r="G897">
        <f>_xlfn.XLOOKUP(Sheet1[[#This Row],[day_id]],calendar!A167,calendar!E167)</f>
        <v>7</v>
      </c>
      <c r="H897">
        <f>_xlfn.XLOOKUP(Sheet1[[#This Row],[day_id]],calendar!A167,calendar!F167)</f>
        <v>2011</v>
      </c>
      <c r="I897" t="str">
        <f>_xlfn.XLOOKUP(Sheet1[[#This Row],[day_id]],calendar!A167,calendar!J167)</f>
        <v>No Event</v>
      </c>
      <c r="J897" t="str">
        <f>_xlfn.XLOOKUP(Sheet1[[#This Row],[day_id]],calendar!A167,calendar!K167)</f>
        <v>No Event Type</v>
      </c>
      <c r="K897">
        <f>_xlfn.XLOOKUP(calendar!A167,calendar!A167,calendar!I167)</f>
        <v>0</v>
      </c>
    </row>
    <row r="898" spans="1:11" x14ac:dyDescent="0.2">
      <c r="A898" t="s">
        <v>371</v>
      </c>
      <c r="B898" t="s">
        <v>369</v>
      </c>
      <c r="C898" t="s">
        <v>168</v>
      </c>
      <c r="D898">
        <v>9</v>
      </c>
      <c r="E898" s="1">
        <f>_xlfn.XLOOKUP(Sheet1[[#This Row],[day_id]],calendar!A168,calendar!B168)</f>
        <v>40738</v>
      </c>
      <c r="F898" t="str">
        <f>_xlfn.XLOOKUP(Sheet1[[#This Row],[day_id]],calendar!A168,calendar!C168)</f>
        <v>Thursday</v>
      </c>
      <c r="G898">
        <f>_xlfn.XLOOKUP(Sheet1[[#This Row],[day_id]],calendar!A168,calendar!E168)</f>
        <v>7</v>
      </c>
      <c r="H898">
        <f>_xlfn.XLOOKUP(Sheet1[[#This Row],[day_id]],calendar!A168,calendar!F168)</f>
        <v>2011</v>
      </c>
      <c r="I898" t="str">
        <f>_xlfn.XLOOKUP(Sheet1[[#This Row],[day_id]],calendar!A168,calendar!J168)</f>
        <v>No Event</v>
      </c>
      <c r="J898" t="str">
        <f>_xlfn.XLOOKUP(Sheet1[[#This Row],[day_id]],calendar!A168,calendar!K168)</f>
        <v>No Event Type</v>
      </c>
      <c r="K898">
        <f>_xlfn.XLOOKUP(calendar!A168,calendar!A168,calendar!I168)</f>
        <v>0</v>
      </c>
    </row>
    <row r="899" spans="1:11" x14ac:dyDescent="0.2">
      <c r="A899" t="s">
        <v>371</v>
      </c>
      <c r="B899" t="s">
        <v>369</v>
      </c>
      <c r="C899" t="s">
        <v>169</v>
      </c>
      <c r="D899">
        <v>11</v>
      </c>
      <c r="E899" s="1">
        <f>_xlfn.XLOOKUP(Sheet1[[#This Row],[day_id]],calendar!A169,calendar!B169)</f>
        <v>40739</v>
      </c>
      <c r="F899" t="str">
        <f>_xlfn.XLOOKUP(Sheet1[[#This Row],[day_id]],calendar!A169,calendar!C169)</f>
        <v>Friday</v>
      </c>
      <c r="G899">
        <f>_xlfn.XLOOKUP(Sheet1[[#This Row],[day_id]],calendar!A169,calendar!E169)</f>
        <v>7</v>
      </c>
      <c r="H899">
        <f>_xlfn.XLOOKUP(Sheet1[[#This Row],[day_id]],calendar!A169,calendar!F169)</f>
        <v>2011</v>
      </c>
      <c r="I899" t="str">
        <f>_xlfn.XLOOKUP(Sheet1[[#This Row],[day_id]],calendar!A169,calendar!J169)</f>
        <v>No Event</v>
      </c>
      <c r="J899" t="str">
        <f>_xlfn.XLOOKUP(Sheet1[[#This Row],[day_id]],calendar!A169,calendar!K169)</f>
        <v>No Event Type</v>
      </c>
      <c r="K899">
        <f>_xlfn.XLOOKUP(calendar!A169,calendar!A169,calendar!I169)</f>
        <v>0</v>
      </c>
    </row>
    <row r="900" spans="1:11" x14ac:dyDescent="0.2">
      <c r="A900" t="s">
        <v>371</v>
      </c>
      <c r="B900" t="s">
        <v>369</v>
      </c>
      <c r="C900" t="s">
        <v>170</v>
      </c>
      <c r="D900">
        <v>8</v>
      </c>
      <c r="E900" s="1">
        <f>_xlfn.XLOOKUP(Sheet1[[#This Row],[day_id]],calendar!A170,calendar!B170)</f>
        <v>40740</v>
      </c>
      <c r="F900" t="str">
        <f>_xlfn.XLOOKUP(Sheet1[[#This Row],[day_id]],calendar!A170,calendar!C170)</f>
        <v>Saturday</v>
      </c>
      <c r="G900">
        <f>_xlfn.XLOOKUP(Sheet1[[#This Row],[day_id]],calendar!A170,calendar!E170)</f>
        <v>7</v>
      </c>
      <c r="H900">
        <f>_xlfn.XLOOKUP(Sheet1[[#This Row],[day_id]],calendar!A170,calendar!F170)</f>
        <v>2011</v>
      </c>
      <c r="I900" t="str">
        <f>_xlfn.XLOOKUP(Sheet1[[#This Row],[day_id]],calendar!A170,calendar!J170)</f>
        <v>No Event</v>
      </c>
      <c r="J900" t="str">
        <f>_xlfn.XLOOKUP(Sheet1[[#This Row],[day_id]],calendar!A170,calendar!K170)</f>
        <v>No Event Type</v>
      </c>
      <c r="K900">
        <f>_xlfn.XLOOKUP(calendar!A170,calendar!A170,calendar!I170)</f>
        <v>0</v>
      </c>
    </row>
    <row r="901" spans="1:11" x14ac:dyDescent="0.2">
      <c r="A901" t="s">
        <v>371</v>
      </c>
      <c r="B901" t="s">
        <v>369</v>
      </c>
      <c r="C901" t="s">
        <v>171</v>
      </c>
      <c r="D901">
        <v>17</v>
      </c>
      <c r="E901" s="1">
        <f>_xlfn.XLOOKUP(Sheet1[[#This Row],[day_id]],calendar!A171,calendar!B171)</f>
        <v>40741</v>
      </c>
      <c r="F901" t="str">
        <f>_xlfn.XLOOKUP(Sheet1[[#This Row],[day_id]],calendar!A171,calendar!C171)</f>
        <v>Sunday</v>
      </c>
      <c r="G901">
        <f>_xlfn.XLOOKUP(Sheet1[[#This Row],[day_id]],calendar!A171,calendar!E171)</f>
        <v>7</v>
      </c>
      <c r="H901">
        <f>_xlfn.XLOOKUP(Sheet1[[#This Row],[day_id]],calendar!A171,calendar!F171)</f>
        <v>2011</v>
      </c>
      <c r="I901" t="str">
        <f>_xlfn.XLOOKUP(Sheet1[[#This Row],[day_id]],calendar!A171,calendar!J171)</f>
        <v>No Event</v>
      </c>
      <c r="J901" t="str">
        <f>_xlfn.XLOOKUP(Sheet1[[#This Row],[day_id]],calendar!A171,calendar!K171)</f>
        <v>No Event Type</v>
      </c>
      <c r="K901">
        <f>_xlfn.XLOOKUP(calendar!A171,calendar!A171,calendar!I171)</f>
        <v>0</v>
      </c>
    </row>
    <row r="902" spans="1:11" x14ac:dyDescent="0.2">
      <c r="A902" t="s">
        <v>371</v>
      </c>
      <c r="B902" t="s">
        <v>369</v>
      </c>
      <c r="C902" t="s">
        <v>172</v>
      </c>
      <c r="D902">
        <v>8</v>
      </c>
      <c r="E902" s="1">
        <f>_xlfn.XLOOKUP(Sheet1[[#This Row],[day_id]],calendar!A172,calendar!B172)</f>
        <v>40742</v>
      </c>
      <c r="F902" t="str">
        <f>_xlfn.XLOOKUP(Sheet1[[#This Row],[day_id]],calendar!A172,calendar!C172)</f>
        <v>Monday</v>
      </c>
      <c r="G902">
        <f>_xlfn.XLOOKUP(Sheet1[[#This Row],[day_id]],calendar!A172,calendar!E172)</f>
        <v>7</v>
      </c>
      <c r="H902">
        <f>_xlfn.XLOOKUP(Sheet1[[#This Row],[day_id]],calendar!A172,calendar!F172)</f>
        <v>2011</v>
      </c>
      <c r="I902" t="str">
        <f>_xlfn.XLOOKUP(Sheet1[[#This Row],[day_id]],calendar!A172,calendar!J172)</f>
        <v>No Event</v>
      </c>
      <c r="J902" t="str">
        <f>_xlfn.XLOOKUP(Sheet1[[#This Row],[day_id]],calendar!A172,calendar!K172)</f>
        <v>No Event Type</v>
      </c>
      <c r="K902">
        <f>_xlfn.XLOOKUP(calendar!A172,calendar!A172,calendar!I172)</f>
        <v>0</v>
      </c>
    </row>
    <row r="903" spans="1:11" x14ac:dyDescent="0.2">
      <c r="A903" t="s">
        <v>371</v>
      </c>
      <c r="B903" t="s">
        <v>369</v>
      </c>
      <c r="C903" t="s">
        <v>173</v>
      </c>
      <c r="D903">
        <v>4</v>
      </c>
      <c r="E903" s="1">
        <f>_xlfn.XLOOKUP(Sheet1[[#This Row],[day_id]],calendar!A173,calendar!B173)</f>
        <v>40743</v>
      </c>
      <c r="F903" t="str">
        <f>_xlfn.XLOOKUP(Sheet1[[#This Row],[day_id]],calendar!A173,calendar!C173)</f>
        <v>Tuesday</v>
      </c>
      <c r="G903">
        <f>_xlfn.XLOOKUP(Sheet1[[#This Row],[day_id]],calendar!A173,calendar!E173)</f>
        <v>7</v>
      </c>
      <c r="H903">
        <f>_xlfn.XLOOKUP(Sheet1[[#This Row],[day_id]],calendar!A173,calendar!F173)</f>
        <v>2011</v>
      </c>
      <c r="I903" t="str">
        <f>_xlfn.XLOOKUP(Sheet1[[#This Row],[day_id]],calendar!A173,calendar!J173)</f>
        <v>No Event</v>
      </c>
      <c r="J903" t="str">
        <f>_xlfn.XLOOKUP(Sheet1[[#This Row],[day_id]],calendar!A173,calendar!K173)</f>
        <v>No Event Type</v>
      </c>
      <c r="K903">
        <f>_xlfn.XLOOKUP(calendar!A173,calendar!A173,calendar!I173)</f>
        <v>0</v>
      </c>
    </row>
    <row r="904" spans="1:11" x14ac:dyDescent="0.2">
      <c r="A904" t="s">
        <v>371</v>
      </c>
      <c r="B904" t="s">
        <v>369</v>
      </c>
      <c r="C904" t="s">
        <v>174</v>
      </c>
      <c r="D904">
        <v>14</v>
      </c>
      <c r="E904" s="1">
        <f>_xlfn.XLOOKUP(Sheet1[[#This Row],[day_id]],calendar!A174,calendar!B174)</f>
        <v>40744</v>
      </c>
      <c r="F904" t="str">
        <f>_xlfn.XLOOKUP(Sheet1[[#This Row],[day_id]],calendar!A174,calendar!C174)</f>
        <v>Wednesday</v>
      </c>
      <c r="G904">
        <f>_xlfn.XLOOKUP(Sheet1[[#This Row],[day_id]],calendar!A174,calendar!E174)</f>
        <v>7</v>
      </c>
      <c r="H904">
        <f>_xlfn.XLOOKUP(Sheet1[[#This Row],[day_id]],calendar!A174,calendar!F174)</f>
        <v>2011</v>
      </c>
      <c r="I904" t="str">
        <f>_xlfn.XLOOKUP(Sheet1[[#This Row],[day_id]],calendar!A174,calendar!J174)</f>
        <v>No Event</v>
      </c>
      <c r="J904" t="str">
        <f>_xlfn.XLOOKUP(Sheet1[[#This Row],[day_id]],calendar!A174,calendar!K174)</f>
        <v>No Event Type</v>
      </c>
      <c r="K904">
        <f>_xlfn.XLOOKUP(calendar!A174,calendar!A174,calendar!I174)</f>
        <v>0</v>
      </c>
    </row>
    <row r="905" spans="1:11" x14ac:dyDescent="0.2">
      <c r="A905" t="s">
        <v>371</v>
      </c>
      <c r="B905" t="s">
        <v>369</v>
      </c>
      <c r="C905" t="s">
        <v>175</v>
      </c>
      <c r="D905">
        <v>10</v>
      </c>
      <c r="E905" s="1">
        <f>_xlfn.XLOOKUP(Sheet1[[#This Row],[day_id]],calendar!A175,calendar!B175)</f>
        <v>40745</v>
      </c>
      <c r="F905" t="str">
        <f>_xlfn.XLOOKUP(Sheet1[[#This Row],[day_id]],calendar!A175,calendar!C175)</f>
        <v>Thursday</v>
      </c>
      <c r="G905">
        <f>_xlfn.XLOOKUP(Sheet1[[#This Row],[day_id]],calendar!A175,calendar!E175)</f>
        <v>7</v>
      </c>
      <c r="H905">
        <f>_xlfn.XLOOKUP(Sheet1[[#This Row],[day_id]],calendar!A175,calendar!F175)</f>
        <v>2011</v>
      </c>
      <c r="I905" t="str">
        <f>_xlfn.XLOOKUP(Sheet1[[#This Row],[day_id]],calendar!A175,calendar!J175)</f>
        <v>No Event</v>
      </c>
      <c r="J905" t="str">
        <f>_xlfn.XLOOKUP(Sheet1[[#This Row],[day_id]],calendar!A175,calendar!K175)</f>
        <v>No Event Type</v>
      </c>
      <c r="K905">
        <f>_xlfn.XLOOKUP(calendar!A175,calendar!A175,calendar!I175)</f>
        <v>0</v>
      </c>
    </row>
    <row r="906" spans="1:11" x14ac:dyDescent="0.2">
      <c r="A906" t="s">
        <v>371</v>
      </c>
      <c r="B906" t="s">
        <v>369</v>
      </c>
      <c r="C906" t="s">
        <v>176</v>
      </c>
      <c r="D906">
        <v>9</v>
      </c>
      <c r="E906" s="1">
        <f>_xlfn.XLOOKUP(Sheet1[[#This Row],[day_id]],calendar!A176,calendar!B176)</f>
        <v>40746</v>
      </c>
      <c r="F906" t="str">
        <f>_xlfn.XLOOKUP(Sheet1[[#This Row],[day_id]],calendar!A176,calendar!C176)</f>
        <v>Friday</v>
      </c>
      <c r="G906">
        <f>_xlfn.XLOOKUP(Sheet1[[#This Row],[day_id]],calendar!A176,calendar!E176)</f>
        <v>7</v>
      </c>
      <c r="H906">
        <f>_xlfn.XLOOKUP(Sheet1[[#This Row],[day_id]],calendar!A176,calendar!F176)</f>
        <v>2011</v>
      </c>
      <c r="I906" t="str">
        <f>_xlfn.XLOOKUP(Sheet1[[#This Row],[day_id]],calendar!A176,calendar!J176)</f>
        <v>No Event</v>
      </c>
      <c r="J906" t="str">
        <f>_xlfn.XLOOKUP(Sheet1[[#This Row],[day_id]],calendar!A176,calendar!K176)</f>
        <v>No Event Type</v>
      </c>
      <c r="K906">
        <f>_xlfn.XLOOKUP(calendar!A176,calendar!A176,calendar!I176)</f>
        <v>0</v>
      </c>
    </row>
    <row r="907" spans="1:11" x14ac:dyDescent="0.2">
      <c r="A907" t="s">
        <v>371</v>
      </c>
      <c r="B907" t="s">
        <v>369</v>
      </c>
      <c r="C907" t="s">
        <v>177</v>
      </c>
      <c r="D907">
        <v>22</v>
      </c>
      <c r="E907" s="1">
        <f>_xlfn.XLOOKUP(Sheet1[[#This Row],[day_id]],calendar!A177,calendar!B177)</f>
        <v>40747</v>
      </c>
      <c r="F907" t="str">
        <f>_xlfn.XLOOKUP(Sheet1[[#This Row],[day_id]],calendar!A177,calendar!C177)</f>
        <v>Saturday</v>
      </c>
      <c r="G907">
        <f>_xlfn.XLOOKUP(Sheet1[[#This Row],[day_id]],calendar!A177,calendar!E177)</f>
        <v>7</v>
      </c>
      <c r="H907">
        <f>_xlfn.XLOOKUP(Sheet1[[#This Row],[day_id]],calendar!A177,calendar!F177)</f>
        <v>2011</v>
      </c>
      <c r="I907" t="str">
        <f>_xlfn.XLOOKUP(Sheet1[[#This Row],[day_id]],calendar!A177,calendar!J177)</f>
        <v>No Event</v>
      </c>
      <c r="J907" t="str">
        <f>_xlfn.XLOOKUP(Sheet1[[#This Row],[day_id]],calendar!A177,calendar!K177)</f>
        <v>No Event Type</v>
      </c>
      <c r="K907">
        <f>_xlfn.XLOOKUP(calendar!A177,calendar!A177,calendar!I177)</f>
        <v>0</v>
      </c>
    </row>
    <row r="908" spans="1:11" x14ac:dyDescent="0.2">
      <c r="A908" t="s">
        <v>371</v>
      </c>
      <c r="B908" t="s">
        <v>369</v>
      </c>
      <c r="C908" t="s">
        <v>178</v>
      </c>
      <c r="D908">
        <v>14</v>
      </c>
      <c r="E908" s="1">
        <f>_xlfn.XLOOKUP(Sheet1[[#This Row],[day_id]],calendar!A178,calendar!B178)</f>
        <v>40748</v>
      </c>
      <c r="F908" t="str">
        <f>_xlfn.XLOOKUP(Sheet1[[#This Row],[day_id]],calendar!A178,calendar!C178)</f>
        <v>Sunday</v>
      </c>
      <c r="G908">
        <f>_xlfn.XLOOKUP(Sheet1[[#This Row],[day_id]],calendar!A178,calendar!E178)</f>
        <v>7</v>
      </c>
      <c r="H908">
        <f>_xlfn.XLOOKUP(Sheet1[[#This Row],[day_id]],calendar!A178,calendar!F178)</f>
        <v>2011</v>
      </c>
      <c r="I908" t="str">
        <f>_xlfn.XLOOKUP(Sheet1[[#This Row],[day_id]],calendar!A178,calendar!J178)</f>
        <v>No Event</v>
      </c>
      <c r="J908" t="str">
        <f>_xlfn.XLOOKUP(Sheet1[[#This Row],[day_id]],calendar!A178,calendar!K178)</f>
        <v>No Event Type</v>
      </c>
      <c r="K908">
        <f>_xlfn.XLOOKUP(calendar!A178,calendar!A178,calendar!I178)</f>
        <v>0</v>
      </c>
    </row>
    <row r="909" spans="1:11" x14ac:dyDescent="0.2">
      <c r="A909" t="s">
        <v>371</v>
      </c>
      <c r="B909" t="s">
        <v>369</v>
      </c>
      <c r="C909" t="s">
        <v>179</v>
      </c>
      <c r="D909">
        <v>7</v>
      </c>
      <c r="E909" s="1">
        <f>_xlfn.XLOOKUP(Sheet1[[#This Row],[day_id]],calendar!A179,calendar!B179)</f>
        <v>40749</v>
      </c>
      <c r="F909" t="str">
        <f>_xlfn.XLOOKUP(Sheet1[[#This Row],[day_id]],calendar!A179,calendar!C179)</f>
        <v>Monday</v>
      </c>
      <c r="G909">
        <f>_xlfn.XLOOKUP(Sheet1[[#This Row],[day_id]],calendar!A179,calendar!E179)</f>
        <v>7</v>
      </c>
      <c r="H909">
        <f>_xlfn.XLOOKUP(Sheet1[[#This Row],[day_id]],calendar!A179,calendar!F179)</f>
        <v>2011</v>
      </c>
      <c r="I909" t="str">
        <f>_xlfn.XLOOKUP(Sheet1[[#This Row],[day_id]],calendar!A179,calendar!J179)</f>
        <v>No Event</v>
      </c>
      <c r="J909" t="str">
        <f>_xlfn.XLOOKUP(Sheet1[[#This Row],[day_id]],calendar!A179,calendar!K179)</f>
        <v>No Event Type</v>
      </c>
      <c r="K909">
        <f>_xlfn.XLOOKUP(calendar!A179,calendar!A179,calendar!I179)</f>
        <v>0</v>
      </c>
    </row>
    <row r="910" spans="1:11" x14ac:dyDescent="0.2">
      <c r="A910" t="s">
        <v>371</v>
      </c>
      <c r="B910" t="s">
        <v>369</v>
      </c>
      <c r="C910" t="s">
        <v>180</v>
      </c>
      <c r="D910">
        <v>2</v>
      </c>
      <c r="E910" s="1">
        <f>_xlfn.XLOOKUP(Sheet1[[#This Row],[day_id]],calendar!A180,calendar!B180)</f>
        <v>40750</v>
      </c>
      <c r="F910" t="str">
        <f>_xlfn.XLOOKUP(Sheet1[[#This Row],[day_id]],calendar!A180,calendar!C180)</f>
        <v>Tuesday</v>
      </c>
      <c r="G910">
        <f>_xlfn.XLOOKUP(Sheet1[[#This Row],[day_id]],calendar!A180,calendar!E180)</f>
        <v>7</v>
      </c>
      <c r="H910">
        <f>_xlfn.XLOOKUP(Sheet1[[#This Row],[day_id]],calendar!A180,calendar!F180)</f>
        <v>2011</v>
      </c>
      <c r="I910" t="str">
        <f>_xlfn.XLOOKUP(Sheet1[[#This Row],[day_id]],calendar!A180,calendar!J180)</f>
        <v>No Event</v>
      </c>
      <c r="J910" t="str">
        <f>_xlfn.XLOOKUP(Sheet1[[#This Row],[day_id]],calendar!A180,calendar!K180)</f>
        <v>No Event Type</v>
      </c>
      <c r="K910">
        <f>_xlfn.XLOOKUP(calendar!A180,calendar!A180,calendar!I180)</f>
        <v>0</v>
      </c>
    </row>
    <row r="911" spans="1:11" x14ac:dyDescent="0.2">
      <c r="A911" t="s">
        <v>371</v>
      </c>
      <c r="B911" t="s">
        <v>369</v>
      </c>
      <c r="C911" t="s">
        <v>181</v>
      </c>
      <c r="D911">
        <v>3</v>
      </c>
      <c r="E911" s="1">
        <f>_xlfn.XLOOKUP(Sheet1[[#This Row],[day_id]],calendar!A181,calendar!B181)</f>
        <v>40751</v>
      </c>
      <c r="F911" t="str">
        <f>_xlfn.XLOOKUP(Sheet1[[#This Row],[day_id]],calendar!A181,calendar!C181)</f>
        <v>Wednesday</v>
      </c>
      <c r="G911">
        <f>_xlfn.XLOOKUP(Sheet1[[#This Row],[day_id]],calendar!A181,calendar!E181)</f>
        <v>7</v>
      </c>
      <c r="H911">
        <f>_xlfn.XLOOKUP(Sheet1[[#This Row],[day_id]],calendar!A181,calendar!F181)</f>
        <v>2011</v>
      </c>
      <c r="I911" t="str">
        <f>_xlfn.XLOOKUP(Sheet1[[#This Row],[day_id]],calendar!A181,calendar!J181)</f>
        <v>No Event</v>
      </c>
      <c r="J911" t="str">
        <f>_xlfn.XLOOKUP(Sheet1[[#This Row],[day_id]],calendar!A181,calendar!K181)</f>
        <v>No Event Type</v>
      </c>
      <c r="K911">
        <f>_xlfn.XLOOKUP(calendar!A181,calendar!A181,calendar!I181)</f>
        <v>0</v>
      </c>
    </row>
    <row r="912" spans="1:11" x14ac:dyDescent="0.2">
      <c r="A912" t="s">
        <v>371</v>
      </c>
      <c r="B912" t="s">
        <v>369</v>
      </c>
      <c r="C912" t="s">
        <v>182</v>
      </c>
      <c r="D912">
        <v>3</v>
      </c>
      <c r="E912" s="1">
        <f>_xlfn.XLOOKUP(Sheet1[[#This Row],[day_id]],calendar!A182,calendar!B182)</f>
        <v>40752</v>
      </c>
      <c r="F912" t="str">
        <f>_xlfn.XLOOKUP(Sheet1[[#This Row],[day_id]],calendar!A182,calendar!C182)</f>
        <v>Thursday</v>
      </c>
      <c r="G912">
        <f>_xlfn.XLOOKUP(Sheet1[[#This Row],[day_id]],calendar!A182,calendar!E182)</f>
        <v>7</v>
      </c>
      <c r="H912">
        <f>_xlfn.XLOOKUP(Sheet1[[#This Row],[day_id]],calendar!A182,calendar!F182)</f>
        <v>2011</v>
      </c>
      <c r="I912" t="str">
        <f>_xlfn.XLOOKUP(Sheet1[[#This Row],[day_id]],calendar!A182,calendar!J182)</f>
        <v>No Event</v>
      </c>
      <c r="J912" t="str">
        <f>_xlfn.XLOOKUP(Sheet1[[#This Row],[day_id]],calendar!A182,calendar!K182)</f>
        <v>No Event Type</v>
      </c>
      <c r="K912">
        <f>_xlfn.XLOOKUP(calendar!A182,calendar!A182,calendar!I182)</f>
        <v>0</v>
      </c>
    </row>
    <row r="913" spans="1:11" x14ac:dyDescent="0.2">
      <c r="A913" t="s">
        <v>371</v>
      </c>
      <c r="B913" t="s">
        <v>369</v>
      </c>
      <c r="C913" t="s">
        <v>183</v>
      </c>
      <c r="D913">
        <v>3</v>
      </c>
      <c r="E913" s="1">
        <f>_xlfn.XLOOKUP(Sheet1[[#This Row],[day_id]],calendar!A183,calendar!B183)</f>
        <v>40753</v>
      </c>
      <c r="F913" t="str">
        <f>_xlfn.XLOOKUP(Sheet1[[#This Row],[day_id]],calendar!A183,calendar!C183)</f>
        <v>Friday</v>
      </c>
      <c r="G913">
        <f>_xlfn.XLOOKUP(Sheet1[[#This Row],[day_id]],calendar!A183,calendar!E183)</f>
        <v>7</v>
      </c>
      <c r="H913">
        <f>_xlfn.XLOOKUP(Sheet1[[#This Row],[day_id]],calendar!A183,calendar!F183)</f>
        <v>2011</v>
      </c>
      <c r="I913" t="str">
        <f>_xlfn.XLOOKUP(Sheet1[[#This Row],[day_id]],calendar!A183,calendar!J183)</f>
        <v>No Event</v>
      </c>
      <c r="J913" t="str">
        <f>_xlfn.XLOOKUP(Sheet1[[#This Row],[day_id]],calendar!A183,calendar!K183)</f>
        <v>No Event Type</v>
      </c>
      <c r="K913">
        <f>_xlfn.XLOOKUP(calendar!A183,calendar!A183,calendar!I183)</f>
        <v>0</v>
      </c>
    </row>
    <row r="914" spans="1:11" x14ac:dyDescent="0.2">
      <c r="A914" t="s">
        <v>371</v>
      </c>
      <c r="B914" t="s">
        <v>369</v>
      </c>
      <c r="C914" t="s">
        <v>184</v>
      </c>
      <c r="D914">
        <v>13</v>
      </c>
      <c r="E914" s="1">
        <f>_xlfn.XLOOKUP(Sheet1[[#This Row],[day_id]],calendar!A184,calendar!B184)</f>
        <v>40754</v>
      </c>
      <c r="F914" t="str">
        <f>_xlfn.XLOOKUP(Sheet1[[#This Row],[day_id]],calendar!A184,calendar!C184)</f>
        <v>Saturday</v>
      </c>
      <c r="G914">
        <f>_xlfn.XLOOKUP(Sheet1[[#This Row],[day_id]],calendar!A184,calendar!E184)</f>
        <v>7</v>
      </c>
      <c r="H914">
        <f>_xlfn.XLOOKUP(Sheet1[[#This Row],[day_id]],calendar!A184,calendar!F184)</f>
        <v>2011</v>
      </c>
      <c r="I914" t="str">
        <f>_xlfn.XLOOKUP(Sheet1[[#This Row],[day_id]],calendar!A184,calendar!J184)</f>
        <v>No Event</v>
      </c>
      <c r="J914" t="str">
        <f>_xlfn.XLOOKUP(Sheet1[[#This Row],[day_id]],calendar!A184,calendar!K184)</f>
        <v>No Event Type</v>
      </c>
      <c r="K914">
        <f>_xlfn.XLOOKUP(calendar!A184,calendar!A184,calendar!I184)</f>
        <v>0</v>
      </c>
    </row>
    <row r="915" spans="1:11" x14ac:dyDescent="0.2">
      <c r="A915" t="s">
        <v>371</v>
      </c>
      <c r="B915" t="s">
        <v>369</v>
      </c>
      <c r="C915" t="s">
        <v>185</v>
      </c>
      <c r="D915">
        <v>0</v>
      </c>
      <c r="E915" s="1">
        <f>_xlfn.XLOOKUP(Sheet1[[#This Row],[day_id]],calendar!A185,calendar!B185)</f>
        <v>40755</v>
      </c>
      <c r="F915" t="str">
        <f>_xlfn.XLOOKUP(Sheet1[[#This Row],[day_id]],calendar!A185,calendar!C185)</f>
        <v>Sunday</v>
      </c>
      <c r="G915">
        <f>_xlfn.XLOOKUP(Sheet1[[#This Row],[day_id]],calendar!A185,calendar!E185)</f>
        <v>7</v>
      </c>
      <c r="H915">
        <f>_xlfn.XLOOKUP(Sheet1[[#This Row],[day_id]],calendar!A185,calendar!F185)</f>
        <v>2011</v>
      </c>
      <c r="I915" t="str">
        <f>_xlfn.XLOOKUP(Sheet1[[#This Row],[day_id]],calendar!A185,calendar!J185)</f>
        <v>No Event</v>
      </c>
      <c r="J915" t="str">
        <f>_xlfn.XLOOKUP(Sheet1[[#This Row],[day_id]],calendar!A185,calendar!K185)</f>
        <v>No Event Type</v>
      </c>
      <c r="K915">
        <f>_xlfn.XLOOKUP(calendar!A185,calendar!A185,calendar!I185)</f>
        <v>0</v>
      </c>
    </row>
    <row r="916" spans="1:11" x14ac:dyDescent="0.2">
      <c r="A916" t="s">
        <v>371</v>
      </c>
      <c r="B916" t="s">
        <v>369</v>
      </c>
      <c r="C916" t="s">
        <v>186</v>
      </c>
      <c r="D916">
        <v>0</v>
      </c>
      <c r="E916" s="1">
        <f>_xlfn.XLOOKUP(Sheet1[[#This Row],[day_id]],calendar!A186,calendar!B186)</f>
        <v>40756</v>
      </c>
      <c r="F916" t="str">
        <f>_xlfn.XLOOKUP(Sheet1[[#This Row],[day_id]],calendar!A186,calendar!C186)</f>
        <v>Monday</v>
      </c>
      <c r="G916">
        <f>_xlfn.XLOOKUP(Sheet1[[#This Row],[day_id]],calendar!A186,calendar!E186)</f>
        <v>8</v>
      </c>
      <c r="H916">
        <f>_xlfn.XLOOKUP(Sheet1[[#This Row],[day_id]],calendar!A186,calendar!F186)</f>
        <v>2011</v>
      </c>
      <c r="I916" t="str">
        <f>_xlfn.XLOOKUP(Sheet1[[#This Row],[day_id]],calendar!A186,calendar!J186)</f>
        <v>Ramadan starts</v>
      </c>
      <c r="J916" t="str">
        <f>_xlfn.XLOOKUP(Sheet1[[#This Row],[day_id]],calendar!A186,calendar!K186)</f>
        <v>Religious</v>
      </c>
      <c r="K916">
        <f>_xlfn.XLOOKUP(calendar!A186,calendar!A186,calendar!I186)</f>
        <v>1</v>
      </c>
    </row>
    <row r="917" spans="1:11" x14ac:dyDescent="0.2">
      <c r="A917" t="s">
        <v>371</v>
      </c>
      <c r="B917" t="s">
        <v>369</v>
      </c>
      <c r="C917" t="s">
        <v>187</v>
      </c>
      <c r="D917">
        <v>0</v>
      </c>
      <c r="E917" s="1">
        <f>_xlfn.XLOOKUP(Sheet1[[#This Row],[day_id]],calendar!A187,calendar!B187)</f>
        <v>40757</v>
      </c>
      <c r="F917" t="str">
        <f>_xlfn.XLOOKUP(Sheet1[[#This Row],[day_id]],calendar!A187,calendar!C187)</f>
        <v>Tuesday</v>
      </c>
      <c r="G917">
        <f>_xlfn.XLOOKUP(Sheet1[[#This Row],[day_id]],calendar!A187,calendar!E187)</f>
        <v>8</v>
      </c>
      <c r="H917">
        <f>_xlfn.XLOOKUP(Sheet1[[#This Row],[day_id]],calendar!A187,calendar!F187)</f>
        <v>2011</v>
      </c>
      <c r="I917" t="str">
        <f>_xlfn.XLOOKUP(Sheet1[[#This Row],[day_id]],calendar!A187,calendar!J187)</f>
        <v>No Event</v>
      </c>
      <c r="J917" t="str">
        <f>_xlfn.XLOOKUP(Sheet1[[#This Row],[day_id]],calendar!A187,calendar!K187)</f>
        <v>No Event Type</v>
      </c>
      <c r="K917">
        <f>_xlfn.XLOOKUP(calendar!A187,calendar!A187,calendar!I187)</f>
        <v>1</v>
      </c>
    </row>
    <row r="918" spans="1:11" x14ac:dyDescent="0.2">
      <c r="A918" t="s">
        <v>371</v>
      </c>
      <c r="B918" t="s">
        <v>369</v>
      </c>
      <c r="C918" t="s">
        <v>188</v>
      </c>
      <c r="D918">
        <v>0</v>
      </c>
      <c r="E918" s="1">
        <f>_xlfn.XLOOKUP(Sheet1[[#This Row],[day_id]],calendar!A188,calendar!B188)</f>
        <v>40758</v>
      </c>
      <c r="F918" t="str">
        <f>_xlfn.XLOOKUP(Sheet1[[#This Row],[day_id]],calendar!A188,calendar!C188)</f>
        <v>Wednesday</v>
      </c>
      <c r="G918">
        <f>_xlfn.XLOOKUP(Sheet1[[#This Row],[day_id]],calendar!A188,calendar!E188)</f>
        <v>8</v>
      </c>
      <c r="H918">
        <f>_xlfn.XLOOKUP(Sheet1[[#This Row],[day_id]],calendar!A188,calendar!F188)</f>
        <v>2011</v>
      </c>
      <c r="I918" t="str">
        <f>_xlfn.XLOOKUP(Sheet1[[#This Row],[day_id]],calendar!A188,calendar!J188)</f>
        <v>No Event</v>
      </c>
      <c r="J918" t="str">
        <f>_xlfn.XLOOKUP(Sheet1[[#This Row],[day_id]],calendar!A188,calendar!K188)</f>
        <v>No Event Type</v>
      </c>
      <c r="K918">
        <f>_xlfn.XLOOKUP(calendar!A188,calendar!A188,calendar!I188)</f>
        <v>1</v>
      </c>
    </row>
    <row r="919" spans="1:11" x14ac:dyDescent="0.2">
      <c r="A919" t="s">
        <v>371</v>
      </c>
      <c r="B919" t="s">
        <v>369</v>
      </c>
      <c r="C919" t="s">
        <v>189</v>
      </c>
      <c r="D919">
        <v>0</v>
      </c>
      <c r="E919" s="1">
        <f>_xlfn.XLOOKUP(Sheet1[[#This Row],[day_id]],calendar!A189,calendar!B189)</f>
        <v>40759</v>
      </c>
      <c r="F919" t="str">
        <f>_xlfn.XLOOKUP(Sheet1[[#This Row],[day_id]],calendar!A189,calendar!C189)</f>
        <v>Thursday</v>
      </c>
      <c r="G919">
        <f>_xlfn.XLOOKUP(Sheet1[[#This Row],[day_id]],calendar!A189,calendar!E189)</f>
        <v>8</v>
      </c>
      <c r="H919">
        <f>_xlfn.XLOOKUP(Sheet1[[#This Row],[day_id]],calendar!A189,calendar!F189)</f>
        <v>2011</v>
      </c>
      <c r="I919" t="str">
        <f>_xlfn.XLOOKUP(Sheet1[[#This Row],[day_id]],calendar!A189,calendar!J189)</f>
        <v>No Event</v>
      </c>
      <c r="J919" t="str">
        <f>_xlfn.XLOOKUP(Sheet1[[#This Row],[day_id]],calendar!A189,calendar!K189)</f>
        <v>No Event Type</v>
      </c>
      <c r="K919">
        <f>_xlfn.XLOOKUP(calendar!A189,calendar!A189,calendar!I189)</f>
        <v>1</v>
      </c>
    </row>
    <row r="920" spans="1:11" x14ac:dyDescent="0.2">
      <c r="A920" t="s">
        <v>371</v>
      </c>
      <c r="B920" t="s">
        <v>369</v>
      </c>
      <c r="C920" t="s">
        <v>190</v>
      </c>
      <c r="D920">
        <v>0</v>
      </c>
      <c r="E920" s="1">
        <f>_xlfn.XLOOKUP(Sheet1[[#This Row],[day_id]],calendar!A190,calendar!B190)</f>
        <v>40760</v>
      </c>
      <c r="F920" t="str">
        <f>_xlfn.XLOOKUP(Sheet1[[#This Row],[day_id]],calendar!A190,calendar!C190)</f>
        <v>Friday</v>
      </c>
      <c r="G920">
        <f>_xlfn.XLOOKUP(Sheet1[[#This Row],[day_id]],calendar!A190,calendar!E190)</f>
        <v>8</v>
      </c>
      <c r="H920">
        <f>_xlfn.XLOOKUP(Sheet1[[#This Row],[day_id]],calendar!A190,calendar!F190)</f>
        <v>2011</v>
      </c>
      <c r="I920" t="str">
        <f>_xlfn.XLOOKUP(Sheet1[[#This Row],[day_id]],calendar!A190,calendar!J190)</f>
        <v>No Event</v>
      </c>
      <c r="J920" t="str">
        <f>_xlfn.XLOOKUP(Sheet1[[#This Row],[day_id]],calendar!A190,calendar!K190)</f>
        <v>No Event Type</v>
      </c>
      <c r="K920">
        <f>_xlfn.XLOOKUP(calendar!A190,calendar!A190,calendar!I190)</f>
        <v>1</v>
      </c>
    </row>
    <row r="921" spans="1:11" x14ac:dyDescent="0.2">
      <c r="A921" t="s">
        <v>371</v>
      </c>
      <c r="B921" t="s">
        <v>369</v>
      </c>
      <c r="C921" t="s">
        <v>191</v>
      </c>
      <c r="D921">
        <v>0</v>
      </c>
      <c r="E921" s="1">
        <f>_xlfn.XLOOKUP(Sheet1[[#This Row],[day_id]],calendar!A191,calendar!B191)</f>
        <v>40761</v>
      </c>
      <c r="F921" t="str">
        <f>_xlfn.XLOOKUP(Sheet1[[#This Row],[day_id]],calendar!A191,calendar!C191)</f>
        <v>Saturday</v>
      </c>
      <c r="G921">
        <f>_xlfn.XLOOKUP(Sheet1[[#This Row],[day_id]],calendar!A191,calendar!E191)</f>
        <v>8</v>
      </c>
      <c r="H921">
        <f>_xlfn.XLOOKUP(Sheet1[[#This Row],[day_id]],calendar!A191,calendar!F191)</f>
        <v>2011</v>
      </c>
      <c r="I921" t="str">
        <f>_xlfn.XLOOKUP(Sheet1[[#This Row],[day_id]],calendar!A191,calendar!J191)</f>
        <v>No Event</v>
      </c>
      <c r="J921" t="str">
        <f>_xlfn.XLOOKUP(Sheet1[[#This Row],[day_id]],calendar!A191,calendar!K191)</f>
        <v>No Event Type</v>
      </c>
      <c r="K921">
        <f>_xlfn.XLOOKUP(calendar!A191,calendar!A191,calendar!I191)</f>
        <v>1</v>
      </c>
    </row>
    <row r="922" spans="1:11" x14ac:dyDescent="0.2">
      <c r="A922" t="s">
        <v>371</v>
      </c>
      <c r="B922" t="s">
        <v>369</v>
      </c>
      <c r="C922" t="s">
        <v>192</v>
      </c>
      <c r="D922">
        <v>9</v>
      </c>
      <c r="E922" s="1">
        <f>_xlfn.XLOOKUP(Sheet1[[#This Row],[day_id]],calendar!A192,calendar!B192)</f>
        <v>40762</v>
      </c>
      <c r="F922" t="str">
        <f>_xlfn.XLOOKUP(Sheet1[[#This Row],[day_id]],calendar!A192,calendar!C192)</f>
        <v>Sunday</v>
      </c>
      <c r="G922">
        <f>_xlfn.XLOOKUP(Sheet1[[#This Row],[day_id]],calendar!A192,calendar!E192)</f>
        <v>8</v>
      </c>
      <c r="H922">
        <f>_xlfn.XLOOKUP(Sheet1[[#This Row],[day_id]],calendar!A192,calendar!F192)</f>
        <v>2011</v>
      </c>
      <c r="I922" t="str">
        <f>_xlfn.XLOOKUP(Sheet1[[#This Row],[day_id]],calendar!A192,calendar!J192)</f>
        <v>No Event</v>
      </c>
      <c r="J922" t="str">
        <f>_xlfn.XLOOKUP(Sheet1[[#This Row],[day_id]],calendar!A192,calendar!K192)</f>
        <v>No Event Type</v>
      </c>
      <c r="K922">
        <f>_xlfn.XLOOKUP(calendar!A192,calendar!A192,calendar!I192)</f>
        <v>1</v>
      </c>
    </row>
    <row r="923" spans="1:11" x14ac:dyDescent="0.2">
      <c r="A923" t="s">
        <v>371</v>
      </c>
      <c r="B923" t="s">
        <v>369</v>
      </c>
      <c r="C923" t="s">
        <v>193</v>
      </c>
      <c r="D923">
        <v>8</v>
      </c>
      <c r="E923" s="1">
        <f>_xlfn.XLOOKUP(Sheet1[[#This Row],[day_id]],calendar!A193,calendar!B193)</f>
        <v>40763</v>
      </c>
      <c r="F923" t="str">
        <f>_xlfn.XLOOKUP(Sheet1[[#This Row],[day_id]],calendar!A193,calendar!C193)</f>
        <v>Monday</v>
      </c>
      <c r="G923">
        <f>_xlfn.XLOOKUP(Sheet1[[#This Row],[day_id]],calendar!A193,calendar!E193)</f>
        <v>8</v>
      </c>
      <c r="H923">
        <f>_xlfn.XLOOKUP(Sheet1[[#This Row],[day_id]],calendar!A193,calendar!F193)</f>
        <v>2011</v>
      </c>
      <c r="I923" t="str">
        <f>_xlfn.XLOOKUP(Sheet1[[#This Row],[day_id]],calendar!A193,calendar!J193)</f>
        <v>No Event</v>
      </c>
      <c r="J923" t="str">
        <f>_xlfn.XLOOKUP(Sheet1[[#This Row],[day_id]],calendar!A193,calendar!K193)</f>
        <v>No Event Type</v>
      </c>
      <c r="K923">
        <f>_xlfn.XLOOKUP(calendar!A193,calendar!A193,calendar!I193)</f>
        <v>1</v>
      </c>
    </row>
    <row r="924" spans="1:11" x14ac:dyDescent="0.2">
      <c r="A924" t="s">
        <v>371</v>
      </c>
      <c r="B924" t="s">
        <v>369</v>
      </c>
      <c r="C924" t="s">
        <v>194</v>
      </c>
      <c r="D924">
        <v>3</v>
      </c>
      <c r="E924" s="1">
        <f>_xlfn.XLOOKUP(Sheet1[[#This Row],[day_id]],calendar!A194,calendar!B194)</f>
        <v>40764</v>
      </c>
      <c r="F924" t="str">
        <f>_xlfn.XLOOKUP(Sheet1[[#This Row],[day_id]],calendar!A194,calendar!C194)</f>
        <v>Tuesday</v>
      </c>
      <c r="G924">
        <f>_xlfn.XLOOKUP(Sheet1[[#This Row],[day_id]],calendar!A194,calendar!E194)</f>
        <v>8</v>
      </c>
      <c r="H924">
        <f>_xlfn.XLOOKUP(Sheet1[[#This Row],[day_id]],calendar!A194,calendar!F194)</f>
        <v>2011</v>
      </c>
      <c r="I924" t="str">
        <f>_xlfn.XLOOKUP(Sheet1[[#This Row],[day_id]],calendar!A194,calendar!J194)</f>
        <v>No Event</v>
      </c>
      <c r="J924" t="str">
        <f>_xlfn.XLOOKUP(Sheet1[[#This Row],[day_id]],calendar!A194,calendar!K194)</f>
        <v>No Event Type</v>
      </c>
      <c r="K924">
        <f>_xlfn.XLOOKUP(calendar!A194,calendar!A194,calendar!I194)</f>
        <v>1</v>
      </c>
    </row>
    <row r="925" spans="1:11" x14ac:dyDescent="0.2">
      <c r="A925" t="s">
        <v>371</v>
      </c>
      <c r="B925" t="s">
        <v>369</v>
      </c>
      <c r="C925" t="s">
        <v>195</v>
      </c>
      <c r="D925">
        <v>2</v>
      </c>
      <c r="E925" s="1">
        <f>_xlfn.XLOOKUP(Sheet1[[#This Row],[day_id]],calendar!A195,calendar!B195)</f>
        <v>40765</v>
      </c>
      <c r="F925" t="str">
        <f>_xlfn.XLOOKUP(Sheet1[[#This Row],[day_id]],calendar!A195,calendar!C195)</f>
        <v>Wednesday</v>
      </c>
      <c r="G925">
        <f>_xlfn.XLOOKUP(Sheet1[[#This Row],[day_id]],calendar!A195,calendar!E195)</f>
        <v>8</v>
      </c>
      <c r="H925">
        <f>_xlfn.XLOOKUP(Sheet1[[#This Row],[day_id]],calendar!A195,calendar!F195)</f>
        <v>2011</v>
      </c>
      <c r="I925" t="str">
        <f>_xlfn.XLOOKUP(Sheet1[[#This Row],[day_id]],calendar!A195,calendar!J195)</f>
        <v>No Event</v>
      </c>
      <c r="J925" t="str">
        <f>_xlfn.XLOOKUP(Sheet1[[#This Row],[day_id]],calendar!A195,calendar!K195)</f>
        <v>No Event Type</v>
      </c>
      <c r="K925">
        <f>_xlfn.XLOOKUP(calendar!A195,calendar!A195,calendar!I195)</f>
        <v>1</v>
      </c>
    </row>
    <row r="926" spans="1:11" x14ac:dyDescent="0.2">
      <c r="A926" t="s">
        <v>371</v>
      </c>
      <c r="B926" t="s">
        <v>369</v>
      </c>
      <c r="C926" t="s">
        <v>196</v>
      </c>
      <c r="D926">
        <v>2</v>
      </c>
      <c r="E926" s="1">
        <f>_xlfn.XLOOKUP(Sheet1[[#This Row],[day_id]],calendar!A196,calendar!B196)</f>
        <v>40766</v>
      </c>
      <c r="F926" t="str">
        <f>_xlfn.XLOOKUP(Sheet1[[#This Row],[day_id]],calendar!A196,calendar!C196)</f>
        <v>Thursday</v>
      </c>
      <c r="G926">
        <f>_xlfn.XLOOKUP(Sheet1[[#This Row],[day_id]],calendar!A196,calendar!E196)</f>
        <v>8</v>
      </c>
      <c r="H926">
        <f>_xlfn.XLOOKUP(Sheet1[[#This Row],[day_id]],calendar!A196,calendar!F196)</f>
        <v>2011</v>
      </c>
      <c r="I926" t="str">
        <f>_xlfn.XLOOKUP(Sheet1[[#This Row],[day_id]],calendar!A196,calendar!J196)</f>
        <v>No Event</v>
      </c>
      <c r="J926" t="str">
        <f>_xlfn.XLOOKUP(Sheet1[[#This Row],[day_id]],calendar!A196,calendar!K196)</f>
        <v>No Event Type</v>
      </c>
      <c r="K926">
        <f>_xlfn.XLOOKUP(calendar!A196,calendar!A196,calendar!I196)</f>
        <v>0</v>
      </c>
    </row>
    <row r="927" spans="1:11" x14ac:dyDescent="0.2">
      <c r="A927" t="s">
        <v>371</v>
      </c>
      <c r="B927" t="s">
        <v>369</v>
      </c>
      <c r="C927" t="s">
        <v>197</v>
      </c>
      <c r="D927">
        <v>19</v>
      </c>
      <c r="E927" s="1">
        <f>_xlfn.XLOOKUP(Sheet1[[#This Row],[day_id]],calendar!A197,calendar!B197)</f>
        <v>40767</v>
      </c>
      <c r="F927" t="str">
        <f>_xlfn.XLOOKUP(Sheet1[[#This Row],[day_id]],calendar!A197,calendar!C197)</f>
        <v>Friday</v>
      </c>
      <c r="G927">
        <f>_xlfn.XLOOKUP(Sheet1[[#This Row],[day_id]],calendar!A197,calendar!E197)</f>
        <v>8</v>
      </c>
      <c r="H927">
        <f>_xlfn.XLOOKUP(Sheet1[[#This Row],[day_id]],calendar!A197,calendar!F197)</f>
        <v>2011</v>
      </c>
      <c r="I927" t="str">
        <f>_xlfn.XLOOKUP(Sheet1[[#This Row],[day_id]],calendar!A197,calendar!J197)</f>
        <v>No Event</v>
      </c>
      <c r="J927" t="str">
        <f>_xlfn.XLOOKUP(Sheet1[[#This Row],[day_id]],calendar!A197,calendar!K197)</f>
        <v>No Event Type</v>
      </c>
      <c r="K927">
        <f>_xlfn.XLOOKUP(calendar!A197,calendar!A197,calendar!I197)</f>
        <v>0</v>
      </c>
    </row>
    <row r="928" spans="1:11" x14ac:dyDescent="0.2">
      <c r="A928" t="s">
        <v>371</v>
      </c>
      <c r="B928" t="s">
        <v>369</v>
      </c>
      <c r="C928" t="s">
        <v>198</v>
      </c>
      <c r="D928">
        <v>23</v>
      </c>
      <c r="E928" s="1">
        <f>_xlfn.XLOOKUP(Sheet1[[#This Row],[day_id]],calendar!A198,calendar!B198)</f>
        <v>40768</v>
      </c>
      <c r="F928" t="str">
        <f>_xlfn.XLOOKUP(Sheet1[[#This Row],[day_id]],calendar!A198,calendar!C198)</f>
        <v>Saturday</v>
      </c>
      <c r="G928">
        <f>_xlfn.XLOOKUP(Sheet1[[#This Row],[day_id]],calendar!A198,calendar!E198)</f>
        <v>8</v>
      </c>
      <c r="H928">
        <f>_xlfn.XLOOKUP(Sheet1[[#This Row],[day_id]],calendar!A198,calendar!F198)</f>
        <v>2011</v>
      </c>
      <c r="I928" t="str">
        <f>_xlfn.XLOOKUP(Sheet1[[#This Row],[day_id]],calendar!A198,calendar!J198)</f>
        <v>No Event</v>
      </c>
      <c r="J928" t="str">
        <f>_xlfn.XLOOKUP(Sheet1[[#This Row],[day_id]],calendar!A198,calendar!K198)</f>
        <v>No Event Type</v>
      </c>
      <c r="K928">
        <f>_xlfn.XLOOKUP(calendar!A198,calendar!A198,calendar!I198)</f>
        <v>0</v>
      </c>
    </row>
    <row r="929" spans="1:11" x14ac:dyDescent="0.2">
      <c r="A929" t="s">
        <v>371</v>
      </c>
      <c r="B929" t="s">
        <v>369</v>
      </c>
      <c r="C929" t="s">
        <v>199</v>
      </c>
      <c r="D929">
        <v>13</v>
      </c>
      <c r="E929" s="1">
        <f>_xlfn.XLOOKUP(Sheet1[[#This Row],[day_id]],calendar!A199,calendar!B199)</f>
        <v>40769</v>
      </c>
      <c r="F929" t="str">
        <f>_xlfn.XLOOKUP(Sheet1[[#This Row],[day_id]],calendar!A199,calendar!C199)</f>
        <v>Sunday</v>
      </c>
      <c r="G929">
        <f>_xlfn.XLOOKUP(Sheet1[[#This Row],[day_id]],calendar!A199,calendar!E199)</f>
        <v>8</v>
      </c>
      <c r="H929">
        <f>_xlfn.XLOOKUP(Sheet1[[#This Row],[day_id]],calendar!A199,calendar!F199)</f>
        <v>2011</v>
      </c>
      <c r="I929" t="str">
        <f>_xlfn.XLOOKUP(Sheet1[[#This Row],[day_id]],calendar!A199,calendar!J199)</f>
        <v>No Event</v>
      </c>
      <c r="J929" t="str">
        <f>_xlfn.XLOOKUP(Sheet1[[#This Row],[day_id]],calendar!A199,calendar!K199)</f>
        <v>No Event Type</v>
      </c>
      <c r="K929">
        <f>_xlfn.XLOOKUP(calendar!A199,calendar!A199,calendar!I199)</f>
        <v>0</v>
      </c>
    </row>
    <row r="930" spans="1:11" x14ac:dyDescent="0.2">
      <c r="A930" t="s">
        <v>371</v>
      </c>
      <c r="B930" t="s">
        <v>369</v>
      </c>
      <c r="C930" t="s">
        <v>200</v>
      </c>
      <c r="D930">
        <v>7</v>
      </c>
      <c r="E930" s="1">
        <f>_xlfn.XLOOKUP(Sheet1[[#This Row],[day_id]],calendar!A200,calendar!B200)</f>
        <v>40770</v>
      </c>
      <c r="F930" t="str">
        <f>_xlfn.XLOOKUP(Sheet1[[#This Row],[day_id]],calendar!A200,calendar!C200)</f>
        <v>Monday</v>
      </c>
      <c r="G930">
        <f>_xlfn.XLOOKUP(Sheet1[[#This Row],[day_id]],calendar!A200,calendar!E200)</f>
        <v>8</v>
      </c>
      <c r="H930">
        <f>_xlfn.XLOOKUP(Sheet1[[#This Row],[day_id]],calendar!A200,calendar!F200)</f>
        <v>2011</v>
      </c>
      <c r="I930" t="str">
        <f>_xlfn.XLOOKUP(Sheet1[[#This Row],[day_id]],calendar!A200,calendar!J200)</f>
        <v>No Event</v>
      </c>
      <c r="J930" t="str">
        <f>_xlfn.XLOOKUP(Sheet1[[#This Row],[day_id]],calendar!A200,calendar!K200)</f>
        <v>No Event Type</v>
      </c>
      <c r="K930">
        <f>_xlfn.XLOOKUP(calendar!A200,calendar!A200,calendar!I200)</f>
        <v>0</v>
      </c>
    </row>
    <row r="931" spans="1:11" x14ac:dyDescent="0.2">
      <c r="A931" t="s">
        <v>371</v>
      </c>
      <c r="B931" t="s">
        <v>369</v>
      </c>
      <c r="C931" t="s">
        <v>201</v>
      </c>
      <c r="D931">
        <v>3</v>
      </c>
      <c r="E931" s="1">
        <f>_xlfn.XLOOKUP(Sheet1[[#This Row],[day_id]],calendar!A201,calendar!B201)</f>
        <v>40771</v>
      </c>
      <c r="F931" t="str">
        <f>_xlfn.XLOOKUP(Sheet1[[#This Row],[day_id]],calendar!A201,calendar!C201)</f>
        <v>Tuesday</v>
      </c>
      <c r="G931">
        <f>_xlfn.XLOOKUP(Sheet1[[#This Row],[day_id]],calendar!A201,calendar!E201)</f>
        <v>8</v>
      </c>
      <c r="H931">
        <f>_xlfn.XLOOKUP(Sheet1[[#This Row],[day_id]],calendar!A201,calendar!F201)</f>
        <v>2011</v>
      </c>
      <c r="I931" t="str">
        <f>_xlfn.XLOOKUP(Sheet1[[#This Row],[day_id]],calendar!A201,calendar!J201)</f>
        <v>No Event</v>
      </c>
      <c r="J931" t="str">
        <f>_xlfn.XLOOKUP(Sheet1[[#This Row],[day_id]],calendar!A201,calendar!K201)</f>
        <v>No Event Type</v>
      </c>
      <c r="K931">
        <f>_xlfn.XLOOKUP(calendar!A201,calendar!A201,calendar!I201)</f>
        <v>0</v>
      </c>
    </row>
    <row r="932" spans="1:11" x14ac:dyDescent="0.2">
      <c r="A932" t="s">
        <v>371</v>
      </c>
      <c r="B932" t="s">
        <v>369</v>
      </c>
      <c r="C932" t="s">
        <v>202</v>
      </c>
      <c r="D932">
        <v>13</v>
      </c>
      <c r="E932" s="1">
        <f>_xlfn.XLOOKUP(Sheet1[[#This Row],[day_id]],calendar!A202,calendar!B202)</f>
        <v>40772</v>
      </c>
      <c r="F932" t="str">
        <f>_xlfn.XLOOKUP(Sheet1[[#This Row],[day_id]],calendar!A202,calendar!C202)</f>
        <v>Wednesday</v>
      </c>
      <c r="G932">
        <f>_xlfn.XLOOKUP(Sheet1[[#This Row],[day_id]],calendar!A202,calendar!E202)</f>
        <v>8</v>
      </c>
      <c r="H932">
        <f>_xlfn.XLOOKUP(Sheet1[[#This Row],[day_id]],calendar!A202,calendar!F202)</f>
        <v>2011</v>
      </c>
      <c r="I932" t="str">
        <f>_xlfn.XLOOKUP(Sheet1[[#This Row],[day_id]],calendar!A202,calendar!J202)</f>
        <v>No Event</v>
      </c>
      <c r="J932" t="str">
        <f>_xlfn.XLOOKUP(Sheet1[[#This Row],[day_id]],calendar!A202,calendar!K202)</f>
        <v>No Event Type</v>
      </c>
      <c r="K932">
        <f>_xlfn.XLOOKUP(calendar!A202,calendar!A202,calendar!I202)</f>
        <v>0</v>
      </c>
    </row>
    <row r="933" spans="1:11" x14ac:dyDescent="0.2">
      <c r="A933" t="s">
        <v>371</v>
      </c>
      <c r="B933" t="s">
        <v>369</v>
      </c>
      <c r="C933" t="s">
        <v>203</v>
      </c>
      <c r="D933">
        <v>2</v>
      </c>
      <c r="E933" s="1">
        <f>_xlfn.XLOOKUP(Sheet1[[#This Row],[day_id]],calendar!A203,calendar!B203)</f>
        <v>40773</v>
      </c>
      <c r="F933" t="str">
        <f>_xlfn.XLOOKUP(Sheet1[[#This Row],[day_id]],calendar!A203,calendar!C203)</f>
        <v>Thursday</v>
      </c>
      <c r="G933">
        <f>_xlfn.XLOOKUP(Sheet1[[#This Row],[day_id]],calendar!A203,calendar!E203)</f>
        <v>8</v>
      </c>
      <c r="H933">
        <f>_xlfn.XLOOKUP(Sheet1[[#This Row],[day_id]],calendar!A203,calendar!F203)</f>
        <v>2011</v>
      </c>
      <c r="I933" t="str">
        <f>_xlfn.XLOOKUP(Sheet1[[#This Row],[day_id]],calendar!A203,calendar!J203)</f>
        <v>No Event</v>
      </c>
      <c r="J933" t="str">
        <f>_xlfn.XLOOKUP(Sheet1[[#This Row],[day_id]],calendar!A203,calendar!K203)</f>
        <v>No Event Type</v>
      </c>
      <c r="K933">
        <f>_xlfn.XLOOKUP(calendar!A203,calendar!A203,calendar!I203)</f>
        <v>0</v>
      </c>
    </row>
    <row r="934" spans="1:11" x14ac:dyDescent="0.2">
      <c r="A934" t="s">
        <v>371</v>
      </c>
      <c r="B934" t="s">
        <v>369</v>
      </c>
      <c r="C934" t="s">
        <v>204</v>
      </c>
      <c r="D934">
        <v>9</v>
      </c>
      <c r="E934" s="1">
        <f>_xlfn.XLOOKUP(Sheet1[[#This Row],[day_id]],calendar!A204,calendar!B204)</f>
        <v>40774</v>
      </c>
      <c r="F934" t="str">
        <f>_xlfn.XLOOKUP(Sheet1[[#This Row],[day_id]],calendar!A204,calendar!C204)</f>
        <v>Friday</v>
      </c>
      <c r="G934">
        <f>_xlfn.XLOOKUP(Sheet1[[#This Row],[day_id]],calendar!A204,calendar!E204)</f>
        <v>8</v>
      </c>
      <c r="H934">
        <f>_xlfn.XLOOKUP(Sheet1[[#This Row],[day_id]],calendar!A204,calendar!F204)</f>
        <v>2011</v>
      </c>
      <c r="I934" t="str">
        <f>_xlfn.XLOOKUP(Sheet1[[#This Row],[day_id]],calendar!A204,calendar!J204)</f>
        <v>No Event</v>
      </c>
      <c r="J934" t="str">
        <f>_xlfn.XLOOKUP(Sheet1[[#This Row],[day_id]],calendar!A204,calendar!K204)</f>
        <v>No Event Type</v>
      </c>
      <c r="K934">
        <f>_xlfn.XLOOKUP(calendar!A204,calendar!A204,calendar!I204)</f>
        <v>0</v>
      </c>
    </row>
    <row r="935" spans="1:11" x14ac:dyDescent="0.2">
      <c r="A935" t="s">
        <v>371</v>
      </c>
      <c r="B935" t="s">
        <v>369</v>
      </c>
      <c r="C935" t="s">
        <v>205</v>
      </c>
      <c r="D935">
        <v>15</v>
      </c>
      <c r="E935" s="1">
        <f>_xlfn.XLOOKUP(Sheet1[[#This Row],[day_id]],calendar!A205,calendar!B205)</f>
        <v>40775</v>
      </c>
      <c r="F935" t="str">
        <f>_xlfn.XLOOKUP(Sheet1[[#This Row],[day_id]],calendar!A205,calendar!C205)</f>
        <v>Saturday</v>
      </c>
      <c r="G935">
        <f>_xlfn.XLOOKUP(Sheet1[[#This Row],[day_id]],calendar!A205,calendar!E205)</f>
        <v>8</v>
      </c>
      <c r="H935">
        <f>_xlfn.XLOOKUP(Sheet1[[#This Row],[day_id]],calendar!A205,calendar!F205)</f>
        <v>2011</v>
      </c>
      <c r="I935" t="str">
        <f>_xlfn.XLOOKUP(Sheet1[[#This Row],[day_id]],calendar!A205,calendar!J205)</f>
        <v>No Event</v>
      </c>
      <c r="J935" t="str">
        <f>_xlfn.XLOOKUP(Sheet1[[#This Row],[day_id]],calendar!A205,calendar!K205)</f>
        <v>No Event Type</v>
      </c>
      <c r="K935">
        <f>_xlfn.XLOOKUP(calendar!A205,calendar!A205,calendar!I205)</f>
        <v>0</v>
      </c>
    </row>
    <row r="936" spans="1:11" x14ac:dyDescent="0.2">
      <c r="A936" t="s">
        <v>371</v>
      </c>
      <c r="B936" t="s">
        <v>369</v>
      </c>
      <c r="C936" t="s">
        <v>206</v>
      </c>
      <c r="D936">
        <v>4</v>
      </c>
      <c r="E936" s="1">
        <f>_xlfn.XLOOKUP(Sheet1[[#This Row],[day_id]],calendar!A206,calendar!B206)</f>
        <v>40776</v>
      </c>
      <c r="F936" t="str">
        <f>_xlfn.XLOOKUP(Sheet1[[#This Row],[day_id]],calendar!A206,calendar!C206)</f>
        <v>Sunday</v>
      </c>
      <c r="G936">
        <f>_xlfn.XLOOKUP(Sheet1[[#This Row],[day_id]],calendar!A206,calendar!E206)</f>
        <v>8</v>
      </c>
      <c r="H936">
        <f>_xlfn.XLOOKUP(Sheet1[[#This Row],[day_id]],calendar!A206,calendar!F206)</f>
        <v>2011</v>
      </c>
      <c r="I936" t="str">
        <f>_xlfn.XLOOKUP(Sheet1[[#This Row],[day_id]],calendar!A206,calendar!J206)</f>
        <v>No Event</v>
      </c>
      <c r="J936" t="str">
        <f>_xlfn.XLOOKUP(Sheet1[[#This Row],[day_id]],calendar!A206,calendar!K206)</f>
        <v>No Event Type</v>
      </c>
      <c r="K936">
        <f>_xlfn.XLOOKUP(calendar!A206,calendar!A206,calendar!I206)</f>
        <v>0</v>
      </c>
    </row>
    <row r="937" spans="1:11" x14ac:dyDescent="0.2">
      <c r="A937" t="s">
        <v>371</v>
      </c>
      <c r="B937" t="s">
        <v>369</v>
      </c>
      <c r="C937" t="s">
        <v>207</v>
      </c>
      <c r="D937">
        <v>3</v>
      </c>
      <c r="E937" s="1">
        <f>_xlfn.XLOOKUP(Sheet1[[#This Row],[day_id]],calendar!A207,calendar!B207)</f>
        <v>40777</v>
      </c>
      <c r="F937" t="str">
        <f>_xlfn.XLOOKUP(Sheet1[[#This Row],[day_id]],calendar!A207,calendar!C207)</f>
        <v>Monday</v>
      </c>
      <c r="G937">
        <f>_xlfn.XLOOKUP(Sheet1[[#This Row],[day_id]],calendar!A207,calendar!E207)</f>
        <v>8</v>
      </c>
      <c r="H937">
        <f>_xlfn.XLOOKUP(Sheet1[[#This Row],[day_id]],calendar!A207,calendar!F207)</f>
        <v>2011</v>
      </c>
      <c r="I937" t="str">
        <f>_xlfn.XLOOKUP(Sheet1[[#This Row],[day_id]],calendar!A207,calendar!J207)</f>
        <v>No Event</v>
      </c>
      <c r="J937" t="str">
        <f>_xlfn.XLOOKUP(Sheet1[[#This Row],[day_id]],calendar!A207,calendar!K207)</f>
        <v>No Event Type</v>
      </c>
      <c r="K937">
        <f>_xlfn.XLOOKUP(calendar!A207,calendar!A207,calendar!I207)</f>
        <v>0</v>
      </c>
    </row>
    <row r="938" spans="1:11" x14ac:dyDescent="0.2">
      <c r="A938" t="s">
        <v>371</v>
      </c>
      <c r="B938" t="s">
        <v>369</v>
      </c>
      <c r="C938" t="s">
        <v>208</v>
      </c>
      <c r="D938">
        <v>8</v>
      </c>
      <c r="E938" s="1">
        <f>_xlfn.XLOOKUP(Sheet1[[#This Row],[day_id]],calendar!A208,calendar!B208)</f>
        <v>40778</v>
      </c>
      <c r="F938" t="str">
        <f>_xlfn.XLOOKUP(Sheet1[[#This Row],[day_id]],calendar!A208,calendar!C208)</f>
        <v>Tuesday</v>
      </c>
      <c r="G938">
        <f>_xlfn.XLOOKUP(Sheet1[[#This Row],[day_id]],calendar!A208,calendar!E208)</f>
        <v>8</v>
      </c>
      <c r="H938">
        <f>_xlfn.XLOOKUP(Sheet1[[#This Row],[day_id]],calendar!A208,calendar!F208)</f>
        <v>2011</v>
      </c>
      <c r="I938" t="str">
        <f>_xlfn.XLOOKUP(Sheet1[[#This Row],[day_id]],calendar!A208,calendar!J208)</f>
        <v>No Event</v>
      </c>
      <c r="J938" t="str">
        <f>_xlfn.XLOOKUP(Sheet1[[#This Row],[day_id]],calendar!A208,calendar!K208)</f>
        <v>No Event Type</v>
      </c>
      <c r="K938">
        <f>_xlfn.XLOOKUP(calendar!A208,calendar!A208,calendar!I208)</f>
        <v>0</v>
      </c>
    </row>
    <row r="939" spans="1:11" x14ac:dyDescent="0.2">
      <c r="A939" t="s">
        <v>371</v>
      </c>
      <c r="B939" t="s">
        <v>369</v>
      </c>
      <c r="C939" t="s">
        <v>209</v>
      </c>
      <c r="D939">
        <v>6</v>
      </c>
      <c r="E939" s="1">
        <f>_xlfn.XLOOKUP(Sheet1[[#This Row],[day_id]],calendar!A209,calendar!B209)</f>
        <v>40779</v>
      </c>
      <c r="F939" t="str">
        <f>_xlfn.XLOOKUP(Sheet1[[#This Row],[day_id]],calendar!A209,calendar!C209)</f>
        <v>Wednesday</v>
      </c>
      <c r="G939">
        <f>_xlfn.XLOOKUP(Sheet1[[#This Row],[day_id]],calendar!A209,calendar!E209)</f>
        <v>8</v>
      </c>
      <c r="H939">
        <f>_xlfn.XLOOKUP(Sheet1[[#This Row],[day_id]],calendar!A209,calendar!F209)</f>
        <v>2011</v>
      </c>
      <c r="I939" t="str">
        <f>_xlfn.XLOOKUP(Sheet1[[#This Row],[day_id]],calendar!A209,calendar!J209)</f>
        <v>No Event</v>
      </c>
      <c r="J939" t="str">
        <f>_xlfn.XLOOKUP(Sheet1[[#This Row],[day_id]],calendar!A209,calendar!K209)</f>
        <v>No Event Type</v>
      </c>
      <c r="K939">
        <f>_xlfn.XLOOKUP(calendar!A209,calendar!A209,calendar!I209)</f>
        <v>0</v>
      </c>
    </row>
    <row r="940" spans="1:11" x14ac:dyDescent="0.2">
      <c r="A940" t="s">
        <v>371</v>
      </c>
      <c r="B940" t="s">
        <v>369</v>
      </c>
      <c r="C940" t="s">
        <v>210</v>
      </c>
      <c r="D940">
        <v>3</v>
      </c>
      <c r="E940" s="1">
        <f>_xlfn.XLOOKUP(Sheet1[[#This Row],[day_id]],calendar!A210,calendar!B210)</f>
        <v>40780</v>
      </c>
      <c r="F940" t="str">
        <f>_xlfn.XLOOKUP(Sheet1[[#This Row],[day_id]],calendar!A210,calendar!C210)</f>
        <v>Thursday</v>
      </c>
      <c r="G940">
        <f>_xlfn.XLOOKUP(Sheet1[[#This Row],[day_id]],calendar!A210,calendar!E210)</f>
        <v>8</v>
      </c>
      <c r="H940">
        <f>_xlfn.XLOOKUP(Sheet1[[#This Row],[day_id]],calendar!A210,calendar!F210)</f>
        <v>2011</v>
      </c>
      <c r="I940" t="str">
        <f>_xlfn.XLOOKUP(Sheet1[[#This Row],[day_id]],calendar!A210,calendar!J210)</f>
        <v>No Event</v>
      </c>
      <c r="J940" t="str">
        <f>_xlfn.XLOOKUP(Sheet1[[#This Row],[day_id]],calendar!A210,calendar!K210)</f>
        <v>No Event Type</v>
      </c>
      <c r="K940">
        <f>_xlfn.XLOOKUP(calendar!A210,calendar!A210,calendar!I210)</f>
        <v>0</v>
      </c>
    </row>
    <row r="941" spans="1:11" x14ac:dyDescent="0.2">
      <c r="A941" t="s">
        <v>371</v>
      </c>
      <c r="B941" t="s">
        <v>369</v>
      </c>
      <c r="C941" t="s">
        <v>211</v>
      </c>
      <c r="D941">
        <v>8</v>
      </c>
      <c r="E941" s="1">
        <f>_xlfn.XLOOKUP(Sheet1[[#This Row],[day_id]],calendar!A211,calendar!B211)</f>
        <v>40781</v>
      </c>
      <c r="F941" t="str">
        <f>_xlfn.XLOOKUP(Sheet1[[#This Row],[day_id]],calendar!A211,calendar!C211)</f>
        <v>Friday</v>
      </c>
      <c r="G941">
        <f>_xlfn.XLOOKUP(Sheet1[[#This Row],[day_id]],calendar!A211,calendar!E211)</f>
        <v>8</v>
      </c>
      <c r="H941">
        <f>_xlfn.XLOOKUP(Sheet1[[#This Row],[day_id]],calendar!A211,calendar!F211)</f>
        <v>2011</v>
      </c>
      <c r="I941" t="str">
        <f>_xlfn.XLOOKUP(Sheet1[[#This Row],[day_id]],calendar!A211,calendar!J211)</f>
        <v>No Event</v>
      </c>
      <c r="J941" t="str">
        <f>_xlfn.XLOOKUP(Sheet1[[#This Row],[day_id]],calendar!A211,calendar!K211)</f>
        <v>No Event Type</v>
      </c>
      <c r="K941">
        <f>_xlfn.XLOOKUP(calendar!A211,calendar!A211,calendar!I211)</f>
        <v>0</v>
      </c>
    </row>
    <row r="942" spans="1:11" x14ac:dyDescent="0.2">
      <c r="A942" t="s">
        <v>371</v>
      </c>
      <c r="B942" t="s">
        <v>369</v>
      </c>
      <c r="C942" t="s">
        <v>212</v>
      </c>
      <c r="D942">
        <v>7</v>
      </c>
      <c r="E942" s="1">
        <f>_xlfn.XLOOKUP(Sheet1[[#This Row],[day_id]],calendar!A212,calendar!B212)</f>
        <v>40782</v>
      </c>
      <c r="F942" t="str">
        <f>_xlfn.XLOOKUP(Sheet1[[#This Row],[day_id]],calendar!A212,calendar!C212)</f>
        <v>Saturday</v>
      </c>
      <c r="G942">
        <f>_xlfn.XLOOKUP(Sheet1[[#This Row],[day_id]],calendar!A212,calendar!E212)</f>
        <v>8</v>
      </c>
      <c r="H942">
        <f>_xlfn.XLOOKUP(Sheet1[[#This Row],[day_id]],calendar!A212,calendar!F212)</f>
        <v>2011</v>
      </c>
      <c r="I942" t="str">
        <f>_xlfn.XLOOKUP(Sheet1[[#This Row],[day_id]],calendar!A212,calendar!J212)</f>
        <v>No Event</v>
      </c>
      <c r="J942" t="str">
        <f>_xlfn.XLOOKUP(Sheet1[[#This Row],[day_id]],calendar!A212,calendar!K212)</f>
        <v>No Event Type</v>
      </c>
      <c r="K942">
        <f>_xlfn.XLOOKUP(calendar!A212,calendar!A212,calendar!I212)</f>
        <v>0</v>
      </c>
    </row>
    <row r="943" spans="1:11" x14ac:dyDescent="0.2">
      <c r="A943" t="s">
        <v>371</v>
      </c>
      <c r="B943" t="s">
        <v>369</v>
      </c>
      <c r="C943" t="s">
        <v>213</v>
      </c>
      <c r="D943">
        <v>5</v>
      </c>
      <c r="E943" s="1">
        <f>_xlfn.XLOOKUP(Sheet1[[#This Row],[day_id]],calendar!A213,calendar!B213)</f>
        <v>40783</v>
      </c>
      <c r="F943" t="str">
        <f>_xlfn.XLOOKUP(Sheet1[[#This Row],[day_id]],calendar!A213,calendar!C213)</f>
        <v>Sunday</v>
      </c>
      <c r="G943">
        <f>_xlfn.XLOOKUP(Sheet1[[#This Row],[day_id]],calendar!A213,calendar!E213)</f>
        <v>8</v>
      </c>
      <c r="H943">
        <f>_xlfn.XLOOKUP(Sheet1[[#This Row],[day_id]],calendar!A213,calendar!F213)</f>
        <v>2011</v>
      </c>
      <c r="I943" t="str">
        <f>_xlfn.XLOOKUP(Sheet1[[#This Row],[day_id]],calendar!A213,calendar!J213)</f>
        <v>No Event</v>
      </c>
      <c r="J943" t="str">
        <f>_xlfn.XLOOKUP(Sheet1[[#This Row],[day_id]],calendar!A213,calendar!K213)</f>
        <v>No Event Type</v>
      </c>
      <c r="K943">
        <f>_xlfn.XLOOKUP(calendar!A213,calendar!A213,calendar!I213)</f>
        <v>0</v>
      </c>
    </row>
    <row r="944" spans="1:11" x14ac:dyDescent="0.2">
      <c r="A944" t="s">
        <v>371</v>
      </c>
      <c r="B944" t="s">
        <v>369</v>
      </c>
      <c r="C944" t="s">
        <v>214</v>
      </c>
      <c r="D944">
        <v>16</v>
      </c>
      <c r="E944" s="1">
        <f>_xlfn.XLOOKUP(Sheet1[[#This Row],[day_id]],calendar!A214,calendar!B214)</f>
        <v>40784</v>
      </c>
      <c r="F944" t="str">
        <f>_xlfn.XLOOKUP(Sheet1[[#This Row],[day_id]],calendar!A214,calendar!C214)</f>
        <v>Monday</v>
      </c>
      <c r="G944">
        <f>_xlfn.XLOOKUP(Sheet1[[#This Row],[day_id]],calendar!A214,calendar!E214)</f>
        <v>8</v>
      </c>
      <c r="H944">
        <f>_xlfn.XLOOKUP(Sheet1[[#This Row],[day_id]],calendar!A214,calendar!F214)</f>
        <v>2011</v>
      </c>
      <c r="I944" t="str">
        <f>_xlfn.XLOOKUP(Sheet1[[#This Row],[day_id]],calendar!A214,calendar!J214)</f>
        <v>No Event</v>
      </c>
      <c r="J944" t="str">
        <f>_xlfn.XLOOKUP(Sheet1[[#This Row],[day_id]],calendar!A214,calendar!K214)</f>
        <v>No Event Type</v>
      </c>
      <c r="K944">
        <f>_xlfn.XLOOKUP(calendar!A214,calendar!A214,calendar!I214)</f>
        <v>0</v>
      </c>
    </row>
    <row r="945" spans="1:11" x14ac:dyDescent="0.2">
      <c r="A945" t="s">
        <v>371</v>
      </c>
      <c r="B945" t="s">
        <v>369</v>
      </c>
      <c r="C945" t="s">
        <v>215</v>
      </c>
      <c r="D945">
        <v>6</v>
      </c>
      <c r="E945" s="1">
        <f>_xlfn.XLOOKUP(Sheet1[[#This Row],[day_id]],calendar!A215,calendar!B215)</f>
        <v>40785</v>
      </c>
      <c r="F945" t="str">
        <f>_xlfn.XLOOKUP(Sheet1[[#This Row],[day_id]],calendar!A215,calendar!C215)</f>
        <v>Tuesday</v>
      </c>
      <c r="G945">
        <f>_xlfn.XLOOKUP(Sheet1[[#This Row],[day_id]],calendar!A215,calendar!E215)</f>
        <v>8</v>
      </c>
      <c r="H945">
        <f>_xlfn.XLOOKUP(Sheet1[[#This Row],[day_id]],calendar!A215,calendar!F215)</f>
        <v>2011</v>
      </c>
      <c r="I945" t="str">
        <f>_xlfn.XLOOKUP(Sheet1[[#This Row],[day_id]],calendar!A215,calendar!J215)</f>
        <v>No Event</v>
      </c>
      <c r="J945" t="str">
        <f>_xlfn.XLOOKUP(Sheet1[[#This Row],[day_id]],calendar!A215,calendar!K215)</f>
        <v>No Event Type</v>
      </c>
      <c r="K945">
        <f>_xlfn.XLOOKUP(calendar!A215,calendar!A215,calendar!I215)</f>
        <v>0</v>
      </c>
    </row>
    <row r="946" spans="1:11" x14ac:dyDescent="0.2">
      <c r="A946" t="s">
        <v>371</v>
      </c>
      <c r="B946" t="s">
        <v>369</v>
      </c>
      <c r="C946" t="s">
        <v>216</v>
      </c>
      <c r="D946">
        <v>5</v>
      </c>
      <c r="E946" s="1">
        <f>_xlfn.XLOOKUP(Sheet1[[#This Row],[day_id]],calendar!A216,calendar!B216)</f>
        <v>40786</v>
      </c>
      <c r="F946" t="str">
        <f>_xlfn.XLOOKUP(Sheet1[[#This Row],[day_id]],calendar!A216,calendar!C216)</f>
        <v>Wednesday</v>
      </c>
      <c r="G946">
        <f>_xlfn.XLOOKUP(Sheet1[[#This Row],[day_id]],calendar!A216,calendar!E216)</f>
        <v>8</v>
      </c>
      <c r="H946">
        <f>_xlfn.XLOOKUP(Sheet1[[#This Row],[day_id]],calendar!A216,calendar!F216)</f>
        <v>2011</v>
      </c>
      <c r="I946" t="str">
        <f>_xlfn.XLOOKUP(Sheet1[[#This Row],[day_id]],calendar!A216,calendar!J216)</f>
        <v>Eid al-Fitr</v>
      </c>
      <c r="J946" t="str">
        <f>_xlfn.XLOOKUP(Sheet1[[#This Row],[day_id]],calendar!A216,calendar!K216)</f>
        <v>Religious</v>
      </c>
      <c r="K946">
        <f>_xlfn.XLOOKUP(calendar!A216,calendar!A216,calendar!I216)</f>
        <v>0</v>
      </c>
    </row>
    <row r="947" spans="1:11" x14ac:dyDescent="0.2">
      <c r="A947" t="s">
        <v>371</v>
      </c>
      <c r="B947" t="s">
        <v>369</v>
      </c>
      <c r="C947" t="s">
        <v>217</v>
      </c>
      <c r="D947">
        <v>3</v>
      </c>
      <c r="E947" s="1">
        <f>_xlfn.XLOOKUP(Sheet1[[#This Row],[day_id]],calendar!A217,calendar!B217)</f>
        <v>40787</v>
      </c>
      <c r="F947" t="str">
        <f>_xlfn.XLOOKUP(Sheet1[[#This Row],[day_id]],calendar!A217,calendar!C217)</f>
        <v>Thursday</v>
      </c>
      <c r="G947">
        <f>_xlfn.XLOOKUP(Sheet1[[#This Row],[day_id]],calendar!A217,calendar!E217)</f>
        <v>9</v>
      </c>
      <c r="H947">
        <f>_xlfn.XLOOKUP(Sheet1[[#This Row],[day_id]],calendar!A217,calendar!F217)</f>
        <v>2011</v>
      </c>
      <c r="I947" t="str">
        <f>_xlfn.XLOOKUP(Sheet1[[#This Row],[day_id]],calendar!A217,calendar!J217)</f>
        <v>No Event</v>
      </c>
      <c r="J947" t="str">
        <f>_xlfn.XLOOKUP(Sheet1[[#This Row],[day_id]],calendar!A217,calendar!K217)</f>
        <v>No Event Type</v>
      </c>
      <c r="K947">
        <f>_xlfn.XLOOKUP(calendar!A217,calendar!A217,calendar!I217)</f>
        <v>1</v>
      </c>
    </row>
    <row r="948" spans="1:11" x14ac:dyDescent="0.2">
      <c r="A948" t="s">
        <v>371</v>
      </c>
      <c r="B948" t="s">
        <v>369</v>
      </c>
      <c r="C948" t="s">
        <v>218</v>
      </c>
      <c r="D948">
        <v>13</v>
      </c>
      <c r="E948" s="1">
        <f>_xlfn.XLOOKUP(Sheet1[[#This Row],[day_id]],calendar!A218,calendar!B218)</f>
        <v>40788</v>
      </c>
      <c r="F948" t="str">
        <f>_xlfn.XLOOKUP(Sheet1[[#This Row],[day_id]],calendar!A218,calendar!C218)</f>
        <v>Friday</v>
      </c>
      <c r="G948">
        <f>_xlfn.XLOOKUP(Sheet1[[#This Row],[day_id]],calendar!A218,calendar!E218)</f>
        <v>9</v>
      </c>
      <c r="H948">
        <f>_xlfn.XLOOKUP(Sheet1[[#This Row],[day_id]],calendar!A218,calendar!F218)</f>
        <v>2011</v>
      </c>
      <c r="I948" t="str">
        <f>_xlfn.XLOOKUP(Sheet1[[#This Row],[day_id]],calendar!A218,calendar!J218)</f>
        <v>No Event</v>
      </c>
      <c r="J948" t="str">
        <f>_xlfn.XLOOKUP(Sheet1[[#This Row],[day_id]],calendar!A218,calendar!K218)</f>
        <v>No Event Type</v>
      </c>
      <c r="K948">
        <f>_xlfn.XLOOKUP(calendar!A218,calendar!A218,calendar!I218)</f>
        <v>1</v>
      </c>
    </row>
    <row r="949" spans="1:11" x14ac:dyDescent="0.2">
      <c r="A949" t="s">
        <v>371</v>
      </c>
      <c r="B949" t="s">
        <v>369</v>
      </c>
      <c r="C949" t="s">
        <v>219</v>
      </c>
      <c r="D949">
        <v>15</v>
      </c>
      <c r="E949" s="1">
        <f>_xlfn.XLOOKUP(Sheet1[[#This Row],[day_id]],calendar!A219,calendar!B219)</f>
        <v>40789</v>
      </c>
      <c r="F949" t="str">
        <f>_xlfn.XLOOKUP(Sheet1[[#This Row],[day_id]],calendar!A219,calendar!C219)</f>
        <v>Saturday</v>
      </c>
      <c r="G949">
        <f>_xlfn.XLOOKUP(Sheet1[[#This Row],[day_id]],calendar!A219,calendar!E219)</f>
        <v>9</v>
      </c>
      <c r="H949">
        <f>_xlfn.XLOOKUP(Sheet1[[#This Row],[day_id]],calendar!A219,calendar!F219)</f>
        <v>2011</v>
      </c>
      <c r="I949" t="str">
        <f>_xlfn.XLOOKUP(Sheet1[[#This Row],[day_id]],calendar!A219,calendar!J219)</f>
        <v>No Event</v>
      </c>
      <c r="J949" t="str">
        <f>_xlfn.XLOOKUP(Sheet1[[#This Row],[day_id]],calendar!A219,calendar!K219)</f>
        <v>No Event Type</v>
      </c>
      <c r="K949">
        <f>_xlfn.XLOOKUP(calendar!A219,calendar!A219,calendar!I219)</f>
        <v>1</v>
      </c>
    </row>
    <row r="950" spans="1:11" x14ac:dyDescent="0.2">
      <c r="A950" t="s">
        <v>371</v>
      </c>
      <c r="B950" t="s">
        <v>369</v>
      </c>
      <c r="C950" t="s">
        <v>220</v>
      </c>
      <c r="D950">
        <v>8</v>
      </c>
      <c r="E950" s="1">
        <f>_xlfn.XLOOKUP(Sheet1[[#This Row],[day_id]],calendar!A220,calendar!B220)</f>
        <v>40790</v>
      </c>
      <c r="F950" t="str">
        <f>_xlfn.XLOOKUP(Sheet1[[#This Row],[day_id]],calendar!A220,calendar!C220)</f>
        <v>Sunday</v>
      </c>
      <c r="G950">
        <f>_xlfn.XLOOKUP(Sheet1[[#This Row],[day_id]],calendar!A220,calendar!E220)</f>
        <v>9</v>
      </c>
      <c r="H950">
        <f>_xlfn.XLOOKUP(Sheet1[[#This Row],[day_id]],calendar!A220,calendar!F220)</f>
        <v>2011</v>
      </c>
      <c r="I950" t="str">
        <f>_xlfn.XLOOKUP(Sheet1[[#This Row],[day_id]],calendar!A220,calendar!J220)</f>
        <v>No Event</v>
      </c>
      <c r="J950" t="str">
        <f>_xlfn.XLOOKUP(Sheet1[[#This Row],[day_id]],calendar!A220,calendar!K220)</f>
        <v>No Event Type</v>
      </c>
      <c r="K950">
        <f>_xlfn.XLOOKUP(calendar!A220,calendar!A220,calendar!I220)</f>
        <v>1</v>
      </c>
    </row>
    <row r="951" spans="1:11" x14ac:dyDescent="0.2">
      <c r="A951" t="s">
        <v>371</v>
      </c>
      <c r="B951" t="s">
        <v>369</v>
      </c>
      <c r="C951" t="s">
        <v>221</v>
      </c>
      <c r="D951">
        <v>10</v>
      </c>
      <c r="E951" s="1">
        <f>_xlfn.XLOOKUP(Sheet1[[#This Row],[day_id]],calendar!A221,calendar!B221)</f>
        <v>40791</v>
      </c>
      <c r="F951" t="str">
        <f>_xlfn.XLOOKUP(Sheet1[[#This Row],[day_id]],calendar!A221,calendar!C221)</f>
        <v>Monday</v>
      </c>
      <c r="G951">
        <f>_xlfn.XLOOKUP(Sheet1[[#This Row],[day_id]],calendar!A221,calendar!E221)</f>
        <v>9</v>
      </c>
      <c r="H951">
        <f>_xlfn.XLOOKUP(Sheet1[[#This Row],[day_id]],calendar!A221,calendar!F221)</f>
        <v>2011</v>
      </c>
      <c r="I951" t="str">
        <f>_xlfn.XLOOKUP(Sheet1[[#This Row],[day_id]],calendar!A221,calendar!J221)</f>
        <v>LaborDay</v>
      </c>
      <c r="J951" t="str">
        <f>_xlfn.XLOOKUP(Sheet1[[#This Row],[day_id]],calendar!A221,calendar!K221)</f>
        <v>National</v>
      </c>
      <c r="K951">
        <f>_xlfn.XLOOKUP(calendar!A221,calendar!A221,calendar!I221)</f>
        <v>1</v>
      </c>
    </row>
    <row r="952" spans="1:11" x14ac:dyDescent="0.2">
      <c r="A952" t="s">
        <v>371</v>
      </c>
      <c r="B952" t="s">
        <v>369</v>
      </c>
      <c r="C952" t="s">
        <v>222</v>
      </c>
      <c r="D952">
        <v>1</v>
      </c>
      <c r="E952" s="1">
        <f>_xlfn.XLOOKUP(Sheet1[[#This Row],[day_id]],calendar!A222,calendar!B222)</f>
        <v>40792</v>
      </c>
      <c r="F952" t="str">
        <f>_xlfn.XLOOKUP(Sheet1[[#This Row],[day_id]],calendar!A222,calendar!C222)</f>
        <v>Tuesday</v>
      </c>
      <c r="G952">
        <f>_xlfn.XLOOKUP(Sheet1[[#This Row],[day_id]],calendar!A222,calendar!E222)</f>
        <v>9</v>
      </c>
      <c r="H952">
        <f>_xlfn.XLOOKUP(Sheet1[[#This Row],[day_id]],calendar!A222,calendar!F222)</f>
        <v>2011</v>
      </c>
      <c r="I952" t="str">
        <f>_xlfn.XLOOKUP(Sheet1[[#This Row],[day_id]],calendar!A222,calendar!J222)</f>
        <v>No Event</v>
      </c>
      <c r="J952" t="str">
        <f>_xlfn.XLOOKUP(Sheet1[[#This Row],[day_id]],calendar!A222,calendar!K222)</f>
        <v>No Event Type</v>
      </c>
      <c r="K952">
        <f>_xlfn.XLOOKUP(calendar!A222,calendar!A222,calendar!I222)</f>
        <v>1</v>
      </c>
    </row>
    <row r="953" spans="1:11" x14ac:dyDescent="0.2">
      <c r="A953" t="s">
        <v>371</v>
      </c>
      <c r="B953" t="s">
        <v>369</v>
      </c>
      <c r="C953" t="s">
        <v>223</v>
      </c>
      <c r="D953">
        <v>2</v>
      </c>
      <c r="E953" s="1">
        <f>_xlfn.XLOOKUP(Sheet1[[#This Row],[day_id]],calendar!A223,calendar!B223)</f>
        <v>40793</v>
      </c>
      <c r="F953" t="str">
        <f>_xlfn.XLOOKUP(Sheet1[[#This Row],[day_id]],calendar!A223,calendar!C223)</f>
        <v>Wednesday</v>
      </c>
      <c r="G953">
        <f>_xlfn.XLOOKUP(Sheet1[[#This Row],[day_id]],calendar!A223,calendar!E223)</f>
        <v>9</v>
      </c>
      <c r="H953">
        <f>_xlfn.XLOOKUP(Sheet1[[#This Row],[day_id]],calendar!A223,calendar!F223)</f>
        <v>2011</v>
      </c>
      <c r="I953" t="str">
        <f>_xlfn.XLOOKUP(Sheet1[[#This Row],[day_id]],calendar!A223,calendar!J223)</f>
        <v>No Event</v>
      </c>
      <c r="J953" t="str">
        <f>_xlfn.XLOOKUP(Sheet1[[#This Row],[day_id]],calendar!A223,calendar!K223)</f>
        <v>No Event Type</v>
      </c>
      <c r="K953">
        <f>_xlfn.XLOOKUP(calendar!A223,calendar!A223,calendar!I223)</f>
        <v>1</v>
      </c>
    </row>
    <row r="954" spans="1:11" x14ac:dyDescent="0.2">
      <c r="A954" t="s">
        <v>371</v>
      </c>
      <c r="B954" t="s">
        <v>369</v>
      </c>
      <c r="C954" t="s">
        <v>224</v>
      </c>
      <c r="D954">
        <v>2</v>
      </c>
      <c r="E954" s="1">
        <f>_xlfn.XLOOKUP(Sheet1[[#This Row],[day_id]],calendar!A224,calendar!B224)</f>
        <v>40794</v>
      </c>
      <c r="F954" t="str">
        <f>_xlfn.XLOOKUP(Sheet1[[#This Row],[day_id]],calendar!A224,calendar!C224)</f>
        <v>Thursday</v>
      </c>
      <c r="G954">
        <f>_xlfn.XLOOKUP(Sheet1[[#This Row],[day_id]],calendar!A224,calendar!E224)</f>
        <v>9</v>
      </c>
      <c r="H954">
        <f>_xlfn.XLOOKUP(Sheet1[[#This Row],[day_id]],calendar!A224,calendar!F224)</f>
        <v>2011</v>
      </c>
      <c r="I954" t="str">
        <f>_xlfn.XLOOKUP(Sheet1[[#This Row],[day_id]],calendar!A224,calendar!J224)</f>
        <v>No Event</v>
      </c>
      <c r="J954" t="str">
        <f>_xlfn.XLOOKUP(Sheet1[[#This Row],[day_id]],calendar!A224,calendar!K224)</f>
        <v>No Event Type</v>
      </c>
      <c r="K954">
        <f>_xlfn.XLOOKUP(calendar!A224,calendar!A224,calendar!I224)</f>
        <v>1</v>
      </c>
    </row>
    <row r="955" spans="1:11" x14ac:dyDescent="0.2">
      <c r="A955" t="s">
        <v>371</v>
      </c>
      <c r="B955" t="s">
        <v>369</v>
      </c>
      <c r="C955" t="s">
        <v>225</v>
      </c>
      <c r="D955">
        <v>4</v>
      </c>
      <c r="E955" s="1">
        <f>_xlfn.XLOOKUP(Sheet1[[#This Row],[day_id]],calendar!A225,calendar!B225)</f>
        <v>40795</v>
      </c>
      <c r="F955" t="str">
        <f>_xlfn.XLOOKUP(Sheet1[[#This Row],[day_id]],calendar!A225,calendar!C225)</f>
        <v>Friday</v>
      </c>
      <c r="G955">
        <f>_xlfn.XLOOKUP(Sheet1[[#This Row],[day_id]],calendar!A225,calendar!E225)</f>
        <v>9</v>
      </c>
      <c r="H955">
        <f>_xlfn.XLOOKUP(Sheet1[[#This Row],[day_id]],calendar!A225,calendar!F225)</f>
        <v>2011</v>
      </c>
      <c r="I955" t="str">
        <f>_xlfn.XLOOKUP(Sheet1[[#This Row],[day_id]],calendar!A225,calendar!J225)</f>
        <v>No Event</v>
      </c>
      <c r="J955" t="str">
        <f>_xlfn.XLOOKUP(Sheet1[[#This Row],[day_id]],calendar!A225,calendar!K225)</f>
        <v>No Event Type</v>
      </c>
      <c r="K955">
        <f>_xlfn.XLOOKUP(calendar!A225,calendar!A225,calendar!I225)</f>
        <v>1</v>
      </c>
    </row>
    <row r="956" spans="1:11" x14ac:dyDescent="0.2">
      <c r="A956" t="s">
        <v>371</v>
      </c>
      <c r="B956" t="s">
        <v>369</v>
      </c>
      <c r="C956" t="s">
        <v>226</v>
      </c>
      <c r="D956">
        <v>9</v>
      </c>
      <c r="E956" s="1">
        <f>_xlfn.XLOOKUP(Sheet1[[#This Row],[day_id]],calendar!A226,calendar!B226)</f>
        <v>40796</v>
      </c>
      <c r="F956" t="str">
        <f>_xlfn.XLOOKUP(Sheet1[[#This Row],[day_id]],calendar!A226,calendar!C226)</f>
        <v>Saturday</v>
      </c>
      <c r="G956">
        <f>_xlfn.XLOOKUP(Sheet1[[#This Row],[day_id]],calendar!A226,calendar!E226)</f>
        <v>9</v>
      </c>
      <c r="H956">
        <f>_xlfn.XLOOKUP(Sheet1[[#This Row],[day_id]],calendar!A226,calendar!F226)</f>
        <v>2011</v>
      </c>
      <c r="I956" t="str">
        <f>_xlfn.XLOOKUP(Sheet1[[#This Row],[day_id]],calendar!A226,calendar!J226)</f>
        <v>No Event</v>
      </c>
      <c r="J956" t="str">
        <f>_xlfn.XLOOKUP(Sheet1[[#This Row],[day_id]],calendar!A226,calendar!K226)</f>
        <v>No Event Type</v>
      </c>
      <c r="K956">
        <f>_xlfn.XLOOKUP(calendar!A226,calendar!A226,calendar!I226)</f>
        <v>1</v>
      </c>
    </row>
    <row r="957" spans="1:11" x14ac:dyDescent="0.2">
      <c r="A957" t="s">
        <v>371</v>
      </c>
      <c r="B957" t="s">
        <v>369</v>
      </c>
      <c r="C957" t="s">
        <v>227</v>
      </c>
      <c r="D957">
        <v>8</v>
      </c>
      <c r="E957" s="1">
        <f>_xlfn.XLOOKUP(Sheet1[[#This Row],[day_id]],calendar!A227,calendar!B227)</f>
        <v>40797</v>
      </c>
      <c r="F957" t="str">
        <f>_xlfn.XLOOKUP(Sheet1[[#This Row],[day_id]],calendar!A227,calendar!C227)</f>
        <v>Sunday</v>
      </c>
      <c r="G957">
        <f>_xlfn.XLOOKUP(Sheet1[[#This Row],[day_id]],calendar!A227,calendar!E227)</f>
        <v>9</v>
      </c>
      <c r="H957">
        <f>_xlfn.XLOOKUP(Sheet1[[#This Row],[day_id]],calendar!A227,calendar!F227)</f>
        <v>2011</v>
      </c>
      <c r="I957" t="str">
        <f>_xlfn.XLOOKUP(Sheet1[[#This Row],[day_id]],calendar!A227,calendar!J227)</f>
        <v>No Event</v>
      </c>
      <c r="J957" t="str">
        <f>_xlfn.XLOOKUP(Sheet1[[#This Row],[day_id]],calendar!A227,calendar!K227)</f>
        <v>No Event Type</v>
      </c>
      <c r="K957">
        <f>_xlfn.XLOOKUP(calendar!A227,calendar!A227,calendar!I227)</f>
        <v>0</v>
      </c>
    </row>
    <row r="958" spans="1:11" x14ac:dyDescent="0.2">
      <c r="A958" t="s">
        <v>371</v>
      </c>
      <c r="B958" t="s">
        <v>369</v>
      </c>
      <c r="C958" t="s">
        <v>228</v>
      </c>
      <c r="D958">
        <v>8</v>
      </c>
      <c r="E958" s="1">
        <f>_xlfn.XLOOKUP(Sheet1[[#This Row],[day_id]],calendar!A228,calendar!B228)</f>
        <v>40798</v>
      </c>
      <c r="F958" t="str">
        <f>_xlfn.XLOOKUP(Sheet1[[#This Row],[day_id]],calendar!A228,calendar!C228)</f>
        <v>Monday</v>
      </c>
      <c r="G958">
        <f>_xlfn.XLOOKUP(Sheet1[[#This Row],[day_id]],calendar!A228,calendar!E228)</f>
        <v>9</v>
      </c>
      <c r="H958">
        <f>_xlfn.XLOOKUP(Sheet1[[#This Row],[day_id]],calendar!A228,calendar!F228)</f>
        <v>2011</v>
      </c>
      <c r="I958" t="str">
        <f>_xlfn.XLOOKUP(Sheet1[[#This Row],[day_id]],calendar!A228,calendar!J228)</f>
        <v>No Event</v>
      </c>
      <c r="J958" t="str">
        <f>_xlfn.XLOOKUP(Sheet1[[#This Row],[day_id]],calendar!A228,calendar!K228)</f>
        <v>No Event Type</v>
      </c>
      <c r="K958">
        <f>_xlfn.XLOOKUP(calendar!A228,calendar!A228,calendar!I228)</f>
        <v>0</v>
      </c>
    </row>
    <row r="959" spans="1:11" x14ac:dyDescent="0.2">
      <c r="A959" t="s">
        <v>371</v>
      </c>
      <c r="B959" t="s">
        <v>369</v>
      </c>
      <c r="C959" t="s">
        <v>229</v>
      </c>
      <c r="D959">
        <v>2</v>
      </c>
      <c r="E959" s="1">
        <f>_xlfn.XLOOKUP(Sheet1[[#This Row],[day_id]],calendar!A229,calendar!B229)</f>
        <v>40799</v>
      </c>
      <c r="F959" t="str">
        <f>_xlfn.XLOOKUP(Sheet1[[#This Row],[day_id]],calendar!A229,calendar!C229)</f>
        <v>Tuesday</v>
      </c>
      <c r="G959">
        <f>_xlfn.XLOOKUP(Sheet1[[#This Row],[day_id]],calendar!A229,calendar!E229)</f>
        <v>9</v>
      </c>
      <c r="H959">
        <f>_xlfn.XLOOKUP(Sheet1[[#This Row],[day_id]],calendar!A229,calendar!F229)</f>
        <v>2011</v>
      </c>
      <c r="I959" t="str">
        <f>_xlfn.XLOOKUP(Sheet1[[#This Row],[day_id]],calendar!A229,calendar!J229)</f>
        <v>No Event</v>
      </c>
      <c r="J959" t="str">
        <f>_xlfn.XLOOKUP(Sheet1[[#This Row],[day_id]],calendar!A229,calendar!K229)</f>
        <v>No Event Type</v>
      </c>
      <c r="K959">
        <f>_xlfn.XLOOKUP(calendar!A229,calendar!A229,calendar!I229)</f>
        <v>0</v>
      </c>
    </row>
    <row r="960" spans="1:11" x14ac:dyDescent="0.2">
      <c r="A960" t="s">
        <v>371</v>
      </c>
      <c r="B960" t="s">
        <v>369</v>
      </c>
      <c r="C960" t="s">
        <v>230</v>
      </c>
      <c r="D960">
        <v>4</v>
      </c>
      <c r="E960" s="1">
        <f>_xlfn.XLOOKUP(Sheet1[[#This Row],[day_id]],calendar!A230,calendar!B230)</f>
        <v>40800</v>
      </c>
      <c r="F960" t="str">
        <f>_xlfn.XLOOKUP(Sheet1[[#This Row],[day_id]],calendar!A230,calendar!C230)</f>
        <v>Wednesday</v>
      </c>
      <c r="G960">
        <f>_xlfn.XLOOKUP(Sheet1[[#This Row],[day_id]],calendar!A230,calendar!E230)</f>
        <v>9</v>
      </c>
      <c r="H960">
        <f>_xlfn.XLOOKUP(Sheet1[[#This Row],[day_id]],calendar!A230,calendar!F230)</f>
        <v>2011</v>
      </c>
      <c r="I960" t="str">
        <f>_xlfn.XLOOKUP(Sheet1[[#This Row],[day_id]],calendar!A230,calendar!J230)</f>
        <v>No Event</v>
      </c>
      <c r="J960" t="str">
        <f>_xlfn.XLOOKUP(Sheet1[[#This Row],[day_id]],calendar!A230,calendar!K230)</f>
        <v>No Event Type</v>
      </c>
      <c r="K960">
        <f>_xlfn.XLOOKUP(calendar!A230,calendar!A230,calendar!I230)</f>
        <v>0</v>
      </c>
    </row>
    <row r="961" spans="1:11" x14ac:dyDescent="0.2">
      <c r="A961" t="s">
        <v>371</v>
      </c>
      <c r="B961" t="s">
        <v>369</v>
      </c>
      <c r="C961" t="s">
        <v>231</v>
      </c>
      <c r="D961">
        <v>1</v>
      </c>
      <c r="E961" s="1">
        <f>_xlfn.XLOOKUP(Sheet1[[#This Row],[day_id]],calendar!A231,calendar!B231)</f>
        <v>40801</v>
      </c>
      <c r="F961" t="str">
        <f>_xlfn.XLOOKUP(Sheet1[[#This Row],[day_id]],calendar!A231,calendar!C231)</f>
        <v>Thursday</v>
      </c>
      <c r="G961">
        <f>_xlfn.XLOOKUP(Sheet1[[#This Row],[day_id]],calendar!A231,calendar!E231)</f>
        <v>9</v>
      </c>
      <c r="H961">
        <f>_xlfn.XLOOKUP(Sheet1[[#This Row],[day_id]],calendar!A231,calendar!F231)</f>
        <v>2011</v>
      </c>
      <c r="I961" t="str">
        <f>_xlfn.XLOOKUP(Sheet1[[#This Row],[day_id]],calendar!A231,calendar!J231)</f>
        <v>No Event</v>
      </c>
      <c r="J961" t="str">
        <f>_xlfn.XLOOKUP(Sheet1[[#This Row],[day_id]],calendar!A231,calendar!K231)</f>
        <v>No Event Type</v>
      </c>
      <c r="K961">
        <f>_xlfn.XLOOKUP(calendar!A231,calendar!A231,calendar!I231)</f>
        <v>0</v>
      </c>
    </row>
    <row r="962" spans="1:11" x14ac:dyDescent="0.2">
      <c r="A962" t="s">
        <v>371</v>
      </c>
      <c r="B962" t="s">
        <v>369</v>
      </c>
      <c r="C962" t="s">
        <v>232</v>
      </c>
      <c r="D962">
        <v>1</v>
      </c>
      <c r="E962" s="1">
        <f>_xlfn.XLOOKUP(Sheet1[[#This Row],[day_id]],calendar!A232,calendar!B232)</f>
        <v>40802</v>
      </c>
      <c r="F962" t="str">
        <f>_xlfn.XLOOKUP(Sheet1[[#This Row],[day_id]],calendar!A232,calendar!C232)</f>
        <v>Friday</v>
      </c>
      <c r="G962">
        <f>_xlfn.XLOOKUP(Sheet1[[#This Row],[day_id]],calendar!A232,calendar!E232)</f>
        <v>9</v>
      </c>
      <c r="H962">
        <f>_xlfn.XLOOKUP(Sheet1[[#This Row],[day_id]],calendar!A232,calendar!F232)</f>
        <v>2011</v>
      </c>
      <c r="I962" t="str">
        <f>_xlfn.XLOOKUP(Sheet1[[#This Row],[day_id]],calendar!A232,calendar!J232)</f>
        <v>No Event</v>
      </c>
      <c r="J962" t="str">
        <f>_xlfn.XLOOKUP(Sheet1[[#This Row],[day_id]],calendar!A232,calendar!K232)</f>
        <v>No Event Type</v>
      </c>
      <c r="K962">
        <f>_xlfn.XLOOKUP(calendar!A232,calendar!A232,calendar!I232)</f>
        <v>0</v>
      </c>
    </row>
    <row r="963" spans="1:11" x14ac:dyDescent="0.2">
      <c r="A963" t="s">
        <v>371</v>
      </c>
      <c r="B963" t="s">
        <v>369</v>
      </c>
      <c r="C963" t="s">
        <v>233</v>
      </c>
      <c r="D963">
        <v>0</v>
      </c>
      <c r="E963" s="1">
        <f>_xlfn.XLOOKUP(Sheet1[[#This Row],[day_id]],calendar!A233,calendar!B233)</f>
        <v>40803</v>
      </c>
      <c r="F963" t="str">
        <f>_xlfn.XLOOKUP(Sheet1[[#This Row],[day_id]],calendar!A233,calendar!C233)</f>
        <v>Saturday</v>
      </c>
      <c r="G963">
        <f>_xlfn.XLOOKUP(Sheet1[[#This Row],[day_id]],calendar!A233,calendar!E233)</f>
        <v>9</v>
      </c>
      <c r="H963">
        <f>_xlfn.XLOOKUP(Sheet1[[#This Row],[day_id]],calendar!A233,calendar!F233)</f>
        <v>2011</v>
      </c>
      <c r="I963" t="str">
        <f>_xlfn.XLOOKUP(Sheet1[[#This Row],[day_id]],calendar!A233,calendar!J233)</f>
        <v>No Event</v>
      </c>
      <c r="J963" t="str">
        <f>_xlfn.XLOOKUP(Sheet1[[#This Row],[day_id]],calendar!A233,calendar!K233)</f>
        <v>No Event Type</v>
      </c>
      <c r="K963">
        <f>_xlfn.XLOOKUP(calendar!A233,calendar!A233,calendar!I233)</f>
        <v>0</v>
      </c>
    </row>
    <row r="964" spans="1:11" x14ac:dyDescent="0.2">
      <c r="A964" t="s">
        <v>371</v>
      </c>
      <c r="B964" t="s">
        <v>369</v>
      </c>
      <c r="C964" t="s">
        <v>234</v>
      </c>
      <c r="D964">
        <v>2</v>
      </c>
      <c r="E964" s="1">
        <f>_xlfn.XLOOKUP(Sheet1[[#This Row],[day_id]],calendar!A234,calendar!B234)</f>
        <v>40804</v>
      </c>
      <c r="F964" t="str">
        <f>_xlfn.XLOOKUP(Sheet1[[#This Row],[day_id]],calendar!A234,calendar!C234)</f>
        <v>Sunday</v>
      </c>
      <c r="G964">
        <f>_xlfn.XLOOKUP(Sheet1[[#This Row],[day_id]],calendar!A234,calendar!E234)</f>
        <v>9</v>
      </c>
      <c r="H964">
        <f>_xlfn.XLOOKUP(Sheet1[[#This Row],[day_id]],calendar!A234,calendar!F234)</f>
        <v>2011</v>
      </c>
      <c r="I964" t="str">
        <f>_xlfn.XLOOKUP(Sheet1[[#This Row],[day_id]],calendar!A234,calendar!J234)</f>
        <v>No Event</v>
      </c>
      <c r="J964" t="str">
        <f>_xlfn.XLOOKUP(Sheet1[[#This Row],[day_id]],calendar!A234,calendar!K234)</f>
        <v>No Event Type</v>
      </c>
      <c r="K964">
        <f>_xlfn.XLOOKUP(calendar!A234,calendar!A234,calendar!I234)</f>
        <v>0</v>
      </c>
    </row>
    <row r="965" spans="1:11" x14ac:dyDescent="0.2">
      <c r="A965" t="s">
        <v>371</v>
      </c>
      <c r="B965" t="s">
        <v>369</v>
      </c>
      <c r="C965" t="s">
        <v>235</v>
      </c>
      <c r="D965">
        <v>2</v>
      </c>
      <c r="E965" s="1">
        <f>_xlfn.XLOOKUP(Sheet1[[#This Row],[day_id]],calendar!A235,calendar!B235)</f>
        <v>40805</v>
      </c>
      <c r="F965" t="str">
        <f>_xlfn.XLOOKUP(Sheet1[[#This Row],[day_id]],calendar!A235,calendar!C235)</f>
        <v>Monday</v>
      </c>
      <c r="G965">
        <f>_xlfn.XLOOKUP(Sheet1[[#This Row],[day_id]],calendar!A235,calendar!E235)</f>
        <v>9</v>
      </c>
      <c r="H965">
        <f>_xlfn.XLOOKUP(Sheet1[[#This Row],[day_id]],calendar!A235,calendar!F235)</f>
        <v>2011</v>
      </c>
      <c r="I965" t="str">
        <f>_xlfn.XLOOKUP(Sheet1[[#This Row],[day_id]],calendar!A235,calendar!J235)</f>
        <v>No Event</v>
      </c>
      <c r="J965" t="str">
        <f>_xlfn.XLOOKUP(Sheet1[[#This Row],[day_id]],calendar!A235,calendar!K235)</f>
        <v>No Event Type</v>
      </c>
      <c r="K965">
        <f>_xlfn.XLOOKUP(calendar!A235,calendar!A235,calendar!I235)</f>
        <v>0</v>
      </c>
    </row>
    <row r="966" spans="1:11" x14ac:dyDescent="0.2">
      <c r="A966" t="s">
        <v>371</v>
      </c>
      <c r="B966" t="s">
        <v>369</v>
      </c>
      <c r="C966" t="s">
        <v>236</v>
      </c>
      <c r="D966">
        <v>0</v>
      </c>
      <c r="E966" s="1">
        <f>_xlfn.XLOOKUP(Sheet1[[#This Row],[day_id]],calendar!A236,calendar!B236)</f>
        <v>40806</v>
      </c>
      <c r="F966" t="str">
        <f>_xlfn.XLOOKUP(Sheet1[[#This Row],[day_id]],calendar!A236,calendar!C236)</f>
        <v>Tuesday</v>
      </c>
      <c r="G966">
        <f>_xlfn.XLOOKUP(Sheet1[[#This Row],[day_id]],calendar!A236,calendar!E236)</f>
        <v>9</v>
      </c>
      <c r="H966">
        <f>_xlfn.XLOOKUP(Sheet1[[#This Row],[day_id]],calendar!A236,calendar!F236)</f>
        <v>2011</v>
      </c>
      <c r="I966" t="str">
        <f>_xlfn.XLOOKUP(Sheet1[[#This Row],[day_id]],calendar!A236,calendar!J236)</f>
        <v>No Event</v>
      </c>
      <c r="J966" t="str">
        <f>_xlfn.XLOOKUP(Sheet1[[#This Row],[day_id]],calendar!A236,calendar!K236)</f>
        <v>No Event Type</v>
      </c>
      <c r="K966">
        <f>_xlfn.XLOOKUP(calendar!A236,calendar!A236,calendar!I236)</f>
        <v>0</v>
      </c>
    </row>
    <row r="967" spans="1:11" x14ac:dyDescent="0.2">
      <c r="A967" t="s">
        <v>371</v>
      </c>
      <c r="B967" t="s">
        <v>369</v>
      </c>
      <c r="C967" t="s">
        <v>237</v>
      </c>
      <c r="D967">
        <v>0</v>
      </c>
      <c r="E967" s="1">
        <f>_xlfn.XLOOKUP(Sheet1[[#This Row],[day_id]],calendar!A237,calendar!B237)</f>
        <v>40807</v>
      </c>
      <c r="F967" t="str">
        <f>_xlfn.XLOOKUP(Sheet1[[#This Row],[day_id]],calendar!A237,calendar!C237)</f>
        <v>Wednesday</v>
      </c>
      <c r="G967">
        <f>_xlfn.XLOOKUP(Sheet1[[#This Row],[day_id]],calendar!A237,calendar!E237)</f>
        <v>9</v>
      </c>
      <c r="H967">
        <f>_xlfn.XLOOKUP(Sheet1[[#This Row],[day_id]],calendar!A237,calendar!F237)</f>
        <v>2011</v>
      </c>
      <c r="I967" t="str">
        <f>_xlfn.XLOOKUP(Sheet1[[#This Row],[day_id]],calendar!A237,calendar!J237)</f>
        <v>No Event</v>
      </c>
      <c r="J967" t="str">
        <f>_xlfn.XLOOKUP(Sheet1[[#This Row],[day_id]],calendar!A237,calendar!K237)</f>
        <v>No Event Type</v>
      </c>
      <c r="K967">
        <f>_xlfn.XLOOKUP(calendar!A237,calendar!A237,calendar!I237)</f>
        <v>0</v>
      </c>
    </row>
    <row r="968" spans="1:11" x14ac:dyDescent="0.2">
      <c r="A968" t="s">
        <v>371</v>
      </c>
      <c r="B968" t="s">
        <v>369</v>
      </c>
      <c r="C968" t="s">
        <v>238</v>
      </c>
      <c r="D968">
        <v>0</v>
      </c>
      <c r="E968" s="1">
        <f>_xlfn.XLOOKUP(Sheet1[[#This Row],[day_id]],calendar!A238,calendar!B238)</f>
        <v>40808</v>
      </c>
      <c r="F968" t="str">
        <f>_xlfn.XLOOKUP(Sheet1[[#This Row],[day_id]],calendar!A238,calendar!C238)</f>
        <v>Thursday</v>
      </c>
      <c r="G968">
        <f>_xlfn.XLOOKUP(Sheet1[[#This Row],[day_id]],calendar!A238,calendar!E238)</f>
        <v>9</v>
      </c>
      <c r="H968">
        <f>_xlfn.XLOOKUP(Sheet1[[#This Row],[day_id]],calendar!A238,calendar!F238)</f>
        <v>2011</v>
      </c>
      <c r="I968" t="str">
        <f>_xlfn.XLOOKUP(Sheet1[[#This Row],[day_id]],calendar!A238,calendar!J238)</f>
        <v>No Event</v>
      </c>
      <c r="J968" t="str">
        <f>_xlfn.XLOOKUP(Sheet1[[#This Row],[day_id]],calendar!A238,calendar!K238)</f>
        <v>No Event Type</v>
      </c>
      <c r="K968">
        <f>_xlfn.XLOOKUP(calendar!A238,calendar!A238,calendar!I238)</f>
        <v>0</v>
      </c>
    </row>
    <row r="969" spans="1:11" x14ac:dyDescent="0.2">
      <c r="A969" t="s">
        <v>371</v>
      </c>
      <c r="B969" t="s">
        <v>369</v>
      </c>
      <c r="C969" t="s">
        <v>239</v>
      </c>
      <c r="D969">
        <v>3</v>
      </c>
      <c r="E969" s="1">
        <f>_xlfn.XLOOKUP(Sheet1[[#This Row],[day_id]],calendar!A239,calendar!B239)</f>
        <v>40809</v>
      </c>
      <c r="F969" t="str">
        <f>_xlfn.XLOOKUP(Sheet1[[#This Row],[day_id]],calendar!A239,calendar!C239)</f>
        <v>Friday</v>
      </c>
      <c r="G969">
        <f>_xlfn.XLOOKUP(Sheet1[[#This Row],[day_id]],calendar!A239,calendar!E239)</f>
        <v>9</v>
      </c>
      <c r="H969">
        <f>_xlfn.XLOOKUP(Sheet1[[#This Row],[day_id]],calendar!A239,calendar!F239)</f>
        <v>2011</v>
      </c>
      <c r="I969" t="str">
        <f>_xlfn.XLOOKUP(Sheet1[[#This Row],[day_id]],calendar!A239,calendar!J239)</f>
        <v>No Event</v>
      </c>
      <c r="J969" t="str">
        <f>_xlfn.XLOOKUP(Sheet1[[#This Row],[day_id]],calendar!A239,calendar!K239)</f>
        <v>No Event Type</v>
      </c>
      <c r="K969">
        <f>_xlfn.XLOOKUP(calendar!A239,calendar!A239,calendar!I239)</f>
        <v>0</v>
      </c>
    </row>
    <row r="970" spans="1:11" x14ac:dyDescent="0.2">
      <c r="A970" t="s">
        <v>371</v>
      </c>
      <c r="B970" t="s">
        <v>369</v>
      </c>
      <c r="C970" t="s">
        <v>240</v>
      </c>
      <c r="D970">
        <v>2</v>
      </c>
      <c r="E970" s="1">
        <f>_xlfn.XLOOKUP(Sheet1[[#This Row],[day_id]],calendar!A240,calendar!B240)</f>
        <v>40810</v>
      </c>
      <c r="F970" t="str">
        <f>_xlfn.XLOOKUP(Sheet1[[#This Row],[day_id]],calendar!A240,calendar!C240)</f>
        <v>Saturday</v>
      </c>
      <c r="G970">
        <f>_xlfn.XLOOKUP(Sheet1[[#This Row],[day_id]],calendar!A240,calendar!E240)</f>
        <v>9</v>
      </c>
      <c r="H970">
        <f>_xlfn.XLOOKUP(Sheet1[[#This Row],[day_id]],calendar!A240,calendar!F240)</f>
        <v>2011</v>
      </c>
      <c r="I970" t="str">
        <f>_xlfn.XLOOKUP(Sheet1[[#This Row],[day_id]],calendar!A240,calendar!J240)</f>
        <v>No Event</v>
      </c>
      <c r="J970" t="str">
        <f>_xlfn.XLOOKUP(Sheet1[[#This Row],[day_id]],calendar!A240,calendar!K240)</f>
        <v>No Event Type</v>
      </c>
      <c r="K970">
        <f>_xlfn.XLOOKUP(calendar!A240,calendar!A240,calendar!I240)</f>
        <v>0</v>
      </c>
    </row>
    <row r="971" spans="1:11" x14ac:dyDescent="0.2">
      <c r="A971" t="s">
        <v>371</v>
      </c>
      <c r="B971" t="s">
        <v>369</v>
      </c>
      <c r="C971" t="s">
        <v>241</v>
      </c>
      <c r="D971">
        <v>2</v>
      </c>
      <c r="E971" s="1">
        <f>_xlfn.XLOOKUP(Sheet1[[#This Row],[day_id]],calendar!A241,calendar!B241)</f>
        <v>40811</v>
      </c>
      <c r="F971" t="str">
        <f>_xlfn.XLOOKUP(Sheet1[[#This Row],[day_id]],calendar!A241,calendar!C241)</f>
        <v>Sunday</v>
      </c>
      <c r="G971">
        <f>_xlfn.XLOOKUP(Sheet1[[#This Row],[day_id]],calendar!A241,calendar!E241)</f>
        <v>9</v>
      </c>
      <c r="H971">
        <f>_xlfn.XLOOKUP(Sheet1[[#This Row],[day_id]],calendar!A241,calendar!F241)</f>
        <v>2011</v>
      </c>
      <c r="I971" t="str">
        <f>_xlfn.XLOOKUP(Sheet1[[#This Row],[day_id]],calendar!A241,calendar!J241)</f>
        <v>No Event</v>
      </c>
      <c r="J971" t="str">
        <f>_xlfn.XLOOKUP(Sheet1[[#This Row],[day_id]],calendar!A241,calendar!K241)</f>
        <v>No Event Type</v>
      </c>
      <c r="K971">
        <f>_xlfn.XLOOKUP(calendar!A241,calendar!A241,calendar!I241)</f>
        <v>0</v>
      </c>
    </row>
    <row r="972" spans="1:11" x14ac:dyDescent="0.2">
      <c r="A972" t="s">
        <v>371</v>
      </c>
      <c r="B972" t="s">
        <v>369</v>
      </c>
      <c r="C972" t="s">
        <v>242</v>
      </c>
      <c r="D972">
        <v>2</v>
      </c>
      <c r="E972" s="1">
        <f>_xlfn.XLOOKUP(Sheet1[[#This Row],[day_id]],calendar!A242,calendar!B242)</f>
        <v>40812</v>
      </c>
      <c r="F972" t="str">
        <f>_xlfn.XLOOKUP(Sheet1[[#This Row],[day_id]],calendar!A242,calendar!C242)</f>
        <v>Monday</v>
      </c>
      <c r="G972">
        <f>_xlfn.XLOOKUP(Sheet1[[#This Row],[day_id]],calendar!A242,calendar!E242)</f>
        <v>9</v>
      </c>
      <c r="H972">
        <f>_xlfn.XLOOKUP(Sheet1[[#This Row],[day_id]],calendar!A242,calendar!F242)</f>
        <v>2011</v>
      </c>
      <c r="I972" t="str">
        <f>_xlfn.XLOOKUP(Sheet1[[#This Row],[day_id]],calendar!A242,calendar!J242)</f>
        <v>No Event</v>
      </c>
      <c r="J972" t="str">
        <f>_xlfn.XLOOKUP(Sheet1[[#This Row],[day_id]],calendar!A242,calendar!K242)</f>
        <v>No Event Type</v>
      </c>
      <c r="K972">
        <f>_xlfn.XLOOKUP(calendar!A242,calendar!A242,calendar!I242)</f>
        <v>0</v>
      </c>
    </row>
    <row r="973" spans="1:11" x14ac:dyDescent="0.2">
      <c r="A973" t="s">
        <v>371</v>
      </c>
      <c r="B973" t="s">
        <v>369</v>
      </c>
      <c r="C973" t="s">
        <v>243</v>
      </c>
      <c r="D973">
        <v>0</v>
      </c>
      <c r="E973" s="1">
        <f>_xlfn.XLOOKUP(Sheet1[[#This Row],[day_id]],calendar!A243,calendar!B243)</f>
        <v>40813</v>
      </c>
      <c r="F973" t="str">
        <f>_xlfn.XLOOKUP(Sheet1[[#This Row],[day_id]],calendar!A243,calendar!C243)</f>
        <v>Tuesday</v>
      </c>
      <c r="G973">
        <f>_xlfn.XLOOKUP(Sheet1[[#This Row],[day_id]],calendar!A243,calendar!E243)</f>
        <v>9</v>
      </c>
      <c r="H973">
        <f>_xlfn.XLOOKUP(Sheet1[[#This Row],[day_id]],calendar!A243,calendar!F243)</f>
        <v>2011</v>
      </c>
      <c r="I973" t="str">
        <f>_xlfn.XLOOKUP(Sheet1[[#This Row],[day_id]],calendar!A243,calendar!J243)</f>
        <v>No Event</v>
      </c>
      <c r="J973" t="str">
        <f>_xlfn.XLOOKUP(Sheet1[[#This Row],[day_id]],calendar!A243,calendar!K243)</f>
        <v>No Event Type</v>
      </c>
      <c r="K973">
        <f>_xlfn.XLOOKUP(calendar!A243,calendar!A243,calendar!I243)</f>
        <v>0</v>
      </c>
    </row>
    <row r="974" spans="1:11" x14ac:dyDescent="0.2">
      <c r="A974" t="s">
        <v>371</v>
      </c>
      <c r="B974" t="s">
        <v>369</v>
      </c>
      <c r="C974" t="s">
        <v>244</v>
      </c>
      <c r="D974">
        <v>0</v>
      </c>
      <c r="E974" s="1">
        <f>_xlfn.XLOOKUP(Sheet1[[#This Row],[day_id]],calendar!A244,calendar!B244)</f>
        <v>40814</v>
      </c>
      <c r="F974" t="str">
        <f>_xlfn.XLOOKUP(Sheet1[[#This Row],[day_id]],calendar!A244,calendar!C244)</f>
        <v>Wednesday</v>
      </c>
      <c r="G974">
        <f>_xlfn.XLOOKUP(Sheet1[[#This Row],[day_id]],calendar!A244,calendar!E244)</f>
        <v>9</v>
      </c>
      <c r="H974">
        <f>_xlfn.XLOOKUP(Sheet1[[#This Row],[day_id]],calendar!A244,calendar!F244)</f>
        <v>2011</v>
      </c>
      <c r="I974" t="str">
        <f>_xlfn.XLOOKUP(Sheet1[[#This Row],[day_id]],calendar!A244,calendar!J244)</f>
        <v>No Event</v>
      </c>
      <c r="J974" t="str">
        <f>_xlfn.XLOOKUP(Sheet1[[#This Row],[day_id]],calendar!A244,calendar!K244)</f>
        <v>No Event Type</v>
      </c>
      <c r="K974">
        <f>_xlfn.XLOOKUP(calendar!A244,calendar!A244,calendar!I244)</f>
        <v>0</v>
      </c>
    </row>
    <row r="975" spans="1:11" x14ac:dyDescent="0.2">
      <c r="A975" t="s">
        <v>371</v>
      </c>
      <c r="B975" t="s">
        <v>369</v>
      </c>
      <c r="C975" t="s">
        <v>245</v>
      </c>
      <c r="D975">
        <v>1</v>
      </c>
      <c r="E975" s="1">
        <f>_xlfn.XLOOKUP(Sheet1[[#This Row],[day_id]],calendar!A245,calendar!B245)</f>
        <v>40815</v>
      </c>
      <c r="F975" t="str">
        <f>_xlfn.XLOOKUP(Sheet1[[#This Row],[day_id]],calendar!A245,calendar!C245)</f>
        <v>Thursday</v>
      </c>
      <c r="G975">
        <f>_xlfn.XLOOKUP(Sheet1[[#This Row],[day_id]],calendar!A245,calendar!E245)</f>
        <v>9</v>
      </c>
      <c r="H975">
        <f>_xlfn.XLOOKUP(Sheet1[[#This Row],[day_id]],calendar!A245,calendar!F245)</f>
        <v>2011</v>
      </c>
      <c r="I975" t="str">
        <f>_xlfn.XLOOKUP(Sheet1[[#This Row],[day_id]],calendar!A245,calendar!J245)</f>
        <v>No Event</v>
      </c>
      <c r="J975" t="str">
        <f>_xlfn.XLOOKUP(Sheet1[[#This Row],[day_id]],calendar!A245,calendar!K245)</f>
        <v>No Event Type</v>
      </c>
      <c r="K975">
        <f>_xlfn.XLOOKUP(calendar!A245,calendar!A245,calendar!I245)</f>
        <v>0</v>
      </c>
    </row>
    <row r="976" spans="1:11" x14ac:dyDescent="0.2">
      <c r="A976" t="s">
        <v>371</v>
      </c>
      <c r="B976" t="s">
        <v>369</v>
      </c>
      <c r="C976" t="s">
        <v>246</v>
      </c>
      <c r="D976">
        <v>2</v>
      </c>
      <c r="E976" s="1">
        <f>_xlfn.XLOOKUP(Sheet1[[#This Row],[day_id]],calendar!A246,calendar!B246)</f>
        <v>40816</v>
      </c>
      <c r="F976" t="str">
        <f>_xlfn.XLOOKUP(Sheet1[[#This Row],[day_id]],calendar!A246,calendar!C246)</f>
        <v>Friday</v>
      </c>
      <c r="G976">
        <f>_xlfn.XLOOKUP(Sheet1[[#This Row],[day_id]],calendar!A246,calendar!E246)</f>
        <v>9</v>
      </c>
      <c r="H976">
        <f>_xlfn.XLOOKUP(Sheet1[[#This Row],[day_id]],calendar!A246,calendar!F246)</f>
        <v>2011</v>
      </c>
      <c r="I976" t="str">
        <f>_xlfn.XLOOKUP(Sheet1[[#This Row],[day_id]],calendar!A246,calendar!J246)</f>
        <v>No Event</v>
      </c>
      <c r="J976" t="str">
        <f>_xlfn.XLOOKUP(Sheet1[[#This Row],[day_id]],calendar!A246,calendar!K246)</f>
        <v>No Event Type</v>
      </c>
      <c r="K976">
        <f>_xlfn.XLOOKUP(calendar!A246,calendar!A246,calendar!I246)</f>
        <v>0</v>
      </c>
    </row>
    <row r="977" spans="1:11" x14ac:dyDescent="0.2">
      <c r="A977" t="s">
        <v>371</v>
      </c>
      <c r="B977" t="s">
        <v>369</v>
      </c>
      <c r="C977" t="s">
        <v>247</v>
      </c>
      <c r="D977">
        <v>1</v>
      </c>
      <c r="E977" s="1">
        <f>_xlfn.XLOOKUP(Sheet1[[#This Row],[day_id]],calendar!A247,calendar!B247)</f>
        <v>40817</v>
      </c>
      <c r="F977" t="str">
        <f>_xlfn.XLOOKUP(Sheet1[[#This Row],[day_id]],calendar!A247,calendar!C247)</f>
        <v>Saturday</v>
      </c>
      <c r="G977">
        <f>_xlfn.XLOOKUP(Sheet1[[#This Row],[day_id]],calendar!A247,calendar!E247)</f>
        <v>10</v>
      </c>
      <c r="H977">
        <f>_xlfn.XLOOKUP(Sheet1[[#This Row],[day_id]],calendar!A247,calendar!F247)</f>
        <v>2011</v>
      </c>
      <c r="I977" t="str">
        <f>_xlfn.XLOOKUP(Sheet1[[#This Row],[day_id]],calendar!A247,calendar!J247)</f>
        <v>No Event</v>
      </c>
      <c r="J977" t="str">
        <f>_xlfn.XLOOKUP(Sheet1[[#This Row],[day_id]],calendar!A247,calendar!K247)</f>
        <v>No Event Type</v>
      </c>
      <c r="K977">
        <f>_xlfn.XLOOKUP(calendar!A247,calendar!A247,calendar!I247)</f>
        <v>1</v>
      </c>
    </row>
    <row r="978" spans="1:11" x14ac:dyDescent="0.2">
      <c r="A978" t="s">
        <v>371</v>
      </c>
      <c r="B978" t="s">
        <v>369</v>
      </c>
      <c r="C978" t="s">
        <v>248</v>
      </c>
      <c r="D978">
        <v>4</v>
      </c>
      <c r="E978" s="1">
        <f>_xlfn.XLOOKUP(Sheet1[[#This Row],[day_id]],calendar!A248,calendar!B248)</f>
        <v>40818</v>
      </c>
      <c r="F978" t="str">
        <f>_xlfn.XLOOKUP(Sheet1[[#This Row],[day_id]],calendar!A248,calendar!C248)</f>
        <v>Sunday</v>
      </c>
      <c r="G978">
        <f>_xlfn.XLOOKUP(Sheet1[[#This Row],[day_id]],calendar!A248,calendar!E248)</f>
        <v>10</v>
      </c>
      <c r="H978">
        <f>_xlfn.XLOOKUP(Sheet1[[#This Row],[day_id]],calendar!A248,calendar!F248)</f>
        <v>2011</v>
      </c>
      <c r="I978" t="str">
        <f>_xlfn.XLOOKUP(Sheet1[[#This Row],[day_id]],calendar!A248,calendar!J248)</f>
        <v>No Event</v>
      </c>
      <c r="J978" t="str">
        <f>_xlfn.XLOOKUP(Sheet1[[#This Row],[day_id]],calendar!A248,calendar!K248)</f>
        <v>No Event Type</v>
      </c>
      <c r="K978">
        <f>_xlfn.XLOOKUP(calendar!A248,calendar!A248,calendar!I248)</f>
        <v>1</v>
      </c>
    </row>
    <row r="979" spans="1:11" x14ac:dyDescent="0.2">
      <c r="A979" t="s">
        <v>371</v>
      </c>
      <c r="B979" t="s">
        <v>369</v>
      </c>
      <c r="C979" t="s">
        <v>249</v>
      </c>
      <c r="D979">
        <v>9</v>
      </c>
      <c r="E979" s="1">
        <f>_xlfn.XLOOKUP(Sheet1[[#This Row],[day_id]],calendar!A249,calendar!B249)</f>
        <v>40819</v>
      </c>
      <c r="F979" t="str">
        <f>_xlfn.XLOOKUP(Sheet1[[#This Row],[day_id]],calendar!A249,calendar!C249)</f>
        <v>Monday</v>
      </c>
      <c r="G979">
        <f>_xlfn.XLOOKUP(Sheet1[[#This Row],[day_id]],calendar!A249,calendar!E249)</f>
        <v>10</v>
      </c>
      <c r="H979">
        <f>_xlfn.XLOOKUP(Sheet1[[#This Row],[day_id]],calendar!A249,calendar!F249)</f>
        <v>2011</v>
      </c>
      <c r="I979" t="str">
        <f>_xlfn.XLOOKUP(Sheet1[[#This Row],[day_id]],calendar!A249,calendar!J249)</f>
        <v>No Event</v>
      </c>
      <c r="J979" t="str">
        <f>_xlfn.XLOOKUP(Sheet1[[#This Row],[day_id]],calendar!A249,calendar!K249)</f>
        <v>No Event Type</v>
      </c>
      <c r="K979">
        <f>_xlfn.XLOOKUP(calendar!A249,calendar!A249,calendar!I249)</f>
        <v>1</v>
      </c>
    </row>
    <row r="980" spans="1:11" x14ac:dyDescent="0.2">
      <c r="A980" t="s">
        <v>371</v>
      </c>
      <c r="B980" t="s">
        <v>369</v>
      </c>
      <c r="C980" t="s">
        <v>250</v>
      </c>
      <c r="D980">
        <v>0</v>
      </c>
      <c r="E980" s="1">
        <f>_xlfn.XLOOKUP(Sheet1[[#This Row],[day_id]],calendar!A250,calendar!B250)</f>
        <v>40820</v>
      </c>
      <c r="F980" t="str">
        <f>_xlfn.XLOOKUP(Sheet1[[#This Row],[day_id]],calendar!A250,calendar!C250)</f>
        <v>Tuesday</v>
      </c>
      <c r="G980">
        <f>_xlfn.XLOOKUP(Sheet1[[#This Row],[day_id]],calendar!A250,calendar!E250)</f>
        <v>10</v>
      </c>
      <c r="H980">
        <f>_xlfn.XLOOKUP(Sheet1[[#This Row],[day_id]],calendar!A250,calendar!F250)</f>
        <v>2011</v>
      </c>
      <c r="I980" t="str">
        <f>_xlfn.XLOOKUP(Sheet1[[#This Row],[day_id]],calendar!A250,calendar!J250)</f>
        <v>No Event</v>
      </c>
      <c r="J980" t="str">
        <f>_xlfn.XLOOKUP(Sheet1[[#This Row],[day_id]],calendar!A250,calendar!K250)</f>
        <v>No Event Type</v>
      </c>
      <c r="K980">
        <f>_xlfn.XLOOKUP(calendar!A250,calendar!A250,calendar!I250)</f>
        <v>1</v>
      </c>
    </row>
    <row r="981" spans="1:11" x14ac:dyDescent="0.2">
      <c r="A981" t="s">
        <v>371</v>
      </c>
      <c r="B981" t="s">
        <v>369</v>
      </c>
      <c r="C981" t="s">
        <v>251</v>
      </c>
      <c r="D981">
        <v>2</v>
      </c>
      <c r="E981" s="1">
        <f>_xlfn.XLOOKUP(Sheet1[[#This Row],[day_id]],calendar!A251,calendar!B251)</f>
        <v>40821</v>
      </c>
      <c r="F981" t="str">
        <f>_xlfn.XLOOKUP(Sheet1[[#This Row],[day_id]],calendar!A251,calendar!C251)</f>
        <v>Wednesday</v>
      </c>
      <c r="G981">
        <f>_xlfn.XLOOKUP(Sheet1[[#This Row],[day_id]],calendar!A251,calendar!E251)</f>
        <v>10</v>
      </c>
      <c r="H981">
        <f>_xlfn.XLOOKUP(Sheet1[[#This Row],[day_id]],calendar!A251,calendar!F251)</f>
        <v>2011</v>
      </c>
      <c r="I981" t="str">
        <f>_xlfn.XLOOKUP(Sheet1[[#This Row],[day_id]],calendar!A251,calendar!J251)</f>
        <v>No Event</v>
      </c>
      <c r="J981" t="str">
        <f>_xlfn.XLOOKUP(Sheet1[[#This Row],[day_id]],calendar!A251,calendar!K251)</f>
        <v>No Event Type</v>
      </c>
      <c r="K981">
        <f>_xlfn.XLOOKUP(calendar!A251,calendar!A251,calendar!I251)</f>
        <v>1</v>
      </c>
    </row>
    <row r="982" spans="1:11" x14ac:dyDescent="0.2">
      <c r="A982" t="s">
        <v>371</v>
      </c>
      <c r="B982" t="s">
        <v>369</v>
      </c>
      <c r="C982" t="s">
        <v>252</v>
      </c>
      <c r="D982">
        <v>2</v>
      </c>
      <c r="E982" s="1">
        <f>_xlfn.XLOOKUP(Sheet1[[#This Row],[day_id]],calendar!A252,calendar!B252)</f>
        <v>40822</v>
      </c>
      <c r="F982" t="str">
        <f>_xlfn.XLOOKUP(Sheet1[[#This Row],[day_id]],calendar!A252,calendar!C252)</f>
        <v>Thursday</v>
      </c>
      <c r="G982">
        <f>_xlfn.XLOOKUP(Sheet1[[#This Row],[day_id]],calendar!A252,calendar!E252)</f>
        <v>10</v>
      </c>
      <c r="H982">
        <f>_xlfn.XLOOKUP(Sheet1[[#This Row],[day_id]],calendar!A252,calendar!F252)</f>
        <v>2011</v>
      </c>
      <c r="I982" t="str">
        <f>_xlfn.XLOOKUP(Sheet1[[#This Row],[day_id]],calendar!A252,calendar!J252)</f>
        <v>No Event</v>
      </c>
      <c r="J982" t="str">
        <f>_xlfn.XLOOKUP(Sheet1[[#This Row],[day_id]],calendar!A252,calendar!K252)</f>
        <v>No Event Type</v>
      </c>
      <c r="K982">
        <f>_xlfn.XLOOKUP(calendar!A252,calendar!A252,calendar!I252)</f>
        <v>1</v>
      </c>
    </row>
    <row r="983" spans="1:11" x14ac:dyDescent="0.2">
      <c r="A983" t="s">
        <v>371</v>
      </c>
      <c r="B983" t="s">
        <v>369</v>
      </c>
      <c r="C983" t="s">
        <v>253</v>
      </c>
      <c r="D983">
        <v>2</v>
      </c>
      <c r="E983" s="1">
        <f>_xlfn.XLOOKUP(Sheet1[[#This Row],[day_id]],calendar!A253,calendar!B253)</f>
        <v>40823</v>
      </c>
      <c r="F983" t="str">
        <f>_xlfn.XLOOKUP(Sheet1[[#This Row],[day_id]],calendar!A253,calendar!C253)</f>
        <v>Friday</v>
      </c>
      <c r="G983">
        <f>_xlfn.XLOOKUP(Sheet1[[#This Row],[day_id]],calendar!A253,calendar!E253)</f>
        <v>10</v>
      </c>
      <c r="H983">
        <f>_xlfn.XLOOKUP(Sheet1[[#This Row],[day_id]],calendar!A253,calendar!F253)</f>
        <v>2011</v>
      </c>
      <c r="I983" t="str">
        <f>_xlfn.XLOOKUP(Sheet1[[#This Row],[day_id]],calendar!A253,calendar!J253)</f>
        <v>No Event</v>
      </c>
      <c r="J983" t="str">
        <f>_xlfn.XLOOKUP(Sheet1[[#This Row],[day_id]],calendar!A253,calendar!K253)</f>
        <v>No Event Type</v>
      </c>
      <c r="K983">
        <f>_xlfn.XLOOKUP(calendar!A253,calendar!A253,calendar!I253)</f>
        <v>1</v>
      </c>
    </row>
    <row r="984" spans="1:11" x14ac:dyDescent="0.2">
      <c r="A984" t="s">
        <v>371</v>
      </c>
      <c r="B984" t="s">
        <v>369</v>
      </c>
      <c r="C984" t="s">
        <v>254</v>
      </c>
      <c r="D984">
        <v>3</v>
      </c>
      <c r="E984" s="1">
        <f>_xlfn.XLOOKUP(Sheet1[[#This Row],[day_id]],calendar!A254,calendar!B254)</f>
        <v>40824</v>
      </c>
      <c r="F984" t="str">
        <f>_xlfn.XLOOKUP(Sheet1[[#This Row],[day_id]],calendar!A254,calendar!C254)</f>
        <v>Saturday</v>
      </c>
      <c r="G984">
        <f>_xlfn.XLOOKUP(Sheet1[[#This Row],[day_id]],calendar!A254,calendar!E254)</f>
        <v>10</v>
      </c>
      <c r="H984">
        <f>_xlfn.XLOOKUP(Sheet1[[#This Row],[day_id]],calendar!A254,calendar!F254)</f>
        <v>2011</v>
      </c>
      <c r="I984" t="str">
        <f>_xlfn.XLOOKUP(Sheet1[[#This Row],[day_id]],calendar!A254,calendar!J254)</f>
        <v>No Event</v>
      </c>
      <c r="J984" t="str">
        <f>_xlfn.XLOOKUP(Sheet1[[#This Row],[day_id]],calendar!A254,calendar!K254)</f>
        <v>No Event Type</v>
      </c>
      <c r="K984">
        <f>_xlfn.XLOOKUP(calendar!A254,calendar!A254,calendar!I254)</f>
        <v>1</v>
      </c>
    </row>
    <row r="985" spans="1:11" x14ac:dyDescent="0.2">
      <c r="A985" t="s">
        <v>371</v>
      </c>
      <c r="B985" t="s">
        <v>369</v>
      </c>
      <c r="C985" t="s">
        <v>255</v>
      </c>
      <c r="D985">
        <v>0</v>
      </c>
      <c r="E985" s="1">
        <f>_xlfn.XLOOKUP(Sheet1[[#This Row],[day_id]],calendar!A255,calendar!B255)</f>
        <v>40825</v>
      </c>
      <c r="F985" t="str">
        <f>_xlfn.XLOOKUP(Sheet1[[#This Row],[day_id]],calendar!A255,calendar!C255)</f>
        <v>Sunday</v>
      </c>
      <c r="G985">
        <f>_xlfn.XLOOKUP(Sheet1[[#This Row],[day_id]],calendar!A255,calendar!E255)</f>
        <v>10</v>
      </c>
      <c r="H985">
        <f>_xlfn.XLOOKUP(Sheet1[[#This Row],[day_id]],calendar!A255,calendar!F255)</f>
        <v>2011</v>
      </c>
      <c r="I985" t="str">
        <f>_xlfn.XLOOKUP(Sheet1[[#This Row],[day_id]],calendar!A255,calendar!J255)</f>
        <v>No Event</v>
      </c>
      <c r="J985" t="str">
        <f>_xlfn.XLOOKUP(Sheet1[[#This Row],[day_id]],calendar!A255,calendar!K255)</f>
        <v>No Event Type</v>
      </c>
      <c r="K985">
        <f>_xlfn.XLOOKUP(calendar!A255,calendar!A255,calendar!I255)</f>
        <v>1</v>
      </c>
    </row>
    <row r="986" spans="1:11" x14ac:dyDescent="0.2">
      <c r="A986" t="s">
        <v>371</v>
      </c>
      <c r="B986" t="s">
        <v>369</v>
      </c>
      <c r="C986" t="s">
        <v>256</v>
      </c>
      <c r="D986">
        <v>17</v>
      </c>
      <c r="E986" s="1">
        <f>_xlfn.XLOOKUP(Sheet1[[#This Row],[day_id]],calendar!A256,calendar!B256)</f>
        <v>40826</v>
      </c>
      <c r="F986" t="str">
        <f>_xlfn.XLOOKUP(Sheet1[[#This Row],[day_id]],calendar!A256,calendar!C256)</f>
        <v>Monday</v>
      </c>
      <c r="G986">
        <f>_xlfn.XLOOKUP(Sheet1[[#This Row],[day_id]],calendar!A256,calendar!E256)</f>
        <v>10</v>
      </c>
      <c r="H986">
        <f>_xlfn.XLOOKUP(Sheet1[[#This Row],[day_id]],calendar!A256,calendar!F256)</f>
        <v>2011</v>
      </c>
      <c r="I986" t="str">
        <f>_xlfn.XLOOKUP(Sheet1[[#This Row],[day_id]],calendar!A256,calendar!J256)</f>
        <v>ColumbusDay</v>
      </c>
      <c r="J986" t="str">
        <f>_xlfn.XLOOKUP(Sheet1[[#This Row],[day_id]],calendar!A256,calendar!K256)</f>
        <v>National</v>
      </c>
      <c r="K986">
        <f>_xlfn.XLOOKUP(calendar!A256,calendar!A256,calendar!I256)</f>
        <v>1</v>
      </c>
    </row>
    <row r="987" spans="1:11" x14ac:dyDescent="0.2">
      <c r="A987" t="s">
        <v>371</v>
      </c>
      <c r="B987" t="s">
        <v>369</v>
      </c>
      <c r="C987" t="s">
        <v>257</v>
      </c>
      <c r="D987">
        <v>7</v>
      </c>
      <c r="E987" s="1">
        <f>_xlfn.XLOOKUP(Sheet1[[#This Row],[day_id]],calendar!A257,calendar!B257)</f>
        <v>40827</v>
      </c>
      <c r="F987" t="str">
        <f>_xlfn.XLOOKUP(Sheet1[[#This Row],[day_id]],calendar!A257,calendar!C257)</f>
        <v>Tuesday</v>
      </c>
      <c r="G987">
        <f>_xlfn.XLOOKUP(Sheet1[[#This Row],[day_id]],calendar!A257,calendar!E257)</f>
        <v>10</v>
      </c>
      <c r="H987">
        <f>_xlfn.XLOOKUP(Sheet1[[#This Row],[day_id]],calendar!A257,calendar!F257)</f>
        <v>2011</v>
      </c>
      <c r="I987" t="str">
        <f>_xlfn.XLOOKUP(Sheet1[[#This Row],[day_id]],calendar!A257,calendar!J257)</f>
        <v>No Event</v>
      </c>
      <c r="J987" t="str">
        <f>_xlfn.XLOOKUP(Sheet1[[#This Row],[day_id]],calendar!A257,calendar!K257)</f>
        <v>No Event Type</v>
      </c>
      <c r="K987">
        <f>_xlfn.XLOOKUP(calendar!A257,calendar!A257,calendar!I257)</f>
        <v>0</v>
      </c>
    </row>
    <row r="988" spans="1:11" x14ac:dyDescent="0.2">
      <c r="A988" t="s">
        <v>371</v>
      </c>
      <c r="B988" t="s">
        <v>369</v>
      </c>
      <c r="C988" t="s">
        <v>258</v>
      </c>
      <c r="D988">
        <v>7</v>
      </c>
      <c r="E988" s="1">
        <f>_xlfn.XLOOKUP(Sheet1[[#This Row],[day_id]],calendar!A258,calendar!B258)</f>
        <v>40828</v>
      </c>
      <c r="F988" t="str">
        <f>_xlfn.XLOOKUP(Sheet1[[#This Row],[day_id]],calendar!A258,calendar!C258)</f>
        <v>Wednesday</v>
      </c>
      <c r="G988">
        <f>_xlfn.XLOOKUP(Sheet1[[#This Row],[day_id]],calendar!A258,calendar!E258)</f>
        <v>10</v>
      </c>
      <c r="H988">
        <f>_xlfn.XLOOKUP(Sheet1[[#This Row],[day_id]],calendar!A258,calendar!F258)</f>
        <v>2011</v>
      </c>
      <c r="I988" t="str">
        <f>_xlfn.XLOOKUP(Sheet1[[#This Row],[day_id]],calendar!A258,calendar!J258)</f>
        <v>No Event</v>
      </c>
      <c r="J988" t="str">
        <f>_xlfn.XLOOKUP(Sheet1[[#This Row],[day_id]],calendar!A258,calendar!K258)</f>
        <v>No Event Type</v>
      </c>
      <c r="K988">
        <f>_xlfn.XLOOKUP(calendar!A258,calendar!A258,calendar!I258)</f>
        <v>0</v>
      </c>
    </row>
    <row r="989" spans="1:11" x14ac:dyDescent="0.2">
      <c r="A989" t="s">
        <v>371</v>
      </c>
      <c r="B989" t="s">
        <v>369</v>
      </c>
      <c r="C989" t="s">
        <v>259</v>
      </c>
      <c r="D989">
        <v>3</v>
      </c>
      <c r="E989" s="1">
        <f>_xlfn.XLOOKUP(Sheet1[[#This Row],[day_id]],calendar!A259,calendar!B259)</f>
        <v>40829</v>
      </c>
      <c r="F989" t="str">
        <f>_xlfn.XLOOKUP(Sheet1[[#This Row],[day_id]],calendar!A259,calendar!C259)</f>
        <v>Thursday</v>
      </c>
      <c r="G989">
        <f>_xlfn.XLOOKUP(Sheet1[[#This Row],[day_id]],calendar!A259,calendar!E259)</f>
        <v>10</v>
      </c>
      <c r="H989">
        <f>_xlfn.XLOOKUP(Sheet1[[#This Row],[day_id]],calendar!A259,calendar!F259)</f>
        <v>2011</v>
      </c>
      <c r="I989" t="str">
        <f>_xlfn.XLOOKUP(Sheet1[[#This Row],[day_id]],calendar!A259,calendar!J259)</f>
        <v>No Event</v>
      </c>
      <c r="J989" t="str">
        <f>_xlfn.XLOOKUP(Sheet1[[#This Row],[day_id]],calendar!A259,calendar!K259)</f>
        <v>No Event Type</v>
      </c>
      <c r="K989">
        <f>_xlfn.XLOOKUP(calendar!A259,calendar!A259,calendar!I259)</f>
        <v>0</v>
      </c>
    </row>
    <row r="990" spans="1:11" x14ac:dyDescent="0.2">
      <c r="A990" t="s">
        <v>371</v>
      </c>
      <c r="B990" t="s">
        <v>369</v>
      </c>
      <c r="C990" t="s">
        <v>260</v>
      </c>
      <c r="D990">
        <v>6</v>
      </c>
      <c r="E990" s="1">
        <f>_xlfn.XLOOKUP(Sheet1[[#This Row],[day_id]],calendar!A260,calendar!B260)</f>
        <v>40830</v>
      </c>
      <c r="F990" t="str">
        <f>_xlfn.XLOOKUP(Sheet1[[#This Row],[day_id]],calendar!A260,calendar!C260)</f>
        <v>Friday</v>
      </c>
      <c r="G990">
        <f>_xlfn.XLOOKUP(Sheet1[[#This Row],[day_id]],calendar!A260,calendar!E260)</f>
        <v>10</v>
      </c>
      <c r="H990">
        <f>_xlfn.XLOOKUP(Sheet1[[#This Row],[day_id]],calendar!A260,calendar!F260)</f>
        <v>2011</v>
      </c>
      <c r="I990" t="str">
        <f>_xlfn.XLOOKUP(Sheet1[[#This Row],[day_id]],calendar!A260,calendar!J260)</f>
        <v>No Event</v>
      </c>
      <c r="J990" t="str">
        <f>_xlfn.XLOOKUP(Sheet1[[#This Row],[day_id]],calendar!A260,calendar!K260)</f>
        <v>No Event Type</v>
      </c>
      <c r="K990">
        <f>_xlfn.XLOOKUP(calendar!A260,calendar!A260,calendar!I260)</f>
        <v>0</v>
      </c>
    </row>
    <row r="991" spans="1:11" x14ac:dyDescent="0.2">
      <c r="A991" t="s">
        <v>371</v>
      </c>
      <c r="B991" t="s">
        <v>369</v>
      </c>
      <c r="C991" t="s">
        <v>261</v>
      </c>
      <c r="D991">
        <v>3</v>
      </c>
      <c r="E991" s="1">
        <f>_xlfn.XLOOKUP(Sheet1[[#This Row],[day_id]],calendar!A261,calendar!B261)</f>
        <v>40831</v>
      </c>
      <c r="F991" t="str">
        <f>_xlfn.XLOOKUP(Sheet1[[#This Row],[day_id]],calendar!A261,calendar!C261)</f>
        <v>Saturday</v>
      </c>
      <c r="G991">
        <f>_xlfn.XLOOKUP(Sheet1[[#This Row],[day_id]],calendar!A261,calendar!E261)</f>
        <v>10</v>
      </c>
      <c r="H991">
        <f>_xlfn.XLOOKUP(Sheet1[[#This Row],[day_id]],calendar!A261,calendar!F261)</f>
        <v>2011</v>
      </c>
      <c r="I991" t="str">
        <f>_xlfn.XLOOKUP(Sheet1[[#This Row],[day_id]],calendar!A261,calendar!J261)</f>
        <v>No Event</v>
      </c>
      <c r="J991" t="str">
        <f>_xlfn.XLOOKUP(Sheet1[[#This Row],[day_id]],calendar!A261,calendar!K261)</f>
        <v>No Event Type</v>
      </c>
      <c r="K991">
        <f>_xlfn.XLOOKUP(calendar!A261,calendar!A261,calendar!I261)</f>
        <v>0</v>
      </c>
    </row>
    <row r="992" spans="1:11" x14ac:dyDescent="0.2">
      <c r="A992" t="s">
        <v>371</v>
      </c>
      <c r="B992" t="s">
        <v>369</v>
      </c>
      <c r="C992" t="s">
        <v>262</v>
      </c>
      <c r="D992">
        <v>8</v>
      </c>
      <c r="E992" s="1">
        <f>_xlfn.XLOOKUP(Sheet1[[#This Row],[day_id]],calendar!A262,calendar!B262)</f>
        <v>40832</v>
      </c>
      <c r="F992" t="str">
        <f>_xlfn.XLOOKUP(Sheet1[[#This Row],[day_id]],calendar!A262,calendar!C262)</f>
        <v>Sunday</v>
      </c>
      <c r="G992">
        <f>_xlfn.XLOOKUP(Sheet1[[#This Row],[day_id]],calendar!A262,calendar!E262)</f>
        <v>10</v>
      </c>
      <c r="H992">
        <f>_xlfn.XLOOKUP(Sheet1[[#This Row],[day_id]],calendar!A262,calendar!F262)</f>
        <v>2011</v>
      </c>
      <c r="I992" t="str">
        <f>_xlfn.XLOOKUP(Sheet1[[#This Row],[day_id]],calendar!A262,calendar!J262)</f>
        <v>No Event</v>
      </c>
      <c r="J992" t="str">
        <f>_xlfn.XLOOKUP(Sheet1[[#This Row],[day_id]],calendar!A262,calendar!K262)</f>
        <v>No Event Type</v>
      </c>
      <c r="K992">
        <f>_xlfn.XLOOKUP(calendar!A262,calendar!A262,calendar!I262)</f>
        <v>0</v>
      </c>
    </row>
    <row r="993" spans="1:11" x14ac:dyDescent="0.2">
      <c r="A993" t="s">
        <v>371</v>
      </c>
      <c r="B993" t="s">
        <v>369</v>
      </c>
      <c r="C993" t="s">
        <v>263</v>
      </c>
      <c r="D993">
        <v>9</v>
      </c>
      <c r="E993" s="1">
        <f>_xlfn.XLOOKUP(Sheet1[[#This Row],[day_id]],calendar!A263,calendar!B263)</f>
        <v>40833</v>
      </c>
      <c r="F993" t="str">
        <f>_xlfn.XLOOKUP(Sheet1[[#This Row],[day_id]],calendar!A263,calendar!C263)</f>
        <v>Monday</v>
      </c>
      <c r="G993">
        <f>_xlfn.XLOOKUP(Sheet1[[#This Row],[day_id]],calendar!A263,calendar!E263)</f>
        <v>10</v>
      </c>
      <c r="H993">
        <f>_xlfn.XLOOKUP(Sheet1[[#This Row],[day_id]],calendar!A263,calendar!F263)</f>
        <v>2011</v>
      </c>
      <c r="I993" t="str">
        <f>_xlfn.XLOOKUP(Sheet1[[#This Row],[day_id]],calendar!A263,calendar!J263)</f>
        <v>No Event</v>
      </c>
      <c r="J993" t="str">
        <f>_xlfn.XLOOKUP(Sheet1[[#This Row],[day_id]],calendar!A263,calendar!K263)</f>
        <v>No Event Type</v>
      </c>
      <c r="K993">
        <f>_xlfn.XLOOKUP(calendar!A263,calendar!A263,calendar!I263)</f>
        <v>0</v>
      </c>
    </row>
    <row r="994" spans="1:11" x14ac:dyDescent="0.2">
      <c r="A994" t="s">
        <v>371</v>
      </c>
      <c r="B994" t="s">
        <v>369</v>
      </c>
      <c r="C994" t="s">
        <v>264</v>
      </c>
      <c r="D994">
        <v>24</v>
      </c>
      <c r="E994" s="1">
        <f>_xlfn.XLOOKUP(Sheet1[[#This Row],[day_id]],calendar!A264,calendar!B264)</f>
        <v>40834</v>
      </c>
      <c r="F994" t="str">
        <f>_xlfn.XLOOKUP(Sheet1[[#This Row],[day_id]],calendar!A264,calendar!C264)</f>
        <v>Tuesday</v>
      </c>
      <c r="G994">
        <f>_xlfn.XLOOKUP(Sheet1[[#This Row],[day_id]],calendar!A264,calendar!E264)</f>
        <v>10</v>
      </c>
      <c r="H994">
        <f>_xlfn.XLOOKUP(Sheet1[[#This Row],[day_id]],calendar!A264,calendar!F264)</f>
        <v>2011</v>
      </c>
      <c r="I994" t="str">
        <f>_xlfn.XLOOKUP(Sheet1[[#This Row],[day_id]],calendar!A264,calendar!J264)</f>
        <v>No Event</v>
      </c>
      <c r="J994" t="str">
        <f>_xlfn.XLOOKUP(Sheet1[[#This Row],[day_id]],calendar!A264,calendar!K264)</f>
        <v>No Event Type</v>
      </c>
      <c r="K994">
        <f>_xlfn.XLOOKUP(calendar!A264,calendar!A264,calendar!I264)</f>
        <v>0</v>
      </c>
    </row>
    <row r="995" spans="1:11" x14ac:dyDescent="0.2">
      <c r="A995" t="s">
        <v>371</v>
      </c>
      <c r="B995" t="s">
        <v>369</v>
      </c>
      <c r="C995" t="s">
        <v>265</v>
      </c>
      <c r="D995">
        <v>26</v>
      </c>
      <c r="E995" s="1">
        <f>_xlfn.XLOOKUP(Sheet1[[#This Row],[day_id]],calendar!A265,calendar!B265)</f>
        <v>40835</v>
      </c>
      <c r="F995" t="str">
        <f>_xlfn.XLOOKUP(Sheet1[[#This Row],[day_id]],calendar!A265,calendar!C265)</f>
        <v>Wednesday</v>
      </c>
      <c r="G995">
        <f>_xlfn.XLOOKUP(Sheet1[[#This Row],[day_id]],calendar!A265,calendar!E265)</f>
        <v>10</v>
      </c>
      <c r="H995">
        <f>_xlfn.XLOOKUP(Sheet1[[#This Row],[day_id]],calendar!A265,calendar!F265)</f>
        <v>2011</v>
      </c>
      <c r="I995" t="str">
        <f>_xlfn.XLOOKUP(Sheet1[[#This Row],[day_id]],calendar!A265,calendar!J265)</f>
        <v>No Event</v>
      </c>
      <c r="J995" t="str">
        <f>_xlfn.XLOOKUP(Sheet1[[#This Row],[day_id]],calendar!A265,calendar!K265)</f>
        <v>No Event Type</v>
      </c>
      <c r="K995">
        <f>_xlfn.XLOOKUP(calendar!A265,calendar!A265,calendar!I265)</f>
        <v>0</v>
      </c>
    </row>
    <row r="996" spans="1:11" x14ac:dyDescent="0.2">
      <c r="A996" t="s">
        <v>371</v>
      </c>
      <c r="B996" t="s">
        <v>369</v>
      </c>
      <c r="C996" t="s">
        <v>266</v>
      </c>
      <c r="D996">
        <v>11</v>
      </c>
      <c r="E996" s="1">
        <f>_xlfn.XLOOKUP(Sheet1[[#This Row],[day_id]],calendar!A266,calendar!B266)</f>
        <v>40836</v>
      </c>
      <c r="F996" t="str">
        <f>_xlfn.XLOOKUP(Sheet1[[#This Row],[day_id]],calendar!A266,calendar!C266)</f>
        <v>Thursday</v>
      </c>
      <c r="G996">
        <f>_xlfn.XLOOKUP(Sheet1[[#This Row],[day_id]],calendar!A266,calendar!E266)</f>
        <v>10</v>
      </c>
      <c r="H996">
        <f>_xlfn.XLOOKUP(Sheet1[[#This Row],[day_id]],calendar!A266,calendar!F266)</f>
        <v>2011</v>
      </c>
      <c r="I996" t="str">
        <f>_xlfn.XLOOKUP(Sheet1[[#This Row],[day_id]],calendar!A266,calendar!J266)</f>
        <v>No Event</v>
      </c>
      <c r="J996" t="str">
        <f>_xlfn.XLOOKUP(Sheet1[[#This Row],[day_id]],calendar!A266,calendar!K266)</f>
        <v>No Event Type</v>
      </c>
      <c r="K996">
        <f>_xlfn.XLOOKUP(calendar!A266,calendar!A266,calendar!I266)</f>
        <v>0</v>
      </c>
    </row>
    <row r="997" spans="1:11" x14ac:dyDescent="0.2">
      <c r="A997" t="s">
        <v>371</v>
      </c>
      <c r="B997" t="s">
        <v>369</v>
      </c>
      <c r="C997" t="s">
        <v>267</v>
      </c>
      <c r="D997">
        <v>20</v>
      </c>
      <c r="E997" s="1">
        <f>_xlfn.XLOOKUP(Sheet1[[#This Row],[day_id]],calendar!A267,calendar!B267)</f>
        <v>40837</v>
      </c>
      <c r="F997" t="str">
        <f>_xlfn.XLOOKUP(Sheet1[[#This Row],[day_id]],calendar!A267,calendar!C267)</f>
        <v>Friday</v>
      </c>
      <c r="G997">
        <f>_xlfn.XLOOKUP(Sheet1[[#This Row],[day_id]],calendar!A267,calendar!E267)</f>
        <v>10</v>
      </c>
      <c r="H997">
        <f>_xlfn.XLOOKUP(Sheet1[[#This Row],[day_id]],calendar!A267,calendar!F267)</f>
        <v>2011</v>
      </c>
      <c r="I997" t="str">
        <f>_xlfn.XLOOKUP(Sheet1[[#This Row],[day_id]],calendar!A267,calendar!J267)</f>
        <v>No Event</v>
      </c>
      <c r="J997" t="str">
        <f>_xlfn.XLOOKUP(Sheet1[[#This Row],[day_id]],calendar!A267,calendar!K267)</f>
        <v>No Event Type</v>
      </c>
      <c r="K997">
        <f>_xlfn.XLOOKUP(calendar!A267,calendar!A267,calendar!I267)</f>
        <v>0</v>
      </c>
    </row>
    <row r="998" spans="1:11" x14ac:dyDescent="0.2">
      <c r="A998" t="s">
        <v>371</v>
      </c>
      <c r="B998" t="s">
        <v>369</v>
      </c>
      <c r="C998" t="s">
        <v>268</v>
      </c>
      <c r="D998">
        <v>18</v>
      </c>
      <c r="E998" s="1">
        <f>_xlfn.XLOOKUP(Sheet1[[#This Row],[day_id]],calendar!A268,calendar!B268)</f>
        <v>40838</v>
      </c>
      <c r="F998" t="str">
        <f>_xlfn.XLOOKUP(Sheet1[[#This Row],[day_id]],calendar!A268,calendar!C268)</f>
        <v>Saturday</v>
      </c>
      <c r="G998">
        <f>_xlfn.XLOOKUP(Sheet1[[#This Row],[day_id]],calendar!A268,calendar!E268)</f>
        <v>10</v>
      </c>
      <c r="H998">
        <f>_xlfn.XLOOKUP(Sheet1[[#This Row],[day_id]],calendar!A268,calendar!F268)</f>
        <v>2011</v>
      </c>
      <c r="I998" t="str">
        <f>_xlfn.XLOOKUP(Sheet1[[#This Row],[day_id]],calendar!A268,calendar!J268)</f>
        <v>No Event</v>
      </c>
      <c r="J998" t="str">
        <f>_xlfn.XLOOKUP(Sheet1[[#This Row],[day_id]],calendar!A268,calendar!K268)</f>
        <v>No Event Type</v>
      </c>
      <c r="K998">
        <f>_xlfn.XLOOKUP(calendar!A268,calendar!A268,calendar!I268)</f>
        <v>0</v>
      </c>
    </row>
    <row r="999" spans="1:11" x14ac:dyDescent="0.2">
      <c r="A999" t="s">
        <v>371</v>
      </c>
      <c r="B999" t="s">
        <v>369</v>
      </c>
      <c r="C999" t="s">
        <v>269</v>
      </c>
      <c r="D999">
        <v>19</v>
      </c>
      <c r="E999" s="1">
        <f>_xlfn.XLOOKUP(Sheet1[[#This Row],[day_id]],calendar!A269,calendar!B269)</f>
        <v>40839</v>
      </c>
      <c r="F999" t="str">
        <f>_xlfn.XLOOKUP(Sheet1[[#This Row],[day_id]],calendar!A269,calendar!C269)</f>
        <v>Sunday</v>
      </c>
      <c r="G999">
        <f>_xlfn.XLOOKUP(Sheet1[[#This Row],[day_id]],calendar!A269,calendar!E269)</f>
        <v>10</v>
      </c>
      <c r="H999">
        <f>_xlfn.XLOOKUP(Sheet1[[#This Row],[day_id]],calendar!A269,calendar!F269)</f>
        <v>2011</v>
      </c>
      <c r="I999" t="str">
        <f>_xlfn.XLOOKUP(Sheet1[[#This Row],[day_id]],calendar!A269,calendar!J269)</f>
        <v>No Event</v>
      </c>
      <c r="J999" t="str">
        <f>_xlfn.XLOOKUP(Sheet1[[#This Row],[day_id]],calendar!A269,calendar!K269)</f>
        <v>No Event Type</v>
      </c>
      <c r="K999">
        <f>_xlfn.XLOOKUP(calendar!A269,calendar!A269,calendar!I269)</f>
        <v>0</v>
      </c>
    </row>
    <row r="1000" spans="1:11" x14ac:dyDescent="0.2">
      <c r="A1000" t="s">
        <v>371</v>
      </c>
      <c r="B1000" t="s">
        <v>369</v>
      </c>
      <c r="C1000" t="s">
        <v>270</v>
      </c>
      <c r="D1000">
        <v>1</v>
      </c>
      <c r="E1000" s="1">
        <f>_xlfn.XLOOKUP(Sheet1[[#This Row],[day_id]],calendar!A270,calendar!B270)</f>
        <v>40840</v>
      </c>
      <c r="F1000" t="str">
        <f>_xlfn.XLOOKUP(Sheet1[[#This Row],[day_id]],calendar!A270,calendar!C270)</f>
        <v>Monday</v>
      </c>
      <c r="G1000">
        <f>_xlfn.XLOOKUP(Sheet1[[#This Row],[day_id]],calendar!A270,calendar!E270)</f>
        <v>10</v>
      </c>
      <c r="H1000">
        <f>_xlfn.XLOOKUP(Sheet1[[#This Row],[day_id]],calendar!A270,calendar!F270)</f>
        <v>2011</v>
      </c>
      <c r="I1000" t="str">
        <f>_xlfn.XLOOKUP(Sheet1[[#This Row],[day_id]],calendar!A270,calendar!J270)</f>
        <v>No Event</v>
      </c>
      <c r="J1000" t="str">
        <f>_xlfn.XLOOKUP(Sheet1[[#This Row],[day_id]],calendar!A270,calendar!K270)</f>
        <v>No Event Type</v>
      </c>
      <c r="K1000">
        <f>_xlfn.XLOOKUP(calendar!A270,calendar!A270,calendar!I270)</f>
        <v>0</v>
      </c>
    </row>
    <row r="1001" spans="1:11" x14ac:dyDescent="0.2">
      <c r="A1001" t="s">
        <v>371</v>
      </c>
      <c r="B1001" t="s">
        <v>369</v>
      </c>
      <c r="C1001" t="s">
        <v>271</v>
      </c>
      <c r="D1001">
        <v>2</v>
      </c>
      <c r="E1001" s="1">
        <f>_xlfn.XLOOKUP(Sheet1[[#This Row],[day_id]],calendar!A271,calendar!B271)</f>
        <v>40841</v>
      </c>
      <c r="F1001" t="str">
        <f>_xlfn.XLOOKUP(Sheet1[[#This Row],[day_id]],calendar!A271,calendar!C271)</f>
        <v>Tuesday</v>
      </c>
      <c r="G1001">
        <f>_xlfn.XLOOKUP(Sheet1[[#This Row],[day_id]],calendar!A271,calendar!E271)</f>
        <v>10</v>
      </c>
      <c r="H1001">
        <f>_xlfn.XLOOKUP(Sheet1[[#This Row],[day_id]],calendar!A271,calendar!F271)</f>
        <v>2011</v>
      </c>
      <c r="I1001" t="str">
        <f>_xlfn.XLOOKUP(Sheet1[[#This Row],[day_id]],calendar!A271,calendar!J271)</f>
        <v>No Event</v>
      </c>
      <c r="J1001" t="str">
        <f>_xlfn.XLOOKUP(Sheet1[[#This Row],[day_id]],calendar!A271,calendar!K271)</f>
        <v>No Event Type</v>
      </c>
      <c r="K1001">
        <f>_xlfn.XLOOKUP(calendar!A271,calendar!A271,calendar!I271)</f>
        <v>0</v>
      </c>
    </row>
    <row r="1002" spans="1:11" x14ac:dyDescent="0.2">
      <c r="A1002" t="s">
        <v>371</v>
      </c>
      <c r="B1002" t="s">
        <v>369</v>
      </c>
      <c r="C1002" t="s">
        <v>272</v>
      </c>
      <c r="D1002">
        <v>4</v>
      </c>
      <c r="E1002" s="1">
        <f>_xlfn.XLOOKUP(Sheet1[[#This Row],[day_id]],calendar!A272,calendar!B272)</f>
        <v>40842</v>
      </c>
      <c r="F1002" t="str">
        <f>_xlfn.XLOOKUP(Sheet1[[#This Row],[day_id]],calendar!A272,calendar!C272)</f>
        <v>Wednesday</v>
      </c>
      <c r="G1002">
        <f>_xlfn.XLOOKUP(Sheet1[[#This Row],[day_id]],calendar!A272,calendar!E272)</f>
        <v>10</v>
      </c>
      <c r="H1002">
        <f>_xlfn.XLOOKUP(Sheet1[[#This Row],[day_id]],calendar!A272,calendar!F272)</f>
        <v>2011</v>
      </c>
      <c r="I1002" t="str">
        <f>_xlfn.XLOOKUP(Sheet1[[#This Row],[day_id]],calendar!A272,calendar!J272)</f>
        <v>No Event</v>
      </c>
      <c r="J1002" t="str">
        <f>_xlfn.XLOOKUP(Sheet1[[#This Row],[day_id]],calendar!A272,calendar!K272)</f>
        <v>No Event Type</v>
      </c>
      <c r="K1002">
        <f>_xlfn.XLOOKUP(calendar!A272,calendar!A272,calendar!I272)</f>
        <v>0</v>
      </c>
    </row>
    <row r="1003" spans="1:11" x14ac:dyDescent="0.2">
      <c r="A1003" t="s">
        <v>371</v>
      </c>
      <c r="B1003" t="s">
        <v>369</v>
      </c>
      <c r="C1003" t="s">
        <v>273</v>
      </c>
      <c r="D1003">
        <v>3</v>
      </c>
      <c r="E1003" s="1">
        <f>_xlfn.XLOOKUP(Sheet1[[#This Row],[day_id]],calendar!A273,calendar!B273)</f>
        <v>40843</v>
      </c>
      <c r="F1003" t="str">
        <f>_xlfn.XLOOKUP(Sheet1[[#This Row],[day_id]],calendar!A273,calendar!C273)</f>
        <v>Thursday</v>
      </c>
      <c r="G1003">
        <f>_xlfn.XLOOKUP(Sheet1[[#This Row],[day_id]],calendar!A273,calendar!E273)</f>
        <v>10</v>
      </c>
      <c r="H1003">
        <f>_xlfn.XLOOKUP(Sheet1[[#This Row],[day_id]],calendar!A273,calendar!F273)</f>
        <v>2011</v>
      </c>
      <c r="I1003" t="str">
        <f>_xlfn.XLOOKUP(Sheet1[[#This Row],[day_id]],calendar!A273,calendar!J273)</f>
        <v>No Event</v>
      </c>
      <c r="J1003" t="str">
        <f>_xlfn.XLOOKUP(Sheet1[[#This Row],[day_id]],calendar!A273,calendar!K273)</f>
        <v>No Event Type</v>
      </c>
      <c r="K1003">
        <f>_xlfn.XLOOKUP(calendar!A273,calendar!A273,calendar!I273)</f>
        <v>0</v>
      </c>
    </row>
    <row r="1004" spans="1:11" x14ac:dyDescent="0.2">
      <c r="A1004" t="s">
        <v>371</v>
      </c>
      <c r="B1004" t="s">
        <v>369</v>
      </c>
      <c r="C1004" t="s">
        <v>274</v>
      </c>
      <c r="D1004">
        <v>0</v>
      </c>
      <c r="E1004" s="1">
        <f>_xlfn.XLOOKUP(Sheet1[[#This Row],[day_id]],calendar!A274,calendar!B274)</f>
        <v>40844</v>
      </c>
      <c r="F1004" t="str">
        <f>_xlfn.XLOOKUP(Sheet1[[#This Row],[day_id]],calendar!A274,calendar!C274)</f>
        <v>Friday</v>
      </c>
      <c r="G1004">
        <f>_xlfn.XLOOKUP(Sheet1[[#This Row],[day_id]],calendar!A274,calendar!E274)</f>
        <v>10</v>
      </c>
      <c r="H1004">
        <f>_xlfn.XLOOKUP(Sheet1[[#This Row],[day_id]],calendar!A274,calendar!F274)</f>
        <v>2011</v>
      </c>
      <c r="I1004" t="str">
        <f>_xlfn.XLOOKUP(Sheet1[[#This Row],[day_id]],calendar!A274,calendar!J274)</f>
        <v>No Event</v>
      </c>
      <c r="J1004" t="str">
        <f>_xlfn.XLOOKUP(Sheet1[[#This Row],[day_id]],calendar!A274,calendar!K274)</f>
        <v>No Event Type</v>
      </c>
      <c r="K1004">
        <f>_xlfn.XLOOKUP(calendar!A274,calendar!A274,calendar!I274)</f>
        <v>0</v>
      </c>
    </row>
    <row r="1005" spans="1:11" x14ac:dyDescent="0.2">
      <c r="A1005" t="s">
        <v>371</v>
      </c>
      <c r="B1005" t="s">
        <v>369</v>
      </c>
      <c r="C1005" t="s">
        <v>275</v>
      </c>
      <c r="D1005">
        <v>5</v>
      </c>
      <c r="E1005" s="1">
        <f>_xlfn.XLOOKUP(Sheet1[[#This Row],[day_id]],calendar!A275,calendar!B275)</f>
        <v>40845</v>
      </c>
      <c r="F1005" t="str">
        <f>_xlfn.XLOOKUP(Sheet1[[#This Row],[day_id]],calendar!A275,calendar!C275)</f>
        <v>Saturday</v>
      </c>
      <c r="G1005">
        <f>_xlfn.XLOOKUP(Sheet1[[#This Row],[day_id]],calendar!A275,calendar!E275)</f>
        <v>10</v>
      </c>
      <c r="H1005">
        <f>_xlfn.XLOOKUP(Sheet1[[#This Row],[day_id]],calendar!A275,calendar!F275)</f>
        <v>2011</v>
      </c>
      <c r="I1005" t="str">
        <f>_xlfn.XLOOKUP(Sheet1[[#This Row],[day_id]],calendar!A275,calendar!J275)</f>
        <v>No Event</v>
      </c>
      <c r="J1005" t="str">
        <f>_xlfn.XLOOKUP(Sheet1[[#This Row],[day_id]],calendar!A275,calendar!K275)</f>
        <v>No Event Type</v>
      </c>
      <c r="K1005">
        <f>_xlfn.XLOOKUP(calendar!A275,calendar!A275,calendar!I275)</f>
        <v>0</v>
      </c>
    </row>
    <row r="1006" spans="1:11" x14ac:dyDescent="0.2">
      <c r="A1006" t="s">
        <v>371</v>
      </c>
      <c r="B1006" t="s">
        <v>369</v>
      </c>
      <c r="C1006" t="s">
        <v>276</v>
      </c>
      <c r="D1006">
        <v>12</v>
      </c>
      <c r="E1006" s="1">
        <f>_xlfn.XLOOKUP(Sheet1[[#This Row],[day_id]],calendar!A276,calendar!B276)</f>
        <v>40846</v>
      </c>
      <c r="F1006" t="str">
        <f>_xlfn.XLOOKUP(Sheet1[[#This Row],[day_id]],calendar!A276,calendar!C276)</f>
        <v>Sunday</v>
      </c>
      <c r="G1006">
        <f>_xlfn.XLOOKUP(Sheet1[[#This Row],[day_id]],calendar!A276,calendar!E276)</f>
        <v>10</v>
      </c>
      <c r="H1006">
        <f>_xlfn.XLOOKUP(Sheet1[[#This Row],[day_id]],calendar!A276,calendar!F276)</f>
        <v>2011</v>
      </c>
      <c r="I1006" t="str">
        <f>_xlfn.XLOOKUP(Sheet1[[#This Row],[day_id]],calendar!A276,calendar!J276)</f>
        <v>No Event</v>
      </c>
      <c r="J1006" t="str">
        <f>_xlfn.XLOOKUP(Sheet1[[#This Row],[day_id]],calendar!A276,calendar!K276)</f>
        <v>No Event Type</v>
      </c>
      <c r="K1006">
        <f>_xlfn.XLOOKUP(calendar!A276,calendar!A276,calendar!I276)</f>
        <v>0</v>
      </c>
    </row>
    <row r="1007" spans="1:11" x14ac:dyDescent="0.2">
      <c r="A1007" t="s">
        <v>371</v>
      </c>
      <c r="B1007" t="s">
        <v>369</v>
      </c>
      <c r="C1007" t="s">
        <v>277</v>
      </c>
      <c r="D1007">
        <v>2</v>
      </c>
      <c r="E1007" s="1">
        <f>_xlfn.XLOOKUP(Sheet1[[#This Row],[day_id]],calendar!A277,calendar!B277)</f>
        <v>40847</v>
      </c>
      <c r="F1007" t="str">
        <f>_xlfn.XLOOKUP(Sheet1[[#This Row],[day_id]],calendar!A277,calendar!C277)</f>
        <v>Monday</v>
      </c>
      <c r="G1007">
        <f>_xlfn.XLOOKUP(Sheet1[[#This Row],[day_id]],calendar!A277,calendar!E277)</f>
        <v>10</v>
      </c>
      <c r="H1007">
        <f>_xlfn.XLOOKUP(Sheet1[[#This Row],[day_id]],calendar!A277,calendar!F277)</f>
        <v>2011</v>
      </c>
      <c r="I1007" t="str">
        <f>_xlfn.XLOOKUP(Sheet1[[#This Row],[day_id]],calendar!A277,calendar!J277)</f>
        <v>Halloween</v>
      </c>
      <c r="J1007" t="str">
        <f>_xlfn.XLOOKUP(Sheet1[[#This Row],[day_id]],calendar!A277,calendar!K277)</f>
        <v>Cultural</v>
      </c>
      <c r="K1007">
        <f>_xlfn.XLOOKUP(calendar!A277,calendar!A277,calendar!I277)</f>
        <v>0</v>
      </c>
    </row>
    <row r="1008" spans="1:11" x14ac:dyDescent="0.2">
      <c r="A1008" t="s">
        <v>371</v>
      </c>
      <c r="B1008" t="s">
        <v>369</v>
      </c>
      <c r="C1008" t="s">
        <v>278</v>
      </c>
      <c r="D1008">
        <v>1</v>
      </c>
      <c r="E1008" s="1">
        <f>_xlfn.XLOOKUP(Sheet1[[#This Row],[day_id]],calendar!A278,calendar!B278)</f>
        <v>40848</v>
      </c>
      <c r="F1008" t="str">
        <f>_xlfn.XLOOKUP(Sheet1[[#This Row],[day_id]],calendar!A278,calendar!C278)</f>
        <v>Tuesday</v>
      </c>
      <c r="G1008">
        <f>_xlfn.XLOOKUP(Sheet1[[#This Row],[day_id]],calendar!A278,calendar!E278)</f>
        <v>11</v>
      </c>
      <c r="H1008">
        <f>_xlfn.XLOOKUP(Sheet1[[#This Row],[day_id]],calendar!A278,calendar!F278)</f>
        <v>2011</v>
      </c>
      <c r="I1008" t="str">
        <f>_xlfn.XLOOKUP(Sheet1[[#This Row],[day_id]],calendar!A278,calendar!J278)</f>
        <v>No Event</v>
      </c>
      <c r="J1008" t="str">
        <f>_xlfn.XLOOKUP(Sheet1[[#This Row],[day_id]],calendar!A278,calendar!K278)</f>
        <v>No Event Type</v>
      </c>
      <c r="K1008">
        <f>_xlfn.XLOOKUP(calendar!A278,calendar!A278,calendar!I278)</f>
        <v>1</v>
      </c>
    </row>
    <row r="1009" spans="1:11" x14ac:dyDescent="0.2">
      <c r="A1009" t="s">
        <v>371</v>
      </c>
      <c r="B1009" t="s">
        <v>369</v>
      </c>
      <c r="C1009" t="s">
        <v>279</v>
      </c>
      <c r="D1009">
        <v>2</v>
      </c>
      <c r="E1009" s="1">
        <f>_xlfn.XLOOKUP(Sheet1[[#This Row],[day_id]],calendar!A279,calendar!B279)</f>
        <v>40849</v>
      </c>
      <c r="F1009" t="str">
        <f>_xlfn.XLOOKUP(Sheet1[[#This Row],[day_id]],calendar!A279,calendar!C279)</f>
        <v>Wednesday</v>
      </c>
      <c r="G1009">
        <f>_xlfn.XLOOKUP(Sheet1[[#This Row],[day_id]],calendar!A279,calendar!E279)</f>
        <v>11</v>
      </c>
      <c r="H1009">
        <f>_xlfn.XLOOKUP(Sheet1[[#This Row],[day_id]],calendar!A279,calendar!F279)</f>
        <v>2011</v>
      </c>
      <c r="I1009" t="str">
        <f>_xlfn.XLOOKUP(Sheet1[[#This Row],[day_id]],calendar!A279,calendar!J279)</f>
        <v>No Event</v>
      </c>
      <c r="J1009" t="str">
        <f>_xlfn.XLOOKUP(Sheet1[[#This Row],[day_id]],calendar!A279,calendar!K279)</f>
        <v>No Event Type</v>
      </c>
      <c r="K1009">
        <f>_xlfn.XLOOKUP(calendar!A279,calendar!A279,calendar!I279)</f>
        <v>1</v>
      </c>
    </row>
    <row r="1010" spans="1:11" x14ac:dyDescent="0.2">
      <c r="A1010" t="s">
        <v>371</v>
      </c>
      <c r="B1010" t="s">
        <v>369</v>
      </c>
      <c r="C1010" t="s">
        <v>280</v>
      </c>
      <c r="D1010">
        <v>6</v>
      </c>
      <c r="E1010" s="1">
        <f>_xlfn.XLOOKUP(Sheet1[[#This Row],[day_id]],calendar!A280,calendar!B280)</f>
        <v>40850</v>
      </c>
      <c r="F1010" t="str">
        <f>_xlfn.XLOOKUP(Sheet1[[#This Row],[day_id]],calendar!A280,calendar!C280)</f>
        <v>Thursday</v>
      </c>
      <c r="G1010">
        <f>_xlfn.XLOOKUP(Sheet1[[#This Row],[day_id]],calendar!A280,calendar!E280)</f>
        <v>11</v>
      </c>
      <c r="H1010">
        <f>_xlfn.XLOOKUP(Sheet1[[#This Row],[day_id]],calendar!A280,calendar!F280)</f>
        <v>2011</v>
      </c>
      <c r="I1010" t="str">
        <f>_xlfn.XLOOKUP(Sheet1[[#This Row],[day_id]],calendar!A280,calendar!J280)</f>
        <v>No Event</v>
      </c>
      <c r="J1010" t="str">
        <f>_xlfn.XLOOKUP(Sheet1[[#This Row],[day_id]],calendar!A280,calendar!K280)</f>
        <v>No Event Type</v>
      </c>
      <c r="K1010">
        <f>_xlfn.XLOOKUP(calendar!A280,calendar!A280,calendar!I280)</f>
        <v>1</v>
      </c>
    </row>
    <row r="1011" spans="1:11" x14ac:dyDescent="0.2">
      <c r="A1011" t="s">
        <v>371</v>
      </c>
      <c r="B1011" t="s">
        <v>369</v>
      </c>
      <c r="C1011" t="s">
        <v>281</v>
      </c>
      <c r="D1011">
        <v>8</v>
      </c>
      <c r="E1011" s="1">
        <f>_xlfn.XLOOKUP(Sheet1[[#This Row],[day_id]],calendar!A281,calendar!B281)</f>
        <v>40851</v>
      </c>
      <c r="F1011" t="str">
        <f>_xlfn.XLOOKUP(Sheet1[[#This Row],[day_id]],calendar!A281,calendar!C281)</f>
        <v>Friday</v>
      </c>
      <c r="G1011">
        <f>_xlfn.XLOOKUP(Sheet1[[#This Row],[day_id]],calendar!A281,calendar!E281)</f>
        <v>11</v>
      </c>
      <c r="H1011">
        <f>_xlfn.XLOOKUP(Sheet1[[#This Row],[day_id]],calendar!A281,calendar!F281)</f>
        <v>2011</v>
      </c>
      <c r="I1011" t="str">
        <f>_xlfn.XLOOKUP(Sheet1[[#This Row],[day_id]],calendar!A281,calendar!J281)</f>
        <v>No Event</v>
      </c>
      <c r="J1011" t="str">
        <f>_xlfn.XLOOKUP(Sheet1[[#This Row],[day_id]],calendar!A281,calendar!K281)</f>
        <v>No Event Type</v>
      </c>
      <c r="K1011">
        <f>_xlfn.XLOOKUP(calendar!A281,calendar!A281,calendar!I281)</f>
        <v>1</v>
      </c>
    </row>
    <row r="1012" spans="1:11" x14ac:dyDescent="0.2">
      <c r="A1012" t="s">
        <v>371</v>
      </c>
      <c r="B1012" t="s">
        <v>369</v>
      </c>
      <c r="C1012" t="s">
        <v>282</v>
      </c>
      <c r="D1012">
        <v>10</v>
      </c>
      <c r="E1012" s="1">
        <f>_xlfn.XLOOKUP(Sheet1[[#This Row],[day_id]],calendar!A282,calendar!B282)</f>
        <v>40852</v>
      </c>
      <c r="F1012" t="str">
        <f>_xlfn.XLOOKUP(Sheet1[[#This Row],[day_id]],calendar!A282,calendar!C282)</f>
        <v>Saturday</v>
      </c>
      <c r="G1012">
        <f>_xlfn.XLOOKUP(Sheet1[[#This Row],[day_id]],calendar!A282,calendar!E282)</f>
        <v>11</v>
      </c>
      <c r="H1012">
        <f>_xlfn.XLOOKUP(Sheet1[[#This Row],[day_id]],calendar!A282,calendar!F282)</f>
        <v>2011</v>
      </c>
      <c r="I1012" t="str">
        <f>_xlfn.XLOOKUP(Sheet1[[#This Row],[day_id]],calendar!A282,calendar!J282)</f>
        <v>No Event</v>
      </c>
      <c r="J1012" t="str">
        <f>_xlfn.XLOOKUP(Sheet1[[#This Row],[day_id]],calendar!A282,calendar!K282)</f>
        <v>No Event Type</v>
      </c>
      <c r="K1012">
        <f>_xlfn.XLOOKUP(calendar!A282,calendar!A282,calendar!I282)</f>
        <v>1</v>
      </c>
    </row>
    <row r="1013" spans="1:11" x14ac:dyDescent="0.2">
      <c r="A1013" t="s">
        <v>371</v>
      </c>
      <c r="B1013" t="s">
        <v>369</v>
      </c>
      <c r="C1013" t="s">
        <v>283</v>
      </c>
      <c r="D1013">
        <v>15</v>
      </c>
      <c r="E1013" s="1">
        <f>_xlfn.XLOOKUP(Sheet1[[#This Row],[day_id]],calendar!A283,calendar!B283)</f>
        <v>40853</v>
      </c>
      <c r="F1013" t="str">
        <f>_xlfn.XLOOKUP(Sheet1[[#This Row],[day_id]],calendar!A283,calendar!C283)</f>
        <v>Sunday</v>
      </c>
      <c r="G1013">
        <f>_xlfn.XLOOKUP(Sheet1[[#This Row],[day_id]],calendar!A283,calendar!E283)</f>
        <v>11</v>
      </c>
      <c r="H1013">
        <f>_xlfn.XLOOKUP(Sheet1[[#This Row],[day_id]],calendar!A283,calendar!F283)</f>
        <v>2011</v>
      </c>
      <c r="I1013" t="str">
        <f>_xlfn.XLOOKUP(Sheet1[[#This Row],[day_id]],calendar!A283,calendar!J283)</f>
        <v>No Event</v>
      </c>
      <c r="J1013" t="str">
        <f>_xlfn.XLOOKUP(Sheet1[[#This Row],[day_id]],calendar!A283,calendar!K283)</f>
        <v>No Event Type</v>
      </c>
      <c r="K1013">
        <f>_xlfn.XLOOKUP(calendar!A283,calendar!A283,calendar!I283)</f>
        <v>1</v>
      </c>
    </row>
    <row r="1014" spans="1:11" x14ac:dyDescent="0.2">
      <c r="A1014" t="s">
        <v>371</v>
      </c>
      <c r="B1014" t="s">
        <v>369</v>
      </c>
      <c r="C1014" t="s">
        <v>284</v>
      </c>
      <c r="D1014">
        <v>9</v>
      </c>
      <c r="E1014" s="1">
        <f>_xlfn.XLOOKUP(Sheet1[[#This Row],[day_id]],calendar!A284,calendar!B284)</f>
        <v>40854</v>
      </c>
      <c r="F1014" t="str">
        <f>_xlfn.XLOOKUP(Sheet1[[#This Row],[day_id]],calendar!A284,calendar!C284)</f>
        <v>Monday</v>
      </c>
      <c r="G1014">
        <f>_xlfn.XLOOKUP(Sheet1[[#This Row],[day_id]],calendar!A284,calendar!E284)</f>
        <v>11</v>
      </c>
      <c r="H1014">
        <f>_xlfn.XLOOKUP(Sheet1[[#This Row],[day_id]],calendar!A284,calendar!F284)</f>
        <v>2011</v>
      </c>
      <c r="I1014" t="str">
        <f>_xlfn.XLOOKUP(Sheet1[[#This Row],[day_id]],calendar!A284,calendar!J284)</f>
        <v>EidAlAdha</v>
      </c>
      <c r="J1014" t="str">
        <f>_xlfn.XLOOKUP(Sheet1[[#This Row],[day_id]],calendar!A284,calendar!K284)</f>
        <v>Religious</v>
      </c>
      <c r="K1014">
        <f>_xlfn.XLOOKUP(calendar!A284,calendar!A284,calendar!I284)</f>
        <v>1</v>
      </c>
    </row>
    <row r="1015" spans="1:11" x14ac:dyDescent="0.2">
      <c r="A1015" t="s">
        <v>371</v>
      </c>
      <c r="B1015" t="s">
        <v>369</v>
      </c>
      <c r="C1015" t="s">
        <v>285</v>
      </c>
      <c r="D1015">
        <v>5</v>
      </c>
      <c r="E1015" s="1">
        <f>_xlfn.XLOOKUP(Sheet1[[#This Row],[day_id]],calendar!A285,calendar!B285)</f>
        <v>40855</v>
      </c>
      <c r="F1015" t="str">
        <f>_xlfn.XLOOKUP(Sheet1[[#This Row],[day_id]],calendar!A285,calendar!C285)</f>
        <v>Tuesday</v>
      </c>
      <c r="G1015">
        <f>_xlfn.XLOOKUP(Sheet1[[#This Row],[day_id]],calendar!A285,calendar!E285)</f>
        <v>11</v>
      </c>
      <c r="H1015">
        <f>_xlfn.XLOOKUP(Sheet1[[#This Row],[day_id]],calendar!A285,calendar!F285)</f>
        <v>2011</v>
      </c>
      <c r="I1015" t="str">
        <f>_xlfn.XLOOKUP(Sheet1[[#This Row],[day_id]],calendar!A285,calendar!J285)</f>
        <v>No Event</v>
      </c>
      <c r="J1015" t="str">
        <f>_xlfn.XLOOKUP(Sheet1[[#This Row],[day_id]],calendar!A285,calendar!K285)</f>
        <v>No Event Type</v>
      </c>
      <c r="K1015">
        <f>_xlfn.XLOOKUP(calendar!A285,calendar!A285,calendar!I285)</f>
        <v>1</v>
      </c>
    </row>
    <row r="1016" spans="1:11" x14ac:dyDescent="0.2">
      <c r="A1016" t="s">
        <v>371</v>
      </c>
      <c r="B1016" t="s">
        <v>369</v>
      </c>
      <c r="C1016" t="s">
        <v>286</v>
      </c>
      <c r="D1016">
        <v>3</v>
      </c>
      <c r="E1016" s="1">
        <f>_xlfn.XLOOKUP(Sheet1[[#This Row],[day_id]],calendar!A286,calendar!B286)</f>
        <v>40856</v>
      </c>
      <c r="F1016" t="str">
        <f>_xlfn.XLOOKUP(Sheet1[[#This Row],[day_id]],calendar!A286,calendar!C286)</f>
        <v>Wednesday</v>
      </c>
      <c r="G1016">
        <f>_xlfn.XLOOKUP(Sheet1[[#This Row],[day_id]],calendar!A286,calendar!E286)</f>
        <v>11</v>
      </c>
      <c r="H1016">
        <f>_xlfn.XLOOKUP(Sheet1[[#This Row],[day_id]],calendar!A286,calendar!F286)</f>
        <v>2011</v>
      </c>
      <c r="I1016" t="str">
        <f>_xlfn.XLOOKUP(Sheet1[[#This Row],[day_id]],calendar!A286,calendar!J286)</f>
        <v>No Event</v>
      </c>
      <c r="J1016" t="str">
        <f>_xlfn.XLOOKUP(Sheet1[[#This Row],[day_id]],calendar!A286,calendar!K286)</f>
        <v>No Event Type</v>
      </c>
      <c r="K1016">
        <f>_xlfn.XLOOKUP(calendar!A286,calendar!A286,calendar!I286)</f>
        <v>1</v>
      </c>
    </row>
    <row r="1017" spans="1:11" x14ac:dyDescent="0.2">
      <c r="A1017" t="s">
        <v>371</v>
      </c>
      <c r="B1017" t="s">
        <v>369</v>
      </c>
      <c r="C1017" t="s">
        <v>287</v>
      </c>
      <c r="D1017">
        <v>7</v>
      </c>
      <c r="E1017" s="1">
        <f>_xlfn.XLOOKUP(Sheet1[[#This Row],[day_id]],calendar!A287,calendar!B287)</f>
        <v>40857</v>
      </c>
      <c r="F1017" t="str">
        <f>_xlfn.XLOOKUP(Sheet1[[#This Row],[day_id]],calendar!A287,calendar!C287)</f>
        <v>Thursday</v>
      </c>
      <c r="G1017">
        <f>_xlfn.XLOOKUP(Sheet1[[#This Row],[day_id]],calendar!A287,calendar!E287)</f>
        <v>11</v>
      </c>
      <c r="H1017">
        <f>_xlfn.XLOOKUP(Sheet1[[#This Row],[day_id]],calendar!A287,calendar!F287)</f>
        <v>2011</v>
      </c>
      <c r="I1017" t="str">
        <f>_xlfn.XLOOKUP(Sheet1[[#This Row],[day_id]],calendar!A287,calendar!J287)</f>
        <v>No Event</v>
      </c>
      <c r="J1017" t="str">
        <f>_xlfn.XLOOKUP(Sheet1[[#This Row],[day_id]],calendar!A287,calendar!K287)</f>
        <v>No Event Type</v>
      </c>
      <c r="K1017">
        <f>_xlfn.XLOOKUP(calendar!A287,calendar!A287,calendar!I287)</f>
        <v>1</v>
      </c>
    </row>
    <row r="1018" spans="1:11" x14ac:dyDescent="0.2">
      <c r="A1018" t="s">
        <v>371</v>
      </c>
      <c r="B1018" t="s">
        <v>369</v>
      </c>
      <c r="C1018" t="s">
        <v>288</v>
      </c>
      <c r="D1018">
        <v>17</v>
      </c>
      <c r="E1018" s="1">
        <f>_xlfn.XLOOKUP(Sheet1[[#This Row],[day_id]],calendar!A288,calendar!B288)</f>
        <v>40858</v>
      </c>
      <c r="F1018" t="str">
        <f>_xlfn.XLOOKUP(Sheet1[[#This Row],[day_id]],calendar!A288,calendar!C288)</f>
        <v>Friday</v>
      </c>
      <c r="G1018">
        <f>_xlfn.XLOOKUP(Sheet1[[#This Row],[day_id]],calendar!A288,calendar!E288)</f>
        <v>11</v>
      </c>
      <c r="H1018">
        <f>_xlfn.XLOOKUP(Sheet1[[#This Row],[day_id]],calendar!A288,calendar!F288)</f>
        <v>2011</v>
      </c>
      <c r="I1018" t="str">
        <f>_xlfn.XLOOKUP(Sheet1[[#This Row],[day_id]],calendar!A288,calendar!J288)</f>
        <v>VeteransDay</v>
      </c>
      <c r="J1018" t="str">
        <f>_xlfn.XLOOKUP(Sheet1[[#This Row],[day_id]],calendar!A288,calendar!K288)</f>
        <v>National</v>
      </c>
      <c r="K1018">
        <f>_xlfn.XLOOKUP(calendar!A288,calendar!A288,calendar!I288)</f>
        <v>0</v>
      </c>
    </row>
    <row r="1019" spans="1:11" x14ac:dyDescent="0.2">
      <c r="A1019" t="s">
        <v>371</v>
      </c>
      <c r="B1019" t="s">
        <v>369</v>
      </c>
      <c r="C1019" t="s">
        <v>289</v>
      </c>
      <c r="D1019">
        <v>15</v>
      </c>
      <c r="E1019" s="1">
        <f>_xlfn.XLOOKUP(Sheet1[[#This Row],[day_id]],calendar!A289,calendar!B289)</f>
        <v>40859</v>
      </c>
      <c r="F1019" t="str">
        <f>_xlfn.XLOOKUP(Sheet1[[#This Row],[day_id]],calendar!A289,calendar!C289)</f>
        <v>Saturday</v>
      </c>
      <c r="G1019">
        <f>_xlfn.XLOOKUP(Sheet1[[#This Row],[day_id]],calendar!A289,calendar!E289)</f>
        <v>11</v>
      </c>
      <c r="H1019">
        <f>_xlfn.XLOOKUP(Sheet1[[#This Row],[day_id]],calendar!A289,calendar!F289)</f>
        <v>2011</v>
      </c>
      <c r="I1019" t="str">
        <f>_xlfn.XLOOKUP(Sheet1[[#This Row],[day_id]],calendar!A289,calendar!J289)</f>
        <v>No Event</v>
      </c>
      <c r="J1019" t="str">
        <f>_xlfn.XLOOKUP(Sheet1[[#This Row],[day_id]],calendar!A289,calendar!K289)</f>
        <v>No Event Type</v>
      </c>
      <c r="K1019">
        <f>_xlfn.XLOOKUP(calendar!A289,calendar!A289,calendar!I289)</f>
        <v>0</v>
      </c>
    </row>
    <row r="1020" spans="1:11" x14ac:dyDescent="0.2">
      <c r="A1020" t="s">
        <v>371</v>
      </c>
      <c r="B1020" t="s">
        <v>369</v>
      </c>
      <c r="C1020" t="s">
        <v>290</v>
      </c>
      <c r="D1020">
        <v>4</v>
      </c>
      <c r="E1020" s="1">
        <f>_xlfn.XLOOKUP(Sheet1[[#This Row],[day_id]],calendar!A290,calendar!B290)</f>
        <v>40860</v>
      </c>
      <c r="F1020" t="str">
        <f>_xlfn.XLOOKUP(Sheet1[[#This Row],[day_id]],calendar!A290,calendar!C290)</f>
        <v>Sunday</v>
      </c>
      <c r="G1020">
        <f>_xlfn.XLOOKUP(Sheet1[[#This Row],[day_id]],calendar!A290,calendar!E290)</f>
        <v>11</v>
      </c>
      <c r="H1020">
        <f>_xlfn.XLOOKUP(Sheet1[[#This Row],[day_id]],calendar!A290,calendar!F290)</f>
        <v>2011</v>
      </c>
      <c r="I1020" t="str">
        <f>_xlfn.XLOOKUP(Sheet1[[#This Row],[day_id]],calendar!A290,calendar!J290)</f>
        <v>No Event</v>
      </c>
      <c r="J1020" t="str">
        <f>_xlfn.XLOOKUP(Sheet1[[#This Row],[day_id]],calendar!A290,calendar!K290)</f>
        <v>No Event Type</v>
      </c>
      <c r="K1020">
        <f>_xlfn.XLOOKUP(calendar!A290,calendar!A290,calendar!I290)</f>
        <v>0</v>
      </c>
    </row>
    <row r="1021" spans="1:11" x14ac:dyDescent="0.2">
      <c r="A1021" t="s">
        <v>371</v>
      </c>
      <c r="B1021" t="s">
        <v>369</v>
      </c>
      <c r="C1021" t="s">
        <v>291</v>
      </c>
      <c r="D1021">
        <v>9</v>
      </c>
      <c r="E1021" s="1">
        <f>_xlfn.XLOOKUP(Sheet1[[#This Row],[day_id]],calendar!A291,calendar!B291)</f>
        <v>40861</v>
      </c>
      <c r="F1021" t="str">
        <f>_xlfn.XLOOKUP(Sheet1[[#This Row],[day_id]],calendar!A291,calendar!C291)</f>
        <v>Monday</v>
      </c>
      <c r="G1021">
        <f>_xlfn.XLOOKUP(Sheet1[[#This Row],[day_id]],calendar!A291,calendar!E291)</f>
        <v>11</v>
      </c>
      <c r="H1021">
        <f>_xlfn.XLOOKUP(Sheet1[[#This Row],[day_id]],calendar!A291,calendar!F291)</f>
        <v>2011</v>
      </c>
      <c r="I1021" t="str">
        <f>_xlfn.XLOOKUP(Sheet1[[#This Row],[day_id]],calendar!A291,calendar!J291)</f>
        <v>No Event</v>
      </c>
      <c r="J1021" t="str">
        <f>_xlfn.XLOOKUP(Sheet1[[#This Row],[day_id]],calendar!A291,calendar!K291)</f>
        <v>No Event Type</v>
      </c>
      <c r="K1021">
        <f>_xlfn.XLOOKUP(calendar!A291,calendar!A291,calendar!I291)</f>
        <v>0</v>
      </c>
    </row>
    <row r="1022" spans="1:11" x14ac:dyDescent="0.2">
      <c r="A1022" t="s">
        <v>371</v>
      </c>
      <c r="B1022" t="s">
        <v>369</v>
      </c>
      <c r="C1022" t="s">
        <v>292</v>
      </c>
      <c r="D1022">
        <v>11</v>
      </c>
      <c r="E1022" s="1">
        <f>_xlfn.XLOOKUP(Sheet1[[#This Row],[day_id]],calendar!A292,calendar!B292)</f>
        <v>40862</v>
      </c>
      <c r="F1022" t="str">
        <f>_xlfn.XLOOKUP(Sheet1[[#This Row],[day_id]],calendar!A292,calendar!C292)</f>
        <v>Tuesday</v>
      </c>
      <c r="G1022">
        <f>_xlfn.XLOOKUP(Sheet1[[#This Row],[day_id]],calendar!A292,calendar!E292)</f>
        <v>11</v>
      </c>
      <c r="H1022">
        <f>_xlfn.XLOOKUP(Sheet1[[#This Row],[day_id]],calendar!A292,calendar!F292)</f>
        <v>2011</v>
      </c>
      <c r="I1022" t="str">
        <f>_xlfn.XLOOKUP(Sheet1[[#This Row],[day_id]],calendar!A292,calendar!J292)</f>
        <v>No Event</v>
      </c>
      <c r="J1022" t="str">
        <f>_xlfn.XLOOKUP(Sheet1[[#This Row],[day_id]],calendar!A292,calendar!K292)</f>
        <v>No Event Type</v>
      </c>
      <c r="K1022">
        <f>_xlfn.XLOOKUP(calendar!A292,calendar!A292,calendar!I292)</f>
        <v>0</v>
      </c>
    </row>
    <row r="1023" spans="1:11" x14ac:dyDescent="0.2">
      <c r="A1023" t="s">
        <v>371</v>
      </c>
      <c r="B1023" t="s">
        <v>369</v>
      </c>
      <c r="C1023" t="s">
        <v>293</v>
      </c>
      <c r="D1023">
        <v>7</v>
      </c>
      <c r="E1023" s="1">
        <f>_xlfn.XLOOKUP(Sheet1[[#This Row],[day_id]],calendar!A293,calendar!B293)</f>
        <v>40863</v>
      </c>
      <c r="F1023" t="str">
        <f>_xlfn.XLOOKUP(Sheet1[[#This Row],[day_id]],calendar!A293,calendar!C293)</f>
        <v>Wednesday</v>
      </c>
      <c r="G1023">
        <f>_xlfn.XLOOKUP(Sheet1[[#This Row],[day_id]],calendar!A293,calendar!E293)</f>
        <v>11</v>
      </c>
      <c r="H1023">
        <f>_xlfn.XLOOKUP(Sheet1[[#This Row],[day_id]],calendar!A293,calendar!F293)</f>
        <v>2011</v>
      </c>
      <c r="I1023" t="str">
        <f>_xlfn.XLOOKUP(Sheet1[[#This Row],[day_id]],calendar!A293,calendar!J293)</f>
        <v>No Event</v>
      </c>
      <c r="J1023" t="str">
        <f>_xlfn.XLOOKUP(Sheet1[[#This Row],[day_id]],calendar!A293,calendar!K293)</f>
        <v>No Event Type</v>
      </c>
      <c r="K1023">
        <f>_xlfn.XLOOKUP(calendar!A293,calendar!A293,calendar!I293)</f>
        <v>0</v>
      </c>
    </row>
    <row r="1024" spans="1:11" x14ac:dyDescent="0.2">
      <c r="A1024" t="s">
        <v>371</v>
      </c>
      <c r="B1024" t="s">
        <v>369</v>
      </c>
      <c r="C1024" t="s">
        <v>294</v>
      </c>
      <c r="D1024">
        <v>6</v>
      </c>
      <c r="E1024" s="1">
        <f>_xlfn.XLOOKUP(Sheet1[[#This Row],[day_id]],calendar!A294,calendar!B294)</f>
        <v>40864</v>
      </c>
      <c r="F1024" t="str">
        <f>_xlfn.XLOOKUP(Sheet1[[#This Row],[day_id]],calendar!A294,calendar!C294)</f>
        <v>Thursday</v>
      </c>
      <c r="G1024">
        <f>_xlfn.XLOOKUP(Sheet1[[#This Row],[day_id]],calendar!A294,calendar!E294)</f>
        <v>11</v>
      </c>
      <c r="H1024">
        <f>_xlfn.XLOOKUP(Sheet1[[#This Row],[day_id]],calendar!A294,calendar!F294)</f>
        <v>2011</v>
      </c>
      <c r="I1024" t="str">
        <f>_xlfn.XLOOKUP(Sheet1[[#This Row],[day_id]],calendar!A294,calendar!J294)</f>
        <v>No Event</v>
      </c>
      <c r="J1024" t="str">
        <f>_xlfn.XLOOKUP(Sheet1[[#This Row],[day_id]],calendar!A294,calendar!K294)</f>
        <v>No Event Type</v>
      </c>
      <c r="K1024">
        <f>_xlfn.XLOOKUP(calendar!A294,calendar!A294,calendar!I294)</f>
        <v>0</v>
      </c>
    </row>
    <row r="1025" spans="1:11" x14ac:dyDescent="0.2">
      <c r="A1025" t="s">
        <v>371</v>
      </c>
      <c r="B1025" t="s">
        <v>369</v>
      </c>
      <c r="C1025" t="s">
        <v>295</v>
      </c>
      <c r="D1025">
        <v>9</v>
      </c>
      <c r="E1025" s="1">
        <f>_xlfn.XLOOKUP(Sheet1[[#This Row],[day_id]],calendar!A295,calendar!B295)</f>
        <v>40865</v>
      </c>
      <c r="F1025" t="str">
        <f>_xlfn.XLOOKUP(Sheet1[[#This Row],[day_id]],calendar!A295,calendar!C295)</f>
        <v>Friday</v>
      </c>
      <c r="G1025">
        <f>_xlfn.XLOOKUP(Sheet1[[#This Row],[day_id]],calendar!A295,calendar!E295)</f>
        <v>11</v>
      </c>
      <c r="H1025">
        <f>_xlfn.XLOOKUP(Sheet1[[#This Row],[day_id]],calendar!A295,calendar!F295)</f>
        <v>2011</v>
      </c>
      <c r="I1025" t="str">
        <f>_xlfn.XLOOKUP(Sheet1[[#This Row],[day_id]],calendar!A295,calendar!J295)</f>
        <v>No Event</v>
      </c>
      <c r="J1025" t="str">
        <f>_xlfn.XLOOKUP(Sheet1[[#This Row],[day_id]],calendar!A295,calendar!K295)</f>
        <v>No Event Type</v>
      </c>
      <c r="K1025">
        <f>_xlfn.XLOOKUP(calendar!A295,calendar!A295,calendar!I295)</f>
        <v>0</v>
      </c>
    </row>
    <row r="1026" spans="1:11" x14ac:dyDescent="0.2">
      <c r="A1026" t="s">
        <v>371</v>
      </c>
      <c r="B1026" t="s">
        <v>369</v>
      </c>
      <c r="C1026" t="s">
        <v>296</v>
      </c>
      <c r="D1026">
        <v>13</v>
      </c>
      <c r="E1026" s="1">
        <f>_xlfn.XLOOKUP(Sheet1[[#This Row],[day_id]],calendar!A296,calendar!B296)</f>
        <v>40866</v>
      </c>
      <c r="F1026" t="str">
        <f>_xlfn.XLOOKUP(Sheet1[[#This Row],[day_id]],calendar!A296,calendar!C296)</f>
        <v>Saturday</v>
      </c>
      <c r="G1026">
        <f>_xlfn.XLOOKUP(Sheet1[[#This Row],[day_id]],calendar!A296,calendar!E296)</f>
        <v>11</v>
      </c>
      <c r="H1026">
        <f>_xlfn.XLOOKUP(Sheet1[[#This Row],[day_id]],calendar!A296,calendar!F296)</f>
        <v>2011</v>
      </c>
      <c r="I1026" t="str">
        <f>_xlfn.XLOOKUP(Sheet1[[#This Row],[day_id]],calendar!A296,calendar!J296)</f>
        <v>No Event</v>
      </c>
      <c r="J1026" t="str">
        <f>_xlfn.XLOOKUP(Sheet1[[#This Row],[day_id]],calendar!A296,calendar!K296)</f>
        <v>No Event Type</v>
      </c>
      <c r="K1026">
        <f>_xlfn.XLOOKUP(calendar!A296,calendar!A296,calendar!I296)</f>
        <v>0</v>
      </c>
    </row>
    <row r="1027" spans="1:11" x14ac:dyDescent="0.2">
      <c r="A1027" t="s">
        <v>371</v>
      </c>
      <c r="B1027" t="s">
        <v>369</v>
      </c>
      <c r="C1027" t="s">
        <v>297</v>
      </c>
      <c r="D1027">
        <v>17</v>
      </c>
      <c r="E1027" s="1">
        <f>_xlfn.XLOOKUP(Sheet1[[#This Row],[day_id]],calendar!A297,calendar!B297)</f>
        <v>40867</v>
      </c>
      <c r="F1027" t="str">
        <f>_xlfn.XLOOKUP(Sheet1[[#This Row],[day_id]],calendar!A297,calendar!C297)</f>
        <v>Sunday</v>
      </c>
      <c r="G1027">
        <f>_xlfn.XLOOKUP(Sheet1[[#This Row],[day_id]],calendar!A297,calendar!E297)</f>
        <v>11</v>
      </c>
      <c r="H1027">
        <f>_xlfn.XLOOKUP(Sheet1[[#This Row],[day_id]],calendar!A297,calendar!F297)</f>
        <v>2011</v>
      </c>
      <c r="I1027" t="str">
        <f>_xlfn.XLOOKUP(Sheet1[[#This Row],[day_id]],calendar!A297,calendar!J297)</f>
        <v>No Event</v>
      </c>
      <c r="J1027" t="str">
        <f>_xlfn.XLOOKUP(Sheet1[[#This Row],[day_id]],calendar!A297,calendar!K297)</f>
        <v>No Event Type</v>
      </c>
      <c r="K1027">
        <f>_xlfn.XLOOKUP(calendar!A297,calendar!A297,calendar!I297)</f>
        <v>0</v>
      </c>
    </row>
    <row r="1028" spans="1:11" x14ac:dyDescent="0.2">
      <c r="A1028" t="s">
        <v>371</v>
      </c>
      <c r="B1028" t="s">
        <v>369</v>
      </c>
      <c r="C1028" t="s">
        <v>298</v>
      </c>
      <c r="D1028">
        <v>9</v>
      </c>
      <c r="E1028" s="1">
        <f>_xlfn.XLOOKUP(Sheet1[[#This Row],[day_id]],calendar!A298,calendar!B298)</f>
        <v>40868</v>
      </c>
      <c r="F1028" t="str">
        <f>_xlfn.XLOOKUP(Sheet1[[#This Row],[day_id]],calendar!A298,calendar!C298)</f>
        <v>Monday</v>
      </c>
      <c r="G1028">
        <f>_xlfn.XLOOKUP(Sheet1[[#This Row],[day_id]],calendar!A298,calendar!E298)</f>
        <v>11</v>
      </c>
      <c r="H1028">
        <f>_xlfn.XLOOKUP(Sheet1[[#This Row],[day_id]],calendar!A298,calendar!F298)</f>
        <v>2011</v>
      </c>
      <c r="I1028" t="str">
        <f>_xlfn.XLOOKUP(Sheet1[[#This Row],[day_id]],calendar!A298,calendar!J298)</f>
        <v>No Event</v>
      </c>
      <c r="J1028" t="str">
        <f>_xlfn.XLOOKUP(Sheet1[[#This Row],[day_id]],calendar!A298,calendar!K298)</f>
        <v>No Event Type</v>
      </c>
      <c r="K1028">
        <f>_xlfn.XLOOKUP(calendar!A298,calendar!A298,calendar!I298)</f>
        <v>0</v>
      </c>
    </row>
    <row r="1029" spans="1:11" x14ac:dyDescent="0.2">
      <c r="A1029" t="s">
        <v>371</v>
      </c>
      <c r="B1029" t="s">
        <v>369</v>
      </c>
      <c r="C1029" t="s">
        <v>299</v>
      </c>
      <c r="D1029">
        <v>5</v>
      </c>
      <c r="E1029" s="1">
        <f>_xlfn.XLOOKUP(Sheet1[[#This Row],[day_id]],calendar!A299,calendar!B299)</f>
        <v>40869</v>
      </c>
      <c r="F1029" t="str">
        <f>_xlfn.XLOOKUP(Sheet1[[#This Row],[day_id]],calendar!A299,calendar!C299)</f>
        <v>Tuesday</v>
      </c>
      <c r="G1029">
        <f>_xlfn.XLOOKUP(Sheet1[[#This Row],[day_id]],calendar!A299,calendar!E299)</f>
        <v>11</v>
      </c>
      <c r="H1029">
        <f>_xlfn.XLOOKUP(Sheet1[[#This Row],[day_id]],calendar!A299,calendar!F299)</f>
        <v>2011</v>
      </c>
      <c r="I1029" t="str">
        <f>_xlfn.XLOOKUP(Sheet1[[#This Row],[day_id]],calendar!A299,calendar!J299)</f>
        <v>No Event</v>
      </c>
      <c r="J1029" t="str">
        <f>_xlfn.XLOOKUP(Sheet1[[#This Row],[day_id]],calendar!A299,calendar!K299)</f>
        <v>No Event Type</v>
      </c>
      <c r="K1029">
        <f>_xlfn.XLOOKUP(calendar!A299,calendar!A299,calendar!I299)</f>
        <v>0</v>
      </c>
    </row>
    <row r="1030" spans="1:11" x14ac:dyDescent="0.2">
      <c r="A1030" t="s">
        <v>371</v>
      </c>
      <c r="B1030" t="s">
        <v>369</v>
      </c>
      <c r="C1030" t="s">
        <v>300</v>
      </c>
      <c r="D1030">
        <v>5</v>
      </c>
      <c r="E1030" s="1">
        <f>_xlfn.XLOOKUP(Sheet1[[#This Row],[day_id]],calendar!A300,calendar!B300)</f>
        <v>40870</v>
      </c>
      <c r="F1030" t="str">
        <f>_xlfn.XLOOKUP(Sheet1[[#This Row],[day_id]],calendar!A300,calendar!C300)</f>
        <v>Wednesday</v>
      </c>
      <c r="G1030">
        <f>_xlfn.XLOOKUP(Sheet1[[#This Row],[day_id]],calendar!A300,calendar!E300)</f>
        <v>11</v>
      </c>
      <c r="H1030">
        <f>_xlfn.XLOOKUP(Sheet1[[#This Row],[day_id]],calendar!A300,calendar!F300)</f>
        <v>2011</v>
      </c>
      <c r="I1030" t="str">
        <f>_xlfn.XLOOKUP(Sheet1[[#This Row],[day_id]],calendar!A300,calendar!J300)</f>
        <v>No Event</v>
      </c>
      <c r="J1030" t="str">
        <f>_xlfn.XLOOKUP(Sheet1[[#This Row],[day_id]],calendar!A300,calendar!K300)</f>
        <v>No Event Type</v>
      </c>
      <c r="K1030">
        <f>_xlfn.XLOOKUP(calendar!A300,calendar!A300,calendar!I300)</f>
        <v>0</v>
      </c>
    </row>
    <row r="1031" spans="1:11" x14ac:dyDescent="0.2">
      <c r="A1031" t="s">
        <v>371</v>
      </c>
      <c r="B1031" t="s">
        <v>369</v>
      </c>
      <c r="C1031" t="s">
        <v>301</v>
      </c>
      <c r="D1031">
        <v>6</v>
      </c>
      <c r="E1031" s="1">
        <f>_xlfn.XLOOKUP(Sheet1[[#This Row],[day_id]],calendar!A301,calendar!B301)</f>
        <v>40871</v>
      </c>
      <c r="F1031" t="str">
        <f>_xlfn.XLOOKUP(Sheet1[[#This Row],[day_id]],calendar!A301,calendar!C301)</f>
        <v>Thursday</v>
      </c>
      <c r="G1031">
        <f>_xlfn.XLOOKUP(Sheet1[[#This Row],[day_id]],calendar!A301,calendar!E301)</f>
        <v>11</v>
      </c>
      <c r="H1031">
        <f>_xlfn.XLOOKUP(Sheet1[[#This Row],[day_id]],calendar!A301,calendar!F301)</f>
        <v>2011</v>
      </c>
      <c r="I1031" t="str">
        <f>_xlfn.XLOOKUP(Sheet1[[#This Row],[day_id]],calendar!A301,calendar!J301)</f>
        <v>Thanksgiving</v>
      </c>
      <c r="J1031" t="str">
        <f>_xlfn.XLOOKUP(Sheet1[[#This Row],[day_id]],calendar!A301,calendar!K301)</f>
        <v>National</v>
      </c>
      <c r="K1031">
        <f>_xlfn.XLOOKUP(calendar!A301,calendar!A301,calendar!I301)</f>
        <v>0</v>
      </c>
    </row>
    <row r="1032" spans="1:11" x14ac:dyDescent="0.2">
      <c r="A1032" t="s">
        <v>371</v>
      </c>
      <c r="B1032" t="s">
        <v>369</v>
      </c>
      <c r="C1032" t="s">
        <v>302</v>
      </c>
      <c r="D1032">
        <v>26</v>
      </c>
      <c r="E1032" s="1">
        <f>_xlfn.XLOOKUP(Sheet1[[#This Row],[day_id]],calendar!A302,calendar!B302)</f>
        <v>40872</v>
      </c>
      <c r="F1032" t="str">
        <f>_xlfn.XLOOKUP(Sheet1[[#This Row],[day_id]],calendar!A302,calendar!C302)</f>
        <v>Friday</v>
      </c>
      <c r="G1032">
        <f>_xlfn.XLOOKUP(Sheet1[[#This Row],[day_id]],calendar!A302,calendar!E302)</f>
        <v>11</v>
      </c>
      <c r="H1032">
        <f>_xlfn.XLOOKUP(Sheet1[[#This Row],[day_id]],calendar!A302,calendar!F302)</f>
        <v>2011</v>
      </c>
      <c r="I1032" t="str">
        <f>_xlfn.XLOOKUP(Sheet1[[#This Row],[day_id]],calendar!A302,calendar!J302)</f>
        <v>No Event</v>
      </c>
      <c r="J1032" t="str">
        <f>_xlfn.XLOOKUP(Sheet1[[#This Row],[day_id]],calendar!A302,calendar!K302)</f>
        <v>No Event Type</v>
      </c>
      <c r="K1032">
        <f>_xlfn.XLOOKUP(calendar!A302,calendar!A302,calendar!I302)</f>
        <v>0</v>
      </c>
    </row>
    <row r="1033" spans="1:11" x14ac:dyDescent="0.2">
      <c r="A1033" t="s">
        <v>371</v>
      </c>
      <c r="B1033" t="s">
        <v>369</v>
      </c>
      <c r="C1033" t="s">
        <v>303</v>
      </c>
      <c r="D1033">
        <v>12</v>
      </c>
      <c r="E1033" s="1">
        <f>_xlfn.XLOOKUP(Sheet1[[#This Row],[day_id]],calendar!A303,calendar!B303)</f>
        <v>40873</v>
      </c>
      <c r="F1033" t="str">
        <f>_xlfn.XLOOKUP(Sheet1[[#This Row],[day_id]],calendar!A303,calendar!C303)</f>
        <v>Saturday</v>
      </c>
      <c r="G1033">
        <f>_xlfn.XLOOKUP(Sheet1[[#This Row],[day_id]],calendar!A303,calendar!E303)</f>
        <v>11</v>
      </c>
      <c r="H1033">
        <f>_xlfn.XLOOKUP(Sheet1[[#This Row],[day_id]],calendar!A303,calendar!F303)</f>
        <v>2011</v>
      </c>
      <c r="I1033" t="str">
        <f>_xlfn.XLOOKUP(Sheet1[[#This Row],[day_id]],calendar!A303,calendar!J303)</f>
        <v>No Event</v>
      </c>
      <c r="J1033" t="str">
        <f>_xlfn.XLOOKUP(Sheet1[[#This Row],[day_id]],calendar!A303,calendar!K303)</f>
        <v>No Event Type</v>
      </c>
      <c r="K1033">
        <f>_xlfn.XLOOKUP(calendar!A303,calendar!A303,calendar!I303)</f>
        <v>0</v>
      </c>
    </row>
    <row r="1034" spans="1:11" x14ac:dyDescent="0.2">
      <c r="A1034" t="s">
        <v>371</v>
      </c>
      <c r="B1034" t="s">
        <v>369</v>
      </c>
      <c r="C1034" t="s">
        <v>304</v>
      </c>
      <c r="D1034">
        <v>5</v>
      </c>
      <c r="E1034" s="1">
        <f>_xlfn.XLOOKUP(Sheet1[[#This Row],[day_id]],calendar!A304,calendar!B304)</f>
        <v>40874</v>
      </c>
      <c r="F1034" t="str">
        <f>_xlfn.XLOOKUP(Sheet1[[#This Row],[day_id]],calendar!A304,calendar!C304)</f>
        <v>Sunday</v>
      </c>
      <c r="G1034">
        <f>_xlfn.XLOOKUP(Sheet1[[#This Row],[day_id]],calendar!A304,calendar!E304)</f>
        <v>11</v>
      </c>
      <c r="H1034">
        <f>_xlfn.XLOOKUP(Sheet1[[#This Row],[day_id]],calendar!A304,calendar!F304)</f>
        <v>2011</v>
      </c>
      <c r="I1034" t="str">
        <f>_xlfn.XLOOKUP(Sheet1[[#This Row],[day_id]],calendar!A304,calendar!J304)</f>
        <v>No Event</v>
      </c>
      <c r="J1034" t="str">
        <f>_xlfn.XLOOKUP(Sheet1[[#This Row],[day_id]],calendar!A304,calendar!K304)</f>
        <v>No Event Type</v>
      </c>
      <c r="K1034">
        <f>_xlfn.XLOOKUP(calendar!A304,calendar!A304,calendar!I304)</f>
        <v>0</v>
      </c>
    </row>
    <row r="1035" spans="1:11" x14ac:dyDescent="0.2">
      <c r="A1035" t="s">
        <v>371</v>
      </c>
      <c r="B1035" t="s">
        <v>369</v>
      </c>
      <c r="C1035" t="s">
        <v>305</v>
      </c>
      <c r="D1035">
        <v>6</v>
      </c>
      <c r="E1035" s="1">
        <f>_xlfn.XLOOKUP(Sheet1[[#This Row],[day_id]],calendar!A305,calendar!B305)</f>
        <v>40875</v>
      </c>
      <c r="F1035" t="str">
        <f>_xlfn.XLOOKUP(Sheet1[[#This Row],[day_id]],calendar!A305,calendar!C305)</f>
        <v>Monday</v>
      </c>
      <c r="G1035">
        <f>_xlfn.XLOOKUP(Sheet1[[#This Row],[day_id]],calendar!A305,calendar!E305)</f>
        <v>11</v>
      </c>
      <c r="H1035">
        <f>_xlfn.XLOOKUP(Sheet1[[#This Row],[day_id]],calendar!A305,calendar!F305)</f>
        <v>2011</v>
      </c>
      <c r="I1035" t="str">
        <f>_xlfn.XLOOKUP(Sheet1[[#This Row],[day_id]],calendar!A305,calendar!J305)</f>
        <v>No Event</v>
      </c>
      <c r="J1035" t="str">
        <f>_xlfn.XLOOKUP(Sheet1[[#This Row],[day_id]],calendar!A305,calendar!K305)</f>
        <v>No Event Type</v>
      </c>
      <c r="K1035">
        <f>_xlfn.XLOOKUP(calendar!A305,calendar!A305,calendar!I305)</f>
        <v>0</v>
      </c>
    </row>
    <row r="1036" spans="1:11" x14ac:dyDescent="0.2">
      <c r="A1036" t="s">
        <v>371</v>
      </c>
      <c r="B1036" t="s">
        <v>369</v>
      </c>
      <c r="C1036" t="s">
        <v>306</v>
      </c>
      <c r="D1036">
        <v>3</v>
      </c>
      <c r="E1036" s="1">
        <f>_xlfn.XLOOKUP(Sheet1[[#This Row],[day_id]],calendar!A306,calendar!B306)</f>
        <v>40876</v>
      </c>
      <c r="F1036" t="str">
        <f>_xlfn.XLOOKUP(Sheet1[[#This Row],[day_id]],calendar!A306,calendar!C306)</f>
        <v>Tuesday</v>
      </c>
      <c r="G1036">
        <f>_xlfn.XLOOKUP(Sheet1[[#This Row],[day_id]],calendar!A306,calendar!E306)</f>
        <v>11</v>
      </c>
      <c r="H1036">
        <f>_xlfn.XLOOKUP(Sheet1[[#This Row],[day_id]],calendar!A306,calendar!F306)</f>
        <v>2011</v>
      </c>
      <c r="I1036" t="str">
        <f>_xlfn.XLOOKUP(Sheet1[[#This Row],[day_id]],calendar!A306,calendar!J306)</f>
        <v>No Event</v>
      </c>
      <c r="J1036" t="str">
        <f>_xlfn.XLOOKUP(Sheet1[[#This Row],[day_id]],calendar!A306,calendar!K306)</f>
        <v>No Event Type</v>
      </c>
      <c r="K1036">
        <f>_xlfn.XLOOKUP(calendar!A306,calendar!A306,calendar!I306)</f>
        <v>0</v>
      </c>
    </row>
    <row r="1037" spans="1:11" x14ac:dyDescent="0.2">
      <c r="A1037" t="s">
        <v>371</v>
      </c>
      <c r="B1037" t="s">
        <v>369</v>
      </c>
      <c r="C1037" t="s">
        <v>307</v>
      </c>
      <c r="D1037">
        <v>12</v>
      </c>
      <c r="E1037" s="1">
        <f>_xlfn.XLOOKUP(Sheet1[[#This Row],[day_id]],calendar!A307,calendar!B307)</f>
        <v>40877</v>
      </c>
      <c r="F1037" t="str">
        <f>_xlfn.XLOOKUP(Sheet1[[#This Row],[day_id]],calendar!A307,calendar!C307)</f>
        <v>Wednesday</v>
      </c>
      <c r="G1037">
        <f>_xlfn.XLOOKUP(Sheet1[[#This Row],[day_id]],calendar!A307,calendar!E307)</f>
        <v>11</v>
      </c>
      <c r="H1037">
        <f>_xlfn.XLOOKUP(Sheet1[[#This Row],[day_id]],calendar!A307,calendar!F307)</f>
        <v>2011</v>
      </c>
      <c r="I1037" t="str">
        <f>_xlfn.XLOOKUP(Sheet1[[#This Row],[day_id]],calendar!A307,calendar!J307)</f>
        <v>No Event</v>
      </c>
      <c r="J1037" t="str">
        <f>_xlfn.XLOOKUP(Sheet1[[#This Row],[day_id]],calendar!A307,calendar!K307)</f>
        <v>No Event Type</v>
      </c>
      <c r="K1037">
        <f>_xlfn.XLOOKUP(calendar!A307,calendar!A307,calendar!I307)</f>
        <v>0</v>
      </c>
    </row>
    <row r="1038" spans="1:11" x14ac:dyDescent="0.2">
      <c r="A1038" t="s">
        <v>371</v>
      </c>
      <c r="B1038" t="s">
        <v>369</v>
      </c>
      <c r="C1038" t="s">
        <v>308</v>
      </c>
      <c r="D1038">
        <v>8</v>
      </c>
      <c r="E1038" s="1">
        <f>_xlfn.XLOOKUP(Sheet1[[#This Row],[day_id]],calendar!A308,calendar!B308)</f>
        <v>40878</v>
      </c>
      <c r="F1038" t="str">
        <f>_xlfn.XLOOKUP(Sheet1[[#This Row],[day_id]],calendar!A308,calendar!C308)</f>
        <v>Thursday</v>
      </c>
      <c r="G1038">
        <f>_xlfn.XLOOKUP(Sheet1[[#This Row],[day_id]],calendar!A308,calendar!E308)</f>
        <v>12</v>
      </c>
      <c r="H1038">
        <f>_xlfn.XLOOKUP(Sheet1[[#This Row],[day_id]],calendar!A308,calendar!F308)</f>
        <v>2011</v>
      </c>
      <c r="I1038" t="str">
        <f>_xlfn.XLOOKUP(Sheet1[[#This Row],[day_id]],calendar!A308,calendar!J308)</f>
        <v>No Event</v>
      </c>
      <c r="J1038" t="str">
        <f>_xlfn.XLOOKUP(Sheet1[[#This Row],[day_id]],calendar!A308,calendar!K308)</f>
        <v>No Event Type</v>
      </c>
      <c r="K1038">
        <f>_xlfn.XLOOKUP(calendar!A308,calendar!A308,calendar!I308)</f>
        <v>1</v>
      </c>
    </row>
    <row r="1039" spans="1:11" x14ac:dyDescent="0.2">
      <c r="A1039" t="s">
        <v>371</v>
      </c>
      <c r="B1039" t="s">
        <v>369</v>
      </c>
      <c r="C1039" t="s">
        <v>309</v>
      </c>
      <c r="D1039">
        <v>7</v>
      </c>
      <c r="E1039" s="1">
        <f>_xlfn.XLOOKUP(Sheet1[[#This Row],[day_id]],calendar!A309,calendar!B309)</f>
        <v>40879</v>
      </c>
      <c r="F1039" t="str">
        <f>_xlfn.XLOOKUP(Sheet1[[#This Row],[day_id]],calendar!A309,calendar!C309)</f>
        <v>Friday</v>
      </c>
      <c r="G1039">
        <f>_xlfn.XLOOKUP(Sheet1[[#This Row],[day_id]],calendar!A309,calendar!E309)</f>
        <v>12</v>
      </c>
      <c r="H1039">
        <f>_xlfn.XLOOKUP(Sheet1[[#This Row],[day_id]],calendar!A309,calendar!F309)</f>
        <v>2011</v>
      </c>
      <c r="I1039" t="str">
        <f>_xlfn.XLOOKUP(Sheet1[[#This Row],[day_id]],calendar!A309,calendar!J309)</f>
        <v>No Event</v>
      </c>
      <c r="J1039" t="str">
        <f>_xlfn.XLOOKUP(Sheet1[[#This Row],[day_id]],calendar!A309,calendar!K309)</f>
        <v>No Event Type</v>
      </c>
      <c r="K1039">
        <f>_xlfn.XLOOKUP(calendar!A309,calendar!A309,calendar!I309)</f>
        <v>1</v>
      </c>
    </row>
    <row r="1040" spans="1:11" x14ac:dyDescent="0.2">
      <c r="A1040" t="s">
        <v>371</v>
      </c>
      <c r="B1040" t="s">
        <v>369</v>
      </c>
      <c r="C1040" t="s">
        <v>310</v>
      </c>
      <c r="D1040">
        <v>23</v>
      </c>
      <c r="E1040" s="1">
        <f>_xlfn.XLOOKUP(Sheet1[[#This Row],[day_id]],calendar!A310,calendar!B310)</f>
        <v>40880</v>
      </c>
      <c r="F1040" t="str">
        <f>_xlfn.XLOOKUP(Sheet1[[#This Row],[day_id]],calendar!A310,calendar!C310)</f>
        <v>Saturday</v>
      </c>
      <c r="G1040">
        <f>_xlfn.XLOOKUP(Sheet1[[#This Row],[day_id]],calendar!A310,calendar!E310)</f>
        <v>12</v>
      </c>
      <c r="H1040">
        <f>_xlfn.XLOOKUP(Sheet1[[#This Row],[day_id]],calendar!A310,calendar!F310)</f>
        <v>2011</v>
      </c>
      <c r="I1040" t="str">
        <f>_xlfn.XLOOKUP(Sheet1[[#This Row],[day_id]],calendar!A310,calendar!J310)</f>
        <v>No Event</v>
      </c>
      <c r="J1040" t="str">
        <f>_xlfn.XLOOKUP(Sheet1[[#This Row],[day_id]],calendar!A310,calendar!K310)</f>
        <v>No Event Type</v>
      </c>
      <c r="K1040">
        <f>_xlfn.XLOOKUP(calendar!A310,calendar!A310,calendar!I310)</f>
        <v>1</v>
      </c>
    </row>
    <row r="1041" spans="1:11" x14ac:dyDescent="0.2">
      <c r="A1041" t="s">
        <v>371</v>
      </c>
      <c r="B1041" t="s">
        <v>369</v>
      </c>
      <c r="C1041" t="s">
        <v>311</v>
      </c>
      <c r="D1041">
        <v>10</v>
      </c>
      <c r="E1041" s="1">
        <f>_xlfn.XLOOKUP(Sheet1[[#This Row],[day_id]],calendar!A311,calendar!B311)</f>
        <v>40881</v>
      </c>
      <c r="F1041" t="str">
        <f>_xlfn.XLOOKUP(Sheet1[[#This Row],[day_id]],calendar!A311,calendar!C311)</f>
        <v>Sunday</v>
      </c>
      <c r="G1041">
        <f>_xlfn.XLOOKUP(Sheet1[[#This Row],[day_id]],calendar!A311,calendar!E311)</f>
        <v>12</v>
      </c>
      <c r="H1041">
        <f>_xlfn.XLOOKUP(Sheet1[[#This Row],[day_id]],calendar!A311,calendar!F311)</f>
        <v>2011</v>
      </c>
      <c r="I1041" t="str">
        <f>_xlfn.XLOOKUP(Sheet1[[#This Row],[day_id]],calendar!A311,calendar!J311)</f>
        <v>No Event</v>
      </c>
      <c r="J1041" t="str">
        <f>_xlfn.XLOOKUP(Sheet1[[#This Row],[day_id]],calendar!A311,calendar!K311)</f>
        <v>No Event Type</v>
      </c>
      <c r="K1041">
        <f>_xlfn.XLOOKUP(calendar!A311,calendar!A311,calendar!I311)</f>
        <v>1</v>
      </c>
    </row>
    <row r="1042" spans="1:11" x14ac:dyDescent="0.2">
      <c r="A1042" t="s">
        <v>371</v>
      </c>
      <c r="B1042" t="s">
        <v>369</v>
      </c>
      <c r="C1042" t="s">
        <v>312</v>
      </c>
      <c r="D1042">
        <v>7</v>
      </c>
      <c r="E1042" s="1">
        <f>_xlfn.XLOOKUP(Sheet1[[#This Row],[day_id]],calendar!A312,calendar!B312)</f>
        <v>40882</v>
      </c>
      <c r="F1042" t="str">
        <f>_xlfn.XLOOKUP(Sheet1[[#This Row],[day_id]],calendar!A312,calendar!C312)</f>
        <v>Monday</v>
      </c>
      <c r="G1042">
        <f>_xlfn.XLOOKUP(Sheet1[[#This Row],[day_id]],calendar!A312,calendar!E312)</f>
        <v>12</v>
      </c>
      <c r="H1042">
        <f>_xlfn.XLOOKUP(Sheet1[[#This Row],[day_id]],calendar!A312,calendar!F312)</f>
        <v>2011</v>
      </c>
      <c r="I1042" t="str">
        <f>_xlfn.XLOOKUP(Sheet1[[#This Row],[day_id]],calendar!A312,calendar!J312)</f>
        <v>No Event</v>
      </c>
      <c r="J1042" t="str">
        <f>_xlfn.XLOOKUP(Sheet1[[#This Row],[day_id]],calendar!A312,calendar!K312)</f>
        <v>No Event Type</v>
      </c>
      <c r="K1042">
        <f>_xlfn.XLOOKUP(calendar!A312,calendar!A312,calendar!I312)</f>
        <v>1</v>
      </c>
    </row>
    <row r="1043" spans="1:11" x14ac:dyDescent="0.2">
      <c r="A1043" t="s">
        <v>371</v>
      </c>
      <c r="B1043" t="s">
        <v>369</v>
      </c>
      <c r="C1043" t="s">
        <v>313</v>
      </c>
      <c r="D1043">
        <v>2</v>
      </c>
      <c r="E1043" s="1">
        <f>_xlfn.XLOOKUP(Sheet1[[#This Row],[day_id]],calendar!A313,calendar!B313)</f>
        <v>40883</v>
      </c>
      <c r="F1043" t="str">
        <f>_xlfn.XLOOKUP(Sheet1[[#This Row],[day_id]],calendar!A313,calendar!C313)</f>
        <v>Tuesday</v>
      </c>
      <c r="G1043">
        <f>_xlfn.XLOOKUP(Sheet1[[#This Row],[day_id]],calendar!A313,calendar!E313)</f>
        <v>12</v>
      </c>
      <c r="H1043">
        <f>_xlfn.XLOOKUP(Sheet1[[#This Row],[day_id]],calendar!A313,calendar!F313)</f>
        <v>2011</v>
      </c>
      <c r="I1043" t="str">
        <f>_xlfn.XLOOKUP(Sheet1[[#This Row],[day_id]],calendar!A313,calendar!J313)</f>
        <v>No Event</v>
      </c>
      <c r="J1043" t="str">
        <f>_xlfn.XLOOKUP(Sheet1[[#This Row],[day_id]],calendar!A313,calendar!K313)</f>
        <v>No Event Type</v>
      </c>
      <c r="K1043">
        <f>_xlfn.XLOOKUP(calendar!A313,calendar!A313,calendar!I313)</f>
        <v>1</v>
      </c>
    </row>
    <row r="1044" spans="1:11" x14ac:dyDescent="0.2">
      <c r="A1044" t="s">
        <v>371</v>
      </c>
      <c r="B1044" t="s">
        <v>369</v>
      </c>
      <c r="C1044" t="s">
        <v>314</v>
      </c>
      <c r="D1044">
        <v>6</v>
      </c>
      <c r="E1044" s="1">
        <f>_xlfn.XLOOKUP(Sheet1[[#This Row],[day_id]],calendar!A314,calendar!B314)</f>
        <v>40884</v>
      </c>
      <c r="F1044" t="str">
        <f>_xlfn.XLOOKUP(Sheet1[[#This Row],[day_id]],calendar!A314,calendar!C314)</f>
        <v>Wednesday</v>
      </c>
      <c r="G1044">
        <f>_xlfn.XLOOKUP(Sheet1[[#This Row],[day_id]],calendar!A314,calendar!E314)</f>
        <v>12</v>
      </c>
      <c r="H1044">
        <f>_xlfn.XLOOKUP(Sheet1[[#This Row],[day_id]],calendar!A314,calendar!F314)</f>
        <v>2011</v>
      </c>
      <c r="I1044" t="str">
        <f>_xlfn.XLOOKUP(Sheet1[[#This Row],[day_id]],calendar!A314,calendar!J314)</f>
        <v>No Event</v>
      </c>
      <c r="J1044" t="str">
        <f>_xlfn.XLOOKUP(Sheet1[[#This Row],[day_id]],calendar!A314,calendar!K314)</f>
        <v>No Event Type</v>
      </c>
      <c r="K1044">
        <f>_xlfn.XLOOKUP(calendar!A314,calendar!A314,calendar!I314)</f>
        <v>1</v>
      </c>
    </row>
    <row r="1045" spans="1:11" x14ac:dyDescent="0.2">
      <c r="A1045" t="s">
        <v>371</v>
      </c>
      <c r="B1045" t="s">
        <v>369</v>
      </c>
      <c r="C1045" t="s">
        <v>315</v>
      </c>
      <c r="D1045">
        <v>3</v>
      </c>
      <c r="E1045" s="1">
        <f>_xlfn.XLOOKUP(Sheet1[[#This Row],[day_id]],calendar!A315,calendar!B315)</f>
        <v>40885</v>
      </c>
      <c r="F1045" t="str">
        <f>_xlfn.XLOOKUP(Sheet1[[#This Row],[day_id]],calendar!A315,calendar!C315)</f>
        <v>Thursday</v>
      </c>
      <c r="G1045">
        <f>_xlfn.XLOOKUP(Sheet1[[#This Row],[day_id]],calendar!A315,calendar!E315)</f>
        <v>12</v>
      </c>
      <c r="H1045">
        <f>_xlfn.XLOOKUP(Sheet1[[#This Row],[day_id]],calendar!A315,calendar!F315)</f>
        <v>2011</v>
      </c>
      <c r="I1045" t="str">
        <f>_xlfn.XLOOKUP(Sheet1[[#This Row],[day_id]],calendar!A315,calendar!J315)</f>
        <v>No Event</v>
      </c>
      <c r="J1045" t="str">
        <f>_xlfn.XLOOKUP(Sheet1[[#This Row],[day_id]],calendar!A315,calendar!K315)</f>
        <v>No Event Type</v>
      </c>
      <c r="K1045">
        <f>_xlfn.XLOOKUP(calendar!A315,calendar!A315,calendar!I315)</f>
        <v>1</v>
      </c>
    </row>
    <row r="1046" spans="1:11" x14ac:dyDescent="0.2">
      <c r="A1046" t="s">
        <v>371</v>
      </c>
      <c r="B1046" t="s">
        <v>369</v>
      </c>
      <c r="C1046" t="s">
        <v>316</v>
      </c>
      <c r="D1046">
        <v>7</v>
      </c>
      <c r="E1046" s="1">
        <f>_xlfn.XLOOKUP(Sheet1[[#This Row],[day_id]],calendar!A316,calendar!B316)</f>
        <v>40886</v>
      </c>
      <c r="F1046" t="str">
        <f>_xlfn.XLOOKUP(Sheet1[[#This Row],[day_id]],calendar!A316,calendar!C316)</f>
        <v>Friday</v>
      </c>
      <c r="G1046">
        <f>_xlfn.XLOOKUP(Sheet1[[#This Row],[day_id]],calendar!A316,calendar!E316)</f>
        <v>12</v>
      </c>
      <c r="H1046">
        <f>_xlfn.XLOOKUP(Sheet1[[#This Row],[day_id]],calendar!A316,calendar!F316)</f>
        <v>2011</v>
      </c>
      <c r="I1046" t="str">
        <f>_xlfn.XLOOKUP(Sheet1[[#This Row],[day_id]],calendar!A316,calendar!J316)</f>
        <v>No Event</v>
      </c>
      <c r="J1046" t="str">
        <f>_xlfn.XLOOKUP(Sheet1[[#This Row],[day_id]],calendar!A316,calendar!K316)</f>
        <v>No Event Type</v>
      </c>
      <c r="K1046">
        <f>_xlfn.XLOOKUP(calendar!A316,calendar!A316,calendar!I316)</f>
        <v>1</v>
      </c>
    </row>
    <row r="1047" spans="1:11" x14ac:dyDescent="0.2">
      <c r="A1047" t="s">
        <v>371</v>
      </c>
      <c r="B1047" t="s">
        <v>369</v>
      </c>
      <c r="C1047" t="s">
        <v>317</v>
      </c>
      <c r="D1047">
        <v>15</v>
      </c>
      <c r="E1047" s="1">
        <f>_xlfn.XLOOKUP(Sheet1[[#This Row],[day_id]],calendar!A317,calendar!B317)</f>
        <v>40887</v>
      </c>
      <c r="F1047" t="str">
        <f>_xlfn.XLOOKUP(Sheet1[[#This Row],[day_id]],calendar!A317,calendar!C317)</f>
        <v>Saturday</v>
      </c>
      <c r="G1047">
        <f>_xlfn.XLOOKUP(Sheet1[[#This Row],[day_id]],calendar!A317,calendar!E317)</f>
        <v>12</v>
      </c>
      <c r="H1047">
        <f>_xlfn.XLOOKUP(Sheet1[[#This Row],[day_id]],calendar!A317,calendar!F317)</f>
        <v>2011</v>
      </c>
      <c r="I1047" t="str">
        <f>_xlfn.XLOOKUP(Sheet1[[#This Row],[day_id]],calendar!A317,calendar!J317)</f>
        <v>No Event</v>
      </c>
      <c r="J1047" t="str">
        <f>_xlfn.XLOOKUP(Sheet1[[#This Row],[day_id]],calendar!A317,calendar!K317)</f>
        <v>No Event Type</v>
      </c>
      <c r="K1047">
        <f>_xlfn.XLOOKUP(calendar!A317,calendar!A317,calendar!I317)</f>
        <v>1</v>
      </c>
    </row>
    <row r="1048" spans="1:11" x14ac:dyDescent="0.2">
      <c r="A1048" t="s">
        <v>371</v>
      </c>
      <c r="B1048" t="s">
        <v>369</v>
      </c>
      <c r="C1048" t="s">
        <v>318</v>
      </c>
      <c r="D1048">
        <v>5</v>
      </c>
      <c r="E1048" s="1">
        <f>_xlfn.XLOOKUP(Sheet1[[#This Row],[day_id]],calendar!A318,calendar!B318)</f>
        <v>40888</v>
      </c>
      <c r="F1048" t="str">
        <f>_xlfn.XLOOKUP(Sheet1[[#This Row],[day_id]],calendar!A318,calendar!C318)</f>
        <v>Sunday</v>
      </c>
      <c r="G1048">
        <f>_xlfn.XLOOKUP(Sheet1[[#This Row],[day_id]],calendar!A318,calendar!E318)</f>
        <v>12</v>
      </c>
      <c r="H1048">
        <f>_xlfn.XLOOKUP(Sheet1[[#This Row],[day_id]],calendar!A318,calendar!F318)</f>
        <v>2011</v>
      </c>
      <c r="I1048" t="str">
        <f>_xlfn.XLOOKUP(Sheet1[[#This Row],[day_id]],calendar!A318,calendar!J318)</f>
        <v>No Event</v>
      </c>
      <c r="J1048" t="str">
        <f>_xlfn.XLOOKUP(Sheet1[[#This Row],[day_id]],calendar!A318,calendar!K318)</f>
        <v>No Event Type</v>
      </c>
      <c r="K1048">
        <f>_xlfn.XLOOKUP(calendar!A318,calendar!A318,calendar!I318)</f>
        <v>0</v>
      </c>
    </row>
    <row r="1049" spans="1:11" x14ac:dyDescent="0.2">
      <c r="A1049" t="s">
        <v>371</v>
      </c>
      <c r="B1049" t="s">
        <v>369</v>
      </c>
      <c r="C1049" t="s">
        <v>319</v>
      </c>
      <c r="D1049">
        <v>33</v>
      </c>
      <c r="E1049" s="1">
        <f>_xlfn.XLOOKUP(Sheet1[[#This Row],[day_id]],calendar!A319,calendar!B319)</f>
        <v>40889</v>
      </c>
      <c r="F1049" t="str">
        <f>_xlfn.XLOOKUP(Sheet1[[#This Row],[day_id]],calendar!A319,calendar!C319)</f>
        <v>Monday</v>
      </c>
      <c r="G1049">
        <f>_xlfn.XLOOKUP(Sheet1[[#This Row],[day_id]],calendar!A319,calendar!E319)</f>
        <v>12</v>
      </c>
      <c r="H1049">
        <f>_xlfn.XLOOKUP(Sheet1[[#This Row],[day_id]],calendar!A319,calendar!F319)</f>
        <v>2011</v>
      </c>
      <c r="I1049" t="str">
        <f>_xlfn.XLOOKUP(Sheet1[[#This Row],[day_id]],calendar!A319,calendar!J319)</f>
        <v>No Event</v>
      </c>
      <c r="J1049" t="str">
        <f>_xlfn.XLOOKUP(Sheet1[[#This Row],[day_id]],calendar!A319,calendar!K319)</f>
        <v>No Event Type</v>
      </c>
      <c r="K1049">
        <f>_xlfn.XLOOKUP(calendar!A319,calendar!A319,calendar!I319)</f>
        <v>0</v>
      </c>
    </row>
    <row r="1050" spans="1:11" x14ac:dyDescent="0.2">
      <c r="A1050" t="s">
        <v>371</v>
      </c>
      <c r="B1050" t="s">
        <v>369</v>
      </c>
      <c r="C1050" t="s">
        <v>320</v>
      </c>
      <c r="D1050">
        <v>10</v>
      </c>
      <c r="E1050" s="1">
        <f>_xlfn.XLOOKUP(Sheet1[[#This Row],[day_id]],calendar!A320,calendar!B320)</f>
        <v>40890</v>
      </c>
      <c r="F1050" t="str">
        <f>_xlfn.XLOOKUP(Sheet1[[#This Row],[day_id]],calendar!A320,calendar!C320)</f>
        <v>Tuesday</v>
      </c>
      <c r="G1050">
        <f>_xlfn.XLOOKUP(Sheet1[[#This Row],[day_id]],calendar!A320,calendar!E320)</f>
        <v>12</v>
      </c>
      <c r="H1050">
        <f>_xlfn.XLOOKUP(Sheet1[[#This Row],[day_id]],calendar!A320,calendar!F320)</f>
        <v>2011</v>
      </c>
      <c r="I1050" t="str">
        <f>_xlfn.XLOOKUP(Sheet1[[#This Row],[day_id]],calendar!A320,calendar!J320)</f>
        <v>No Event</v>
      </c>
      <c r="J1050" t="str">
        <f>_xlfn.XLOOKUP(Sheet1[[#This Row],[day_id]],calendar!A320,calendar!K320)</f>
        <v>No Event Type</v>
      </c>
      <c r="K1050">
        <f>_xlfn.XLOOKUP(calendar!A320,calendar!A320,calendar!I320)</f>
        <v>0</v>
      </c>
    </row>
    <row r="1051" spans="1:11" x14ac:dyDescent="0.2">
      <c r="A1051" t="s">
        <v>371</v>
      </c>
      <c r="B1051" t="s">
        <v>369</v>
      </c>
      <c r="C1051" t="s">
        <v>321</v>
      </c>
      <c r="D1051">
        <v>15</v>
      </c>
      <c r="E1051" s="1">
        <f>_xlfn.XLOOKUP(Sheet1[[#This Row],[day_id]],calendar!A321,calendar!B321)</f>
        <v>40891</v>
      </c>
      <c r="F1051" t="str">
        <f>_xlfn.XLOOKUP(Sheet1[[#This Row],[day_id]],calendar!A321,calendar!C321)</f>
        <v>Wednesday</v>
      </c>
      <c r="G1051">
        <f>_xlfn.XLOOKUP(Sheet1[[#This Row],[day_id]],calendar!A321,calendar!E321)</f>
        <v>12</v>
      </c>
      <c r="H1051">
        <f>_xlfn.XLOOKUP(Sheet1[[#This Row],[day_id]],calendar!A321,calendar!F321)</f>
        <v>2011</v>
      </c>
      <c r="I1051" t="str">
        <f>_xlfn.XLOOKUP(Sheet1[[#This Row],[day_id]],calendar!A321,calendar!J321)</f>
        <v>No Event</v>
      </c>
      <c r="J1051" t="str">
        <f>_xlfn.XLOOKUP(Sheet1[[#This Row],[day_id]],calendar!A321,calendar!K321)</f>
        <v>No Event Type</v>
      </c>
      <c r="K1051">
        <f>_xlfn.XLOOKUP(calendar!A321,calendar!A321,calendar!I321)</f>
        <v>0</v>
      </c>
    </row>
    <row r="1052" spans="1:11" x14ac:dyDescent="0.2">
      <c r="A1052" t="s">
        <v>371</v>
      </c>
      <c r="B1052" t="s">
        <v>369</v>
      </c>
      <c r="C1052" t="s">
        <v>322</v>
      </c>
      <c r="D1052">
        <v>6</v>
      </c>
      <c r="E1052" s="1">
        <f>_xlfn.XLOOKUP(Sheet1[[#This Row],[day_id]],calendar!A322,calendar!B322)</f>
        <v>40892</v>
      </c>
      <c r="F1052" t="str">
        <f>_xlfn.XLOOKUP(Sheet1[[#This Row],[day_id]],calendar!A322,calendar!C322)</f>
        <v>Thursday</v>
      </c>
      <c r="G1052">
        <f>_xlfn.XLOOKUP(Sheet1[[#This Row],[day_id]],calendar!A322,calendar!E322)</f>
        <v>12</v>
      </c>
      <c r="H1052">
        <f>_xlfn.XLOOKUP(Sheet1[[#This Row],[day_id]],calendar!A322,calendar!F322)</f>
        <v>2011</v>
      </c>
      <c r="I1052" t="str">
        <f>_xlfn.XLOOKUP(Sheet1[[#This Row],[day_id]],calendar!A322,calendar!J322)</f>
        <v>No Event</v>
      </c>
      <c r="J1052" t="str">
        <f>_xlfn.XLOOKUP(Sheet1[[#This Row],[day_id]],calendar!A322,calendar!K322)</f>
        <v>No Event Type</v>
      </c>
      <c r="K1052">
        <f>_xlfn.XLOOKUP(calendar!A322,calendar!A322,calendar!I322)</f>
        <v>0</v>
      </c>
    </row>
    <row r="1053" spans="1:11" x14ac:dyDescent="0.2">
      <c r="A1053" t="s">
        <v>371</v>
      </c>
      <c r="B1053" t="s">
        <v>369</v>
      </c>
      <c r="C1053" t="s">
        <v>323</v>
      </c>
      <c r="D1053">
        <v>8</v>
      </c>
      <c r="E1053" s="1">
        <f>_xlfn.XLOOKUP(Sheet1[[#This Row],[day_id]],calendar!A323,calendar!B323)</f>
        <v>40893</v>
      </c>
      <c r="F1053" t="str">
        <f>_xlfn.XLOOKUP(Sheet1[[#This Row],[day_id]],calendar!A323,calendar!C323)</f>
        <v>Friday</v>
      </c>
      <c r="G1053">
        <f>_xlfn.XLOOKUP(Sheet1[[#This Row],[day_id]],calendar!A323,calendar!E323)</f>
        <v>12</v>
      </c>
      <c r="H1053">
        <f>_xlfn.XLOOKUP(Sheet1[[#This Row],[day_id]],calendar!A323,calendar!F323)</f>
        <v>2011</v>
      </c>
      <c r="I1053" t="str">
        <f>_xlfn.XLOOKUP(Sheet1[[#This Row],[day_id]],calendar!A323,calendar!J323)</f>
        <v>No Event</v>
      </c>
      <c r="J1053" t="str">
        <f>_xlfn.XLOOKUP(Sheet1[[#This Row],[day_id]],calendar!A323,calendar!K323)</f>
        <v>No Event Type</v>
      </c>
      <c r="K1053">
        <f>_xlfn.XLOOKUP(calendar!A323,calendar!A323,calendar!I323)</f>
        <v>0</v>
      </c>
    </row>
    <row r="1054" spans="1:11" x14ac:dyDescent="0.2">
      <c r="A1054" t="s">
        <v>371</v>
      </c>
      <c r="B1054" t="s">
        <v>369</v>
      </c>
      <c r="C1054" t="s">
        <v>324</v>
      </c>
      <c r="D1054">
        <v>12</v>
      </c>
      <c r="E1054" s="1">
        <f>_xlfn.XLOOKUP(Sheet1[[#This Row],[day_id]],calendar!A324,calendar!B324)</f>
        <v>40894</v>
      </c>
      <c r="F1054" t="str">
        <f>_xlfn.XLOOKUP(Sheet1[[#This Row],[day_id]],calendar!A324,calendar!C324)</f>
        <v>Saturday</v>
      </c>
      <c r="G1054">
        <f>_xlfn.XLOOKUP(Sheet1[[#This Row],[day_id]],calendar!A324,calendar!E324)</f>
        <v>12</v>
      </c>
      <c r="H1054">
        <f>_xlfn.XLOOKUP(Sheet1[[#This Row],[day_id]],calendar!A324,calendar!F324)</f>
        <v>2011</v>
      </c>
      <c r="I1054" t="str">
        <f>_xlfn.XLOOKUP(Sheet1[[#This Row],[day_id]],calendar!A324,calendar!J324)</f>
        <v>No Event</v>
      </c>
      <c r="J1054" t="str">
        <f>_xlfn.XLOOKUP(Sheet1[[#This Row],[day_id]],calendar!A324,calendar!K324)</f>
        <v>No Event Type</v>
      </c>
      <c r="K1054">
        <f>_xlfn.XLOOKUP(calendar!A324,calendar!A324,calendar!I324)</f>
        <v>0</v>
      </c>
    </row>
    <row r="1055" spans="1:11" x14ac:dyDescent="0.2">
      <c r="A1055" t="s">
        <v>371</v>
      </c>
      <c r="B1055" t="s">
        <v>369</v>
      </c>
      <c r="C1055" t="s">
        <v>325</v>
      </c>
      <c r="D1055">
        <v>18</v>
      </c>
      <c r="E1055" s="1">
        <f>_xlfn.XLOOKUP(Sheet1[[#This Row],[day_id]],calendar!A325,calendar!B325)</f>
        <v>40895</v>
      </c>
      <c r="F1055" t="str">
        <f>_xlfn.XLOOKUP(Sheet1[[#This Row],[day_id]],calendar!A325,calendar!C325)</f>
        <v>Sunday</v>
      </c>
      <c r="G1055">
        <f>_xlfn.XLOOKUP(Sheet1[[#This Row],[day_id]],calendar!A325,calendar!E325)</f>
        <v>12</v>
      </c>
      <c r="H1055">
        <f>_xlfn.XLOOKUP(Sheet1[[#This Row],[day_id]],calendar!A325,calendar!F325)</f>
        <v>2011</v>
      </c>
      <c r="I1055" t="str">
        <f>_xlfn.XLOOKUP(Sheet1[[#This Row],[day_id]],calendar!A325,calendar!J325)</f>
        <v>No Event</v>
      </c>
      <c r="J1055" t="str">
        <f>_xlfn.XLOOKUP(Sheet1[[#This Row],[day_id]],calendar!A325,calendar!K325)</f>
        <v>No Event Type</v>
      </c>
      <c r="K1055">
        <f>_xlfn.XLOOKUP(calendar!A325,calendar!A325,calendar!I325)</f>
        <v>0</v>
      </c>
    </row>
    <row r="1056" spans="1:11" x14ac:dyDescent="0.2">
      <c r="A1056" t="s">
        <v>371</v>
      </c>
      <c r="B1056" t="s">
        <v>369</v>
      </c>
      <c r="C1056" t="s">
        <v>326</v>
      </c>
      <c r="D1056">
        <v>6</v>
      </c>
      <c r="E1056" s="1">
        <f>_xlfn.XLOOKUP(Sheet1[[#This Row],[day_id]],calendar!A326,calendar!B326)</f>
        <v>40896</v>
      </c>
      <c r="F1056" t="str">
        <f>_xlfn.XLOOKUP(Sheet1[[#This Row],[day_id]],calendar!A326,calendar!C326)</f>
        <v>Monday</v>
      </c>
      <c r="G1056">
        <f>_xlfn.XLOOKUP(Sheet1[[#This Row],[day_id]],calendar!A326,calendar!E326)</f>
        <v>12</v>
      </c>
      <c r="H1056">
        <f>_xlfn.XLOOKUP(Sheet1[[#This Row],[day_id]],calendar!A326,calendar!F326)</f>
        <v>2011</v>
      </c>
      <c r="I1056" t="str">
        <f>_xlfn.XLOOKUP(Sheet1[[#This Row],[day_id]],calendar!A326,calendar!J326)</f>
        <v>No Event</v>
      </c>
      <c r="J1056" t="str">
        <f>_xlfn.XLOOKUP(Sheet1[[#This Row],[day_id]],calendar!A326,calendar!K326)</f>
        <v>No Event Type</v>
      </c>
      <c r="K1056">
        <f>_xlfn.XLOOKUP(calendar!A326,calendar!A326,calendar!I326)</f>
        <v>0</v>
      </c>
    </row>
    <row r="1057" spans="1:11" x14ac:dyDescent="0.2">
      <c r="A1057" t="s">
        <v>371</v>
      </c>
      <c r="B1057" t="s">
        <v>369</v>
      </c>
      <c r="C1057" t="s">
        <v>327</v>
      </c>
      <c r="D1057">
        <v>5</v>
      </c>
      <c r="E1057" s="1">
        <f>_xlfn.XLOOKUP(Sheet1[[#This Row],[day_id]],calendar!A327,calendar!B327)</f>
        <v>40897</v>
      </c>
      <c r="F1057" t="str">
        <f>_xlfn.XLOOKUP(Sheet1[[#This Row],[day_id]],calendar!A327,calendar!C327)</f>
        <v>Tuesday</v>
      </c>
      <c r="G1057">
        <f>_xlfn.XLOOKUP(Sheet1[[#This Row],[day_id]],calendar!A327,calendar!E327)</f>
        <v>12</v>
      </c>
      <c r="H1057">
        <f>_xlfn.XLOOKUP(Sheet1[[#This Row],[day_id]],calendar!A327,calendar!F327)</f>
        <v>2011</v>
      </c>
      <c r="I1057" t="str">
        <f>_xlfn.XLOOKUP(Sheet1[[#This Row],[day_id]],calendar!A327,calendar!J327)</f>
        <v>No Event</v>
      </c>
      <c r="J1057" t="str">
        <f>_xlfn.XLOOKUP(Sheet1[[#This Row],[day_id]],calendar!A327,calendar!K327)</f>
        <v>No Event Type</v>
      </c>
      <c r="K1057">
        <f>_xlfn.XLOOKUP(calendar!A327,calendar!A327,calendar!I327)</f>
        <v>0</v>
      </c>
    </row>
    <row r="1058" spans="1:11" x14ac:dyDescent="0.2">
      <c r="A1058" t="s">
        <v>371</v>
      </c>
      <c r="B1058" t="s">
        <v>369</v>
      </c>
      <c r="C1058" t="s">
        <v>328</v>
      </c>
      <c r="D1058">
        <v>2</v>
      </c>
      <c r="E1058" s="1">
        <f>_xlfn.XLOOKUP(Sheet1[[#This Row],[day_id]],calendar!A328,calendar!B328)</f>
        <v>40898</v>
      </c>
      <c r="F1058" t="str">
        <f>_xlfn.XLOOKUP(Sheet1[[#This Row],[day_id]],calendar!A328,calendar!C328)</f>
        <v>Wednesday</v>
      </c>
      <c r="G1058">
        <f>_xlfn.XLOOKUP(Sheet1[[#This Row],[day_id]],calendar!A328,calendar!E328)</f>
        <v>12</v>
      </c>
      <c r="H1058">
        <f>_xlfn.XLOOKUP(Sheet1[[#This Row],[day_id]],calendar!A328,calendar!F328)</f>
        <v>2011</v>
      </c>
      <c r="I1058" t="str">
        <f>_xlfn.XLOOKUP(Sheet1[[#This Row],[day_id]],calendar!A328,calendar!J328)</f>
        <v>No Event</v>
      </c>
      <c r="J1058" t="str">
        <f>_xlfn.XLOOKUP(Sheet1[[#This Row],[day_id]],calendar!A328,calendar!K328)</f>
        <v>No Event Type</v>
      </c>
      <c r="K1058">
        <f>_xlfn.XLOOKUP(calendar!A328,calendar!A328,calendar!I328)</f>
        <v>0</v>
      </c>
    </row>
    <row r="1059" spans="1:11" x14ac:dyDescent="0.2">
      <c r="A1059" t="s">
        <v>371</v>
      </c>
      <c r="B1059" t="s">
        <v>369</v>
      </c>
      <c r="C1059" t="s">
        <v>329</v>
      </c>
      <c r="D1059">
        <v>8</v>
      </c>
      <c r="E1059" s="1">
        <f>_xlfn.XLOOKUP(Sheet1[[#This Row],[day_id]],calendar!A329,calendar!B329)</f>
        <v>40899</v>
      </c>
      <c r="F1059" t="str">
        <f>_xlfn.XLOOKUP(Sheet1[[#This Row],[day_id]],calendar!A329,calendar!C329)</f>
        <v>Thursday</v>
      </c>
      <c r="G1059">
        <f>_xlfn.XLOOKUP(Sheet1[[#This Row],[day_id]],calendar!A329,calendar!E329)</f>
        <v>12</v>
      </c>
      <c r="H1059">
        <f>_xlfn.XLOOKUP(Sheet1[[#This Row],[day_id]],calendar!A329,calendar!F329)</f>
        <v>2011</v>
      </c>
      <c r="I1059" t="str">
        <f>_xlfn.XLOOKUP(Sheet1[[#This Row],[day_id]],calendar!A329,calendar!J329)</f>
        <v>No Event</v>
      </c>
      <c r="J1059" t="str">
        <f>_xlfn.XLOOKUP(Sheet1[[#This Row],[day_id]],calendar!A329,calendar!K329)</f>
        <v>No Event Type</v>
      </c>
      <c r="K1059">
        <f>_xlfn.XLOOKUP(calendar!A329,calendar!A329,calendar!I329)</f>
        <v>0</v>
      </c>
    </row>
    <row r="1060" spans="1:11" x14ac:dyDescent="0.2">
      <c r="A1060" t="s">
        <v>371</v>
      </c>
      <c r="B1060" t="s">
        <v>369</v>
      </c>
      <c r="C1060" t="s">
        <v>330</v>
      </c>
      <c r="D1060">
        <v>8</v>
      </c>
      <c r="E1060" s="1">
        <f>_xlfn.XLOOKUP(Sheet1[[#This Row],[day_id]],calendar!A330,calendar!B330)</f>
        <v>40900</v>
      </c>
      <c r="F1060" t="str">
        <f>_xlfn.XLOOKUP(Sheet1[[#This Row],[day_id]],calendar!A330,calendar!C330)</f>
        <v>Friday</v>
      </c>
      <c r="G1060">
        <f>_xlfn.XLOOKUP(Sheet1[[#This Row],[day_id]],calendar!A330,calendar!E330)</f>
        <v>12</v>
      </c>
      <c r="H1060">
        <f>_xlfn.XLOOKUP(Sheet1[[#This Row],[day_id]],calendar!A330,calendar!F330)</f>
        <v>2011</v>
      </c>
      <c r="I1060" t="str">
        <f>_xlfn.XLOOKUP(Sheet1[[#This Row],[day_id]],calendar!A330,calendar!J330)</f>
        <v>No Event</v>
      </c>
      <c r="J1060" t="str">
        <f>_xlfn.XLOOKUP(Sheet1[[#This Row],[day_id]],calendar!A330,calendar!K330)</f>
        <v>No Event Type</v>
      </c>
      <c r="K1060">
        <f>_xlfn.XLOOKUP(calendar!A330,calendar!A330,calendar!I330)</f>
        <v>0</v>
      </c>
    </row>
    <row r="1061" spans="1:11" x14ac:dyDescent="0.2">
      <c r="A1061" t="s">
        <v>371</v>
      </c>
      <c r="B1061" t="s">
        <v>369</v>
      </c>
      <c r="C1061" t="s">
        <v>331</v>
      </c>
      <c r="D1061">
        <v>16</v>
      </c>
      <c r="E1061" s="1">
        <f>_xlfn.XLOOKUP(Sheet1[[#This Row],[day_id]],calendar!A331,calendar!B331)</f>
        <v>40901</v>
      </c>
      <c r="F1061" t="str">
        <f>_xlfn.XLOOKUP(Sheet1[[#This Row],[day_id]],calendar!A331,calendar!C331)</f>
        <v>Saturday</v>
      </c>
      <c r="G1061">
        <f>_xlfn.XLOOKUP(Sheet1[[#This Row],[day_id]],calendar!A331,calendar!E331)</f>
        <v>12</v>
      </c>
      <c r="H1061">
        <f>_xlfn.XLOOKUP(Sheet1[[#This Row],[day_id]],calendar!A331,calendar!F331)</f>
        <v>2011</v>
      </c>
      <c r="I1061" t="str">
        <f>_xlfn.XLOOKUP(Sheet1[[#This Row],[day_id]],calendar!A331,calendar!J331)</f>
        <v>No Event</v>
      </c>
      <c r="J1061" t="str">
        <f>_xlfn.XLOOKUP(Sheet1[[#This Row],[day_id]],calendar!A331,calendar!K331)</f>
        <v>No Event Type</v>
      </c>
      <c r="K1061">
        <f>_xlfn.XLOOKUP(calendar!A331,calendar!A331,calendar!I331)</f>
        <v>0</v>
      </c>
    </row>
    <row r="1062" spans="1:11" x14ac:dyDescent="0.2">
      <c r="A1062" t="s">
        <v>371</v>
      </c>
      <c r="B1062" t="s">
        <v>369</v>
      </c>
      <c r="C1062" t="s">
        <v>332</v>
      </c>
      <c r="D1062">
        <v>0</v>
      </c>
      <c r="E1062" s="1">
        <f>_xlfn.XLOOKUP(Sheet1[[#This Row],[day_id]],calendar!A332,calendar!B332)</f>
        <v>40902</v>
      </c>
      <c r="F1062" t="str">
        <f>_xlfn.XLOOKUP(Sheet1[[#This Row],[day_id]],calendar!A332,calendar!C332)</f>
        <v>Sunday</v>
      </c>
      <c r="G1062">
        <f>_xlfn.XLOOKUP(Sheet1[[#This Row],[day_id]],calendar!A332,calendar!E332)</f>
        <v>12</v>
      </c>
      <c r="H1062">
        <f>_xlfn.XLOOKUP(Sheet1[[#This Row],[day_id]],calendar!A332,calendar!F332)</f>
        <v>2011</v>
      </c>
      <c r="I1062" t="str">
        <f>_xlfn.XLOOKUP(Sheet1[[#This Row],[day_id]],calendar!A332,calendar!J332)</f>
        <v>Christmas</v>
      </c>
      <c r="J1062" t="str">
        <f>_xlfn.XLOOKUP(Sheet1[[#This Row],[day_id]],calendar!A332,calendar!K332)</f>
        <v>National</v>
      </c>
      <c r="K1062">
        <f>_xlfn.XLOOKUP(calendar!A332,calendar!A332,calendar!I332)</f>
        <v>0</v>
      </c>
    </row>
    <row r="1063" spans="1:11" x14ac:dyDescent="0.2">
      <c r="A1063" t="s">
        <v>371</v>
      </c>
      <c r="B1063" t="s">
        <v>369</v>
      </c>
      <c r="C1063" t="s">
        <v>333</v>
      </c>
      <c r="D1063">
        <v>12</v>
      </c>
      <c r="E1063" s="1">
        <f>_xlfn.XLOOKUP(Sheet1[[#This Row],[day_id]],calendar!A333,calendar!B333)</f>
        <v>40903</v>
      </c>
      <c r="F1063" t="str">
        <f>_xlfn.XLOOKUP(Sheet1[[#This Row],[day_id]],calendar!A333,calendar!C333)</f>
        <v>Monday</v>
      </c>
      <c r="G1063">
        <f>_xlfn.XLOOKUP(Sheet1[[#This Row],[day_id]],calendar!A333,calendar!E333)</f>
        <v>12</v>
      </c>
      <c r="H1063">
        <f>_xlfn.XLOOKUP(Sheet1[[#This Row],[day_id]],calendar!A333,calendar!F333)</f>
        <v>2011</v>
      </c>
      <c r="I1063" t="str">
        <f>_xlfn.XLOOKUP(Sheet1[[#This Row],[day_id]],calendar!A333,calendar!J333)</f>
        <v>No Event</v>
      </c>
      <c r="J1063" t="str">
        <f>_xlfn.XLOOKUP(Sheet1[[#This Row],[day_id]],calendar!A333,calendar!K333)</f>
        <v>No Event Type</v>
      </c>
      <c r="K1063">
        <f>_xlfn.XLOOKUP(calendar!A333,calendar!A333,calendar!I333)</f>
        <v>0</v>
      </c>
    </row>
    <row r="1064" spans="1:11" x14ac:dyDescent="0.2">
      <c r="A1064" t="s">
        <v>371</v>
      </c>
      <c r="B1064" t="s">
        <v>369</v>
      </c>
      <c r="C1064" t="s">
        <v>334</v>
      </c>
      <c r="D1064">
        <v>21</v>
      </c>
      <c r="E1064" s="1">
        <f>_xlfn.XLOOKUP(Sheet1[[#This Row],[day_id]],calendar!A334,calendar!B334)</f>
        <v>40904</v>
      </c>
      <c r="F1064" t="str">
        <f>_xlfn.XLOOKUP(Sheet1[[#This Row],[day_id]],calendar!A334,calendar!C334)</f>
        <v>Tuesday</v>
      </c>
      <c r="G1064">
        <f>_xlfn.XLOOKUP(Sheet1[[#This Row],[day_id]],calendar!A334,calendar!E334)</f>
        <v>12</v>
      </c>
      <c r="H1064">
        <f>_xlfn.XLOOKUP(Sheet1[[#This Row],[day_id]],calendar!A334,calendar!F334)</f>
        <v>2011</v>
      </c>
      <c r="I1064" t="str">
        <f>_xlfn.XLOOKUP(Sheet1[[#This Row],[day_id]],calendar!A334,calendar!J334)</f>
        <v>No Event</v>
      </c>
      <c r="J1064" t="str">
        <f>_xlfn.XLOOKUP(Sheet1[[#This Row],[day_id]],calendar!A334,calendar!K334)</f>
        <v>No Event Type</v>
      </c>
      <c r="K1064">
        <f>_xlfn.XLOOKUP(calendar!A334,calendar!A334,calendar!I334)</f>
        <v>0</v>
      </c>
    </row>
    <row r="1065" spans="1:11" x14ac:dyDescent="0.2">
      <c r="A1065" t="s">
        <v>371</v>
      </c>
      <c r="B1065" t="s">
        <v>369</v>
      </c>
      <c r="C1065" t="s">
        <v>335</v>
      </c>
      <c r="D1065">
        <v>23</v>
      </c>
      <c r="E1065" s="1">
        <f>_xlfn.XLOOKUP(Sheet1[[#This Row],[day_id]],calendar!A335,calendar!B335)</f>
        <v>40905</v>
      </c>
      <c r="F1065" t="str">
        <f>_xlfn.XLOOKUP(Sheet1[[#This Row],[day_id]],calendar!A335,calendar!C335)</f>
        <v>Wednesday</v>
      </c>
      <c r="G1065">
        <f>_xlfn.XLOOKUP(Sheet1[[#This Row],[day_id]],calendar!A335,calendar!E335)</f>
        <v>12</v>
      </c>
      <c r="H1065">
        <f>_xlfn.XLOOKUP(Sheet1[[#This Row],[day_id]],calendar!A335,calendar!F335)</f>
        <v>2011</v>
      </c>
      <c r="I1065" t="str">
        <f>_xlfn.XLOOKUP(Sheet1[[#This Row],[day_id]],calendar!A335,calendar!J335)</f>
        <v>Chanukah End</v>
      </c>
      <c r="J1065" t="str">
        <f>_xlfn.XLOOKUP(Sheet1[[#This Row],[day_id]],calendar!A335,calendar!K335)</f>
        <v>Religious</v>
      </c>
      <c r="K1065">
        <f>_xlfn.XLOOKUP(calendar!A335,calendar!A335,calendar!I335)</f>
        <v>0</v>
      </c>
    </row>
    <row r="1066" spans="1:11" x14ac:dyDescent="0.2">
      <c r="A1066" t="s">
        <v>371</v>
      </c>
      <c r="B1066" t="s">
        <v>369</v>
      </c>
      <c r="C1066" t="s">
        <v>336</v>
      </c>
      <c r="D1066">
        <v>3</v>
      </c>
      <c r="E1066" s="1">
        <f>_xlfn.XLOOKUP(Sheet1[[#This Row],[day_id]],calendar!A336,calendar!B336)</f>
        <v>40906</v>
      </c>
      <c r="F1066" t="str">
        <f>_xlfn.XLOOKUP(Sheet1[[#This Row],[day_id]],calendar!A336,calendar!C336)</f>
        <v>Thursday</v>
      </c>
      <c r="G1066">
        <f>_xlfn.XLOOKUP(Sheet1[[#This Row],[day_id]],calendar!A336,calendar!E336)</f>
        <v>12</v>
      </c>
      <c r="H1066">
        <f>_xlfn.XLOOKUP(Sheet1[[#This Row],[day_id]],calendar!A336,calendar!F336)</f>
        <v>2011</v>
      </c>
      <c r="I1066" t="str">
        <f>_xlfn.XLOOKUP(Sheet1[[#This Row],[day_id]],calendar!A336,calendar!J336)</f>
        <v>No Event</v>
      </c>
      <c r="J1066" t="str">
        <f>_xlfn.XLOOKUP(Sheet1[[#This Row],[day_id]],calendar!A336,calendar!K336)</f>
        <v>No Event Type</v>
      </c>
      <c r="K1066">
        <f>_xlfn.XLOOKUP(calendar!A336,calendar!A336,calendar!I336)</f>
        <v>0</v>
      </c>
    </row>
    <row r="1067" spans="1:11" x14ac:dyDescent="0.2">
      <c r="A1067" t="s">
        <v>371</v>
      </c>
      <c r="B1067" t="s">
        <v>369</v>
      </c>
      <c r="C1067" t="s">
        <v>337</v>
      </c>
      <c r="D1067">
        <v>13</v>
      </c>
      <c r="E1067" s="1">
        <f>_xlfn.XLOOKUP(Sheet1[[#This Row],[day_id]],calendar!A337,calendar!B337)</f>
        <v>40907</v>
      </c>
      <c r="F1067" t="str">
        <f>_xlfn.XLOOKUP(Sheet1[[#This Row],[day_id]],calendar!A337,calendar!C337)</f>
        <v>Friday</v>
      </c>
      <c r="G1067">
        <f>_xlfn.XLOOKUP(Sheet1[[#This Row],[day_id]],calendar!A337,calendar!E337)</f>
        <v>12</v>
      </c>
      <c r="H1067">
        <f>_xlfn.XLOOKUP(Sheet1[[#This Row],[day_id]],calendar!A337,calendar!F337)</f>
        <v>2011</v>
      </c>
      <c r="I1067" t="str">
        <f>_xlfn.XLOOKUP(Sheet1[[#This Row],[day_id]],calendar!A337,calendar!J337)</f>
        <v>No Event</v>
      </c>
      <c r="J1067" t="str">
        <f>_xlfn.XLOOKUP(Sheet1[[#This Row],[day_id]],calendar!A337,calendar!K337)</f>
        <v>No Event Type</v>
      </c>
      <c r="K1067">
        <f>_xlfn.XLOOKUP(calendar!A337,calendar!A337,calendar!I337)</f>
        <v>0</v>
      </c>
    </row>
    <row r="1068" spans="1:11" x14ac:dyDescent="0.2">
      <c r="A1068" t="s">
        <v>371</v>
      </c>
      <c r="B1068" t="s">
        <v>369</v>
      </c>
      <c r="C1068" t="s">
        <v>338</v>
      </c>
      <c r="D1068">
        <v>14</v>
      </c>
      <c r="E1068" s="1">
        <f>_xlfn.XLOOKUP(Sheet1[[#This Row],[day_id]],calendar!A338,calendar!B338)</f>
        <v>40908</v>
      </c>
      <c r="F1068" t="str">
        <f>_xlfn.XLOOKUP(Sheet1[[#This Row],[day_id]],calendar!A338,calendar!C338)</f>
        <v>Saturday</v>
      </c>
      <c r="G1068">
        <f>_xlfn.XLOOKUP(Sheet1[[#This Row],[day_id]],calendar!A338,calendar!E338)</f>
        <v>12</v>
      </c>
      <c r="H1068">
        <f>_xlfn.XLOOKUP(Sheet1[[#This Row],[day_id]],calendar!A338,calendar!F338)</f>
        <v>2011</v>
      </c>
      <c r="I1068" t="str">
        <f>_xlfn.XLOOKUP(Sheet1[[#This Row],[day_id]],calendar!A338,calendar!J338)</f>
        <v>No Event</v>
      </c>
      <c r="J1068" t="str">
        <f>_xlfn.XLOOKUP(Sheet1[[#This Row],[day_id]],calendar!A338,calendar!K338)</f>
        <v>No Event Type</v>
      </c>
      <c r="K1068">
        <f>_xlfn.XLOOKUP(calendar!A338,calendar!A338,calendar!I338)</f>
        <v>0</v>
      </c>
    </row>
    <row r="1069" spans="1:11" x14ac:dyDescent="0.2">
      <c r="A1069" t="s">
        <v>371</v>
      </c>
      <c r="B1069" t="s">
        <v>369</v>
      </c>
      <c r="C1069" t="s">
        <v>339</v>
      </c>
      <c r="D1069">
        <v>9</v>
      </c>
      <c r="E1069" s="1">
        <f>_xlfn.XLOOKUP(Sheet1[[#This Row],[day_id]],calendar!A339,calendar!B339)</f>
        <v>40909</v>
      </c>
      <c r="F1069" t="str">
        <f>_xlfn.XLOOKUP(Sheet1[[#This Row],[day_id]],calendar!A339,calendar!C339)</f>
        <v>Sunday</v>
      </c>
      <c r="G1069">
        <f>_xlfn.XLOOKUP(Sheet1[[#This Row],[day_id]],calendar!A339,calendar!E339)</f>
        <v>1</v>
      </c>
      <c r="H1069">
        <f>_xlfn.XLOOKUP(Sheet1[[#This Row],[day_id]],calendar!A339,calendar!F339)</f>
        <v>2012</v>
      </c>
      <c r="I1069" t="str">
        <f>_xlfn.XLOOKUP(Sheet1[[#This Row],[day_id]],calendar!A339,calendar!J339)</f>
        <v>NewYear</v>
      </c>
      <c r="J1069" t="str">
        <f>_xlfn.XLOOKUP(Sheet1[[#This Row],[day_id]],calendar!A339,calendar!K339)</f>
        <v>National</v>
      </c>
      <c r="K1069">
        <f>_xlfn.XLOOKUP(calendar!A339,calendar!A339,calendar!I339)</f>
        <v>1</v>
      </c>
    </row>
    <row r="1070" spans="1:11" x14ac:dyDescent="0.2">
      <c r="A1070" t="s">
        <v>371</v>
      </c>
      <c r="B1070" t="s">
        <v>369</v>
      </c>
      <c r="C1070" t="s">
        <v>340</v>
      </c>
      <c r="D1070">
        <v>13</v>
      </c>
      <c r="E1070" s="1">
        <f>_xlfn.XLOOKUP(Sheet1[[#This Row],[day_id]],calendar!A340,calendar!B340)</f>
        <v>40910</v>
      </c>
      <c r="F1070" t="str">
        <f>_xlfn.XLOOKUP(Sheet1[[#This Row],[day_id]],calendar!A340,calendar!C340)</f>
        <v>Monday</v>
      </c>
      <c r="G1070">
        <f>_xlfn.XLOOKUP(Sheet1[[#This Row],[day_id]],calendar!A340,calendar!E340)</f>
        <v>1</v>
      </c>
      <c r="H1070">
        <f>_xlfn.XLOOKUP(Sheet1[[#This Row],[day_id]],calendar!A340,calendar!F340)</f>
        <v>2012</v>
      </c>
      <c r="I1070" t="str">
        <f>_xlfn.XLOOKUP(Sheet1[[#This Row],[day_id]],calendar!A340,calendar!J340)</f>
        <v>No Event</v>
      </c>
      <c r="J1070" t="str">
        <f>_xlfn.XLOOKUP(Sheet1[[#This Row],[day_id]],calendar!A340,calendar!K340)</f>
        <v>No Event Type</v>
      </c>
      <c r="K1070">
        <f>_xlfn.XLOOKUP(calendar!A340,calendar!A340,calendar!I340)</f>
        <v>1</v>
      </c>
    </row>
    <row r="1071" spans="1:11" x14ac:dyDescent="0.2">
      <c r="A1071" t="s">
        <v>371</v>
      </c>
      <c r="B1071" t="s">
        <v>369</v>
      </c>
      <c r="C1071" t="s">
        <v>341</v>
      </c>
      <c r="D1071">
        <v>16</v>
      </c>
      <c r="E1071" s="1">
        <f>_xlfn.XLOOKUP(Sheet1[[#This Row],[day_id]],calendar!A341,calendar!B341)</f>
        <v>40911</v>
      </c>
      <c r="F1071" t="str">
        <f>_xlfn.XLOOKUP(Sheet1[[#This Row],[day_id]],calendar!A341,calendar!C341)</f>
        <v>Tuesday</v>
      </c>
      <c r="G1071">
        <f>_xlfn.XLOOKUP(Sheet1[[#This Row],[day_id]],calendar!A341,calendar!E341)</f>
        <v>1</v>
      </c>
      <c r="H1071">
        <f>_xlfn.XLOOKUP(Sheet1[[#This Row],[day_id]],calendar!A341,calendar!F341)</f>
        <v>2012</v>
      </c>
      <c r="I1071" t="str">
        <f>_xlfn.XLOOKUP(Sheet1[[#This Row],[day_id]],calendar!A341,calendar!J341)</f>
        <v>No Event</v>
      </c>
      <c r="J1071" t="str">
        <f>_xlfn.XLOOKUP(Sheet1[[#This Row],[day_id]],calendar!A341,calendar!K341)</f>
        <v>No Event Type</v>
      </c>
      <c r="K1071">
        <f>_xlfn.XLOOKUP(calendar!A341,calendar!A341,calendar!I341)</f>
        <v>1</v>
      </c>
    </row>
    <row r="1072" spans="1:11" x14ac:dyDescent="0.2">
      <c r="A1072" t="s">
        <v>371</v>
      </c>
      <c r="B1072" t="s">
        <v>369</v>
      </c>
      <c r="C1072" t="s">
        <v>342</v>
      </c>
      <c r="D1072">
        <v>8</v>
      </c>
      <c r="E1072" s="1">
        <f>_xlfn.XLOOKUP(Sheet1[[#This Row],[day_id]],calendar!A342,calendar!B342)</f>
        <v>40912</v>
      </c>
      <c r="F1072" t="str">
        <f>_xlfn.XLOOKUP(Sheet1[[#This Row],[day_id]],calendar!A342,calendar!C342)</f>
        <v>Wednesday</v>
      </c>
      <c r="G1072">
        <f>_xlfn.XLOOKUP(Sheet1[[#This Row],[day_id]],calendar!A342,calendar!E342)</f>
        <v>1</v>
      </c>
      <c r="H1072">
        <f>_xlfn.XLOOKUP(Sheet1[[#This Row],[day_id]],calendar!A342,calendar!F342)</f>
        <v>2012</v>
      </c>
      <c r="I1072" t="str">
        <f>_xlfn.XLOOKUP(Sheet1[[#This Row],[day_id]],calendar!A342,calendar!J342)</f>
        <v>No Event</v>
      </c>
      <c r="J1072" t="str">
        <f>_xlfn.XLOOKUP(Sheet1[[#This Row],[day_id]],calendar!A342,calendar!K342)</f>
        <v>No Event Type</v>
      </c>
      <c r="K1072">
        <f>_xlfn.XLOOKUP(calendar!A342,calendar!A342,calendar!I342)</f>
        <v>1</v>
      </c>
    </row>
    <row r="1073" spans="1:11" x14ac:dyDescent="0.2">
      <c r="A1073" t="s">
        <v>371</v>
      </c>
      <c r="B1073" t="s">
        <v>369</v>
      </c>
      <c r="C1073" t="s">
        <v>343</v>
      </c>
      <c r="D1073">
        <v>4</v>
      </c>
      <c r="E1073" s="1">
        <f>_xlfn.XLOOKUP(Sheet1[[#This Row],[day_id]],calendar!A343,calendar!B343)</f>
        <v>40913</v>
      </c>
      <c r="F1073" t="str">
        <f>_xlfn.XLOOKUP(Sheet1[[#This Row],[day_id]],calendar!A343,calendar!C343)</f>
        <v>Thursday</v>
      </c>
      <c r="G1073">
        <f>_xlfn.XLOOKUP(Sheet1[[#This Row],[day_id]],calendar!A343,calendar!E343)</f>
        <v>1</v>
      </c>
      <c r="H1073">
        <f>_xlfn.XLOOKUP(Sheet1[[#This Row],[day_id]],calendar!A343,calendar!F343)</f>
        <v>2012</v>
      </c>
      <c r="I1073" t="str">
        <f>_xlfn.XLOOKUP(Sheet1[[#This Row],[day_id]],calendar!A343,calendar!J343)</f>
        <v>No Event</v>
      </c>
      <c r="J1073" t="str">
        <f>_xlfn.XLOOKUP(Sheet1[[#This Row],[day_id]],calendar!A343,calendar!K343)</f>
        <v>No Event Type</v>
      </c>
      <c r="K1073">
        <f>_xlfn.XLOOKUP(calendar!A343,calendar!A343,calendar!I343)</f>
        <v>1</v>
      </c>
    </row>
    <row r="1074" spans="1:11" x14ac:dyDescent="0.2">
      <c r="A1074" t="s">
        <v>371</v>
      </c>
      <c r="B1074" t="s">
        <v>369</v>
      </c>
      <c r="C1074" t="s">
        <v>344</v>
      </c>
      <c r="D1074">
        <v>13</v>
      </c>
      <c r="E1074" s="1">
        <f>_xlfn.XLOOKUP(Sheet1[[#This Row],[day_id]],calendar!A344,calendar!B344)</f>
        <v>40914</v>
      </c>
      <c r="F1074" t="str">
        <f>_xlfn.XLOOKUP(Sheet1[[#This Row],[day_id]],calendar!A344,calendar!C344)</f>
        <v>Friday</v>
      </c>
      <c r="G1074">
        <f>_xlfn.XLOOKUP(Sheet1[[#This Row],[day_id]],calendar!A344,calendar!E344)</f>
        <v>1</v>
      </c>
      <c r="H1074">
        <f>_xlfn.XLOOKUP(Sheet1[[#This Row],[day_id]],calendar!A344,calendar!F344)</f>
        <v>2012</v>
      </c>
      <c r="I1074" t="str">
        <f>_xlfn.XLOOKUP(Sheet1[[#This Row],[day_id]],calendar!A344,calendar!J344)</f>
        <v>No Event</v>
      </c>
      <c r="J1074" t="str">
        <f>_xlfn.XLOOKUP(Sheet1[[#This Row],[day_id]],calendar!A344,calendar!K344)</f>
        <v>No Event Type</v>
      </c>
      <c r="K1074">
        <f>_xlfn.XLOOKUP(calendar!A344,calendar!A344,calendar!I344)</f>
        <v>1</v>
      </c>
    </row>
    <row r="1075" spans="1:11" x14ac:dyDescent="0.2">
      <c r="A1075" t="s">
        <v>371</v>
      </c>
      <c r="B1075" t="s">
        <v>369</v>
      </c>
      <c r="C1075" t="s">
        <v>345</v>
      </c>
      <c r="D1075">
        <v>10</v>
      </c>
      <c r="E1075" s="1">
        <f>_xlfn.XLOOKUP(Sheet1[[#This Row],[day_id]],calendar!A345,calendar!B345)</f>
        <v>40915</v>
      </c>
      <c r="F1075" t="str">
        <f>_xlfn.XLOOKUP(Sheet1[[#This Row],[day_id]],calendar!A345,calendar!C345)</f>
        <v>Saturday</v>
      </c>
      <c r="G1075">
        <f>_xlfn.XLOOKUP(Sheet1[[#This Row],[day_id]],calendar!A345,calendar!E345)</f>
        <v>1</v>
      </c>
      <c r="H1075">
        <f>_xlfn.XLOOKUP(Sheet1[[#This Row],[day_id]],calendar!A345,calendar!F345)</f>
        <v>2012</v>
      </c>
      <c r="I1075" t="str">
        <f>_xlfn.XLOOKUP(Sheet1[[#This Row],[day_id]],calendar!A345,calendar!J345)</f>
        <v>OrthodoxChristmas</v>
      </c>
      <c r="J1075" t="str">
        <f>_xlfn.XLOOKUP(Sheet1[[#This Row],[day_id]],calendar!A345,calendar!K345)</f>
        <v>Religious</v>
      </c>
      <c r="K1075">
        <f>_xlfn.XLOOKUP(calendar!A345,calendar!A345,calendar!I345)</f>
        <v>1</v>
      </c>
    </row>
    <row r="1076" spans="1:11" x14ac:dyDescent="0.2">
      <c r="A1076" t="s">
        <v>371</v>
      </c>
      <c r="B1076" t="s">
        <v>369</v>
      </c>
      <c r="C1076" t="s">
        <v>346</v>
      </c>
      <c r="D1076">
        <v>15</v>
      </c>
      <c r="E1076" s="1">
        <f>_xlfn.XLOOKUP(Sheet1[[#This Row],[day_id]],calendar!A346,calendar!B346)</f>
        <v>40916</v>
      </c>
      <c r="F1076" t="str">
        <f>_xlfn.XLOOKUP(Sheet1[[#This Row],[day_id]],calendar!A346,calendar!C346)</f>
        <v>Sunday</v>
      </c>
      <c r="G1076">
        <f>_xlfn.XLOOKUP(Sheet1[[#This Row],[day_id]],calendar!A346,calendar!E346)</f>
        <v>1</v>
      </c>
      <c r="H1076">
        <f>_xlfn.XLOOKUP(Sheet1[[#This Row],[day_id]],calendar!A346,calendar!F346)</f>
        <v>2012</v>
      </c>
      <c r="I1076" t="str">
        <f>_xlfn.XLOOKUP(Sheet1[[#This Row],[day_id]],calendar!A346,calendar!J346)</f>
        <v>No Event</v>
      </c>
      <c r="J1076" t="str">
        <f>_xlfn.XLOOKUP(Sheet1[[#This Row],[day_id]],calendar!A346,calendar!K346)</f>
        <v>No Event Type</v>
      </c>
      <c r="K1076">
        <f>_xlfn.XLOOKUP(calendar!A346,calendar!A346,calendar!I346)</f>
        <v>1</v>
      </c>
    </row>
    <row r="1077" spans="1:11" x14ac:dyDescent="0.2">
      <c r="A1077" t="s">
        <v>371</v>
      </c>
      <c r="B1077" t="s">
        <v>369</v>
      </c>
      <c r="C1077" t="s">
        <v>347</v>
      </c>
      <c r="D1077">
        <v>4</v>
      </c>
      <c r="E1077" s="1">
        <f>_xlfn.XLOOKUP(Sheet1[[#This Row],[day_id]],calendar!A347,calendar!B347)</f>
        <v>40917</v>
      </c>
      <c r="F1077" t="str">
        <f>_xlfn.XLOOKUP(Sheet1[[#This Row],[day_id]],calendar!A347,calendar!C347)</f>
        <v>Monday</v>
      </c>
      <c r="G1077">
        <f>_xlfn.XLOOKUP(Sheet1[[#This Row],[day_id]],calendar!A347,calendar!E347)</f>
        <v>1</v>
      </c>
      <c r="H1077">
        <f>_xlfn.XLOOKUP(Sheet1[[#This Row],[day_id]],calendar!A347,calendar!F347)</f>
        <v>2012</v>
      </c>
      <c r="I1077" t="str">
        <f>_xlfn.XLOOKUP(Sheet1[[#This Row],[day_id]],calendar!A347,calendar!J347)</f>
        <v>No Event</v>
      </c>
      <c r="J1077" t="str">
        <f>_xlfn.XLOOKUP(Sheet1[[#This Row],[day_id]],calendar!A347,calendar!K347)</f>
        <v>No Event Type</v>
      </c>
      <c r="K1077">
        <f>_xlfn.XLOOKUP(calendar!A347,calendar!A347,calendar!I347)</f>
        <v>1</v>
      </c>
    </row>
    <row r="1078" spans="1:11" x14ac:dyDescent="0.2">
      <c r="A1078" t="s">
        <v>371</v>
      </c>
      <c r="B1078" t="s">
        <v>369</v>
      </c>
      <c r="C1078" t="s">
        <v>348</v>
      </c>
      <c r="D1078">
        <v>9</v>
      </c>
      <c r="E1078" s="1">
        <f>_xlfn.XLOOKUP(Sheet1[[#This Row],[day_id]],calendar!A348,calendar!B348)</f>
        <v>40918</v>
      </c>
      <c r="F1078" t="str">
        <f>_xlfn.XLOOKUP(Sheet1[[#This Row],[day_id]],calendar!A348,calendar!C348)</f>
        <v>Tuesday</v>
      </c>
      <c r="G1078">
        <f>_xlfn.XLOOKUP(Sheet1[[#This Row],[day_id]],calendar!A348,calendar!E348)</f>
        <v>1</v>
      </c>
      <c r="H1078">
        <f>_xlfn.XLOOKUP(Sheet1[[#This Row],[day_id]],calendar!A348,calendar!F348)</f>
        <v>2012</v>
      </c>
      <c r="I1078" t="str">
        <f>_xlfn.XLOOKUP(Sheet1[[#This Row],[day_id]],calendar!A348,calendar!J348)</f>
        <v>No Event</v>
      </c>
      <c r="J1078" t="str">
        <f>_xlfn.XLOOKUP(Sheet1[[#This Row],[day_id]],calendar!A348,calendar!K348)</f>
        <v>No Event Type</v>
      </c>
      <c r="K1078">
        <f>_xlfn.XLOOKUP(calendar!A348,calendar!A348,calendar!I348)</f>
        <v>1</v>
      </c>
    </row>
    <row r="1079" spans="1:11" x14ac:dyDescent="0.2">
      <c r="A1079" t="s">
        <v>371</v>
      </c>
      <c r="B1079" t="s">
        <v>369</v>
      </c>
      <c r="C1079" t="s">
        <v>349</v>
      </c>
      <c r="D1079">
        <v>9</v>
      </c>
      <c r="E1079" s="1">
        <f>_xlfn.XLOOKUP(Sheet1[[#This Row],[day_id]],calendar!A349,calendar!B349)</f>
        <v>40919</v>
      </c>
      <c r="F1079" t="str">
        <f>_xlfn.XLOOKUP(Sheet1[[#This Row],[day_id]],calendar!A349,calendar!C349)</f>
        <v>Wednesday</v>
      </c>
      <c r="G1079">
        <f>_xlfn.XLOOKUP(Sheet1[[#This Row],[day_id]],calendar!A349,calendar!E349)</f>
        <v>1</v>
      </c>
      <c r="H1079">
        <f>_xlfn.XLOOKUP(Sheet1[[#This Row],[day_id]],calendar!A349,calendar!F349)</f>
        <v>2012</v>
      </c>
      <c r="I1079" t="str">
        <f>_xlfn.XLOOKUP(Sheet1[[#This Row],[day_id]],calendar!A349,calendar!J349)</f>
        <v>No Event</v>
      </c>
      <c r="J1079" t="str">
        <f>_xlfn.XLOOKUP(Sheet1[[#This Row],[day_id]],calendar!A349,calendar!K349)</f>
        <v>No Event Type</v>
      </c>
      <c r="K1079">
        <f>_xlfn.XLOOKUP(calendar!A349,calendar!A349,calendar!I349)</f>
        <v>0</v>
      </c>
    </row>
    <row r="1080" spans="1:11" x14ac:dyDescent="0.2">
      <c r="A1080" t="s">
        <v>371</v>
      </c>
      <c r="B1080" t="s">
        <v>369</v>
      </c>
      <c r="C1080" t="s">
        <v>350</v>
      </c>
      <c r="D1080">
        <v>7</v>
      </c>
      <c r="E1080" s="1">
        <f>_xlfn.XLOOKUP(Sheet1[[#This Row],[day_id]],calendar!A350,calendar!B350)</f>
        <v>40920</v>
      </c>
      <c r="F1080" t="str">
        <f>_xlfn.XLOOKUP(Sheet1[[#This Row],[day_id]],calendar!A350,calendar!C350)</f>
        <v>Thursday</v>
      </c>
      <c r="G1080">
        <f>_xlfn.XLOOKUP(Sheet1[[#This Row],[day_id]],calendar!A350,calendar!E350)</f>
        <v>1</v>
      </c>
      <c r="H1080">
        <f>_xlfn.XLOOKUP(Sheet1[[#This Row],[day_id]],calendar!A350,calendar!F350)</f>
        <v>2012</v>
      </c>
      <c r="I1080" t="str">
        <f>_xlfn.XLOOKUP(Sheet1[[#This Row],[day_id]],calendar!A350,calendar!J350)</f>
        <v>No Event</v>
      </c>
      <c r="J1080" t="str">
        <f>_xlfn.XLOOKUP(Sheet1[[#This Row],[day_id]],calendar!A350,calendar!K350)</f>
        <v>No Event Type</v>
      </c>
      <c r="K1080">
        <f>_xlfn.XLOOKUP(calendar!A350,calendar!A350,calendar!I350)</f>
        <v>0</v>
      </c>
    </row>
    <row r="1081" spans="1:11" x14ac:dyDescent="0.2">
      <c r="A1081" t="s">
        <v>371</v>
      </c>
      <c r="B1081" t="s">
        <v>369</v>
      </c>
      <c r="C1081" t="s">
        <v>351</v>
      </c>
      <c r="D1081">
        <v>10</v>
      </c>
      <c r="E1081" s="1">
        <f>_xlfn.XLOOKUP(Sheet1[[#This Row],[day_id]],calendar!A351,calendar!B351)</f>
        <v>40921</v>
      </c>
      <c r="F1081" t="str">
        <f>_xlfn.XLOOKUP(Sheet1[[#This Row],[day_id]],calendar!A351,calendar!C351)</f>
        <v>Friday</v>
      </c>
      <c r="G1081">
        <f>_xlfn.XLOOKUP(Sheet1[[#This Row],[day_id]],calendar!A351,calendar!E351)</f>
        <v>1</v>
      </c>
      <c r="H1081">
        <f>_xlfn.XLOOKUP(Sheet1[[#This Row],[day_id]],calendar!A351,calendar!F351)</f>
        <v>2012</v>
      </c>
      <c r="I1081" t="str">
        <f>_xlfn.XLOOKUP(Sheet1[[#This Row],[day_id]],calendar!A351,calendar!J351)</f>
        <v>No Event</v>
      </c>
      <c r="J1081" t="str">
        <f>_xlfn.XLOOKUP(Sheet1[[#This Row],[day_id]],calendar!A351,calendar!K351)</f>
        <v>No Event Type</v>
      </c>
      <c r="K1081">
        <f>_xlfn.XLOOKUP(calendar!A351,calendar!A351,calendar!I351)</f>
        <v>0</v>
      </c>
    </row>
    <row r="1082" spans="1:11" x14ac:dyDescent="0.2">
      <c r="A1082" t="s">
        <v>371</v>
      </c>
      <c r="B1082" t="s">
        <v>369</v>
      </c>
      <c r="C1082" t="s">
        <v>352</v>
      </c>
      <c r="D1082">
        <v>8</v>
      </c>
      <c r="E1082" s="1">
        <f>_xlfn.XLOOKUP(Sheet1[[#This Row],[day_id]],calendar!A352,calendar!B352)</f>
        <v>40922</v>
      </c>
      <c r="F1082" t="str">
        <f>_xlfn.XLOOKUP(Sheet1[[#This Row],[day_id]],calendar!A352,calendar!C352)</f>
        <v>Saturday</v>
      </c>
      <c r="G1082">
        <f>_xlfn.XLOOKUP(Sheet1[[#This Row],[day_id]],calendar!A352,calendar!E352)</f>
        <v>1</v>
      </c>
      <c r="H1082">
        <f>_xlfn.XLOOKUP(Sheet1[[#This Row],[day_id]],calendar!A352,calendar!F352)</f>
        <v>2012</v>
      </c>
      <c r="I1082" t="str">
        <f>_xlfn.XLOOKUP(Sheet1[[#This Row],[day_id]],calendar!A352,calendar!J352)</f>
        <v>No Event</v>
      </c>
      <c r="J1082" t="str">
        <f>_xlfn.XLOOKUP(Sheet1[[#This Row],[day_id]],calendar!A352,calendar!K352)</f>
        <v>No Event Type</v>
      </c>
      <c r="K1082">
        <f>_xlfn.XLOOKUP(calendar!A352,calendar!A352,calendar!I352)</f>
        <v>0</v>
      </c>
    </row>
    <row r="1083" spans="1:11" x14ac:dyDescent="0.2">
      <c r="A1083" t="s">
        <v>371</v>
      </c>
      <c r="B1083" t="s">
        <v>369</v>
      </c>
      <c r="C1083" t="s">
        <v>353</v>
      </c>
      <c r="D1083">
        <v>6</v>
      </c>
      <c r="E1083" s="1">
        <f>_xlfn.XLOOKUP(Sheet1[[#This Row],[day_id]],calendar!A353,calendar!B353)</f>
        <v>40923</v>
      </c>
      <c r="F1083" t="str">
        <f>_xlfn.XLOOKUP(Sheet1[[#This Row],[day_id]],calendar!A353,calendar!C353)</f>
        <v>Sunday</v>
      </c>
      <c r="G1083">
        <f>_xlfn.XLOOKUP(Sheet1[[#This Row],[day_id]],calendar!A353,calendar!E353)</f>
        <v>1</v>
      </c>
      <c r="H1083">
        <f>_xlfn.XLOOKUP(Sheet1[[#This Row],[day_id]],calendar!A353,calendar!F353)</f>
        <v>2012</v>
      </c>
      <c r="I1083" t="str">
        <f>_xlfn.XLOOKUP(Sheet1[[#This Row],[day_id]],calendar!A353,calendar!J353)</f>
        <v>No Event</v>
      </c>
      <c r="J1083" t="str">
        <f>_xlfn.XLOOKUP(Sheet1[[#This Row],[day_id]],calendar!A353,calendar!K353)</f>
        <v>No Event Type</v>
      </c>
      <c r="K1083">
        <f>_xlfn.XLOOKUP(calendar!A353,calendar!A353,calendar!I353)</f>
        <v>0</v>
      </c>
    </row>
    <row r="1084" spans="1:11" x14ac:dyDescent="0.2">
      <c r="A1084" t="s">
        <v>371</v>
      </c>
      <c r="B1084" t="s">
        <v>369</v>
      </c>
      <c r="C1084" t="s">
        <v>354</v>
      </c>
      <c r="D1084">
        <v>6</v>
      </c>
      <c r="E1084" s="1">
        <f>_xlfn.XLOOKUP(Sheet1[[#This Row],[day_id]],calendar!A354,calendar!B354)</f>
        <v>40924</v>
      </c>
      <c r="F1084" t="str">
        <f>_xlfn.XLOOKUP(Sheet1[[#This Row],[day_id]],calendar!A354,calendar!C354)</f>
        <v>Monday</v>
      </c>
      <c r="G1084">
        <f>_xlfn.XLOOKUP(Sheet1[[#This Row],[day_id]],calendar!A354,calendar!E354)</f>
        <v>1</v>
      </c>
      <c r="H1084">
        <f>_xlfn.XLOOKUP(Sheet1[[#This Row],[day_id]],calendar!A354,calendar!F354)</f>
        <v>2012</v>
      </c>
      <c r="I1084" t="str">
        <f>_xlfn.XLOOKUP(Sheet1[[#This Row],[day_id]],calendar!A354,calendar!J354)</f>
        <v>MartinLutherKingDay</v>
      </c>
      <c r="J1084" t="str">
        <f>_xlfn.XLOOKUP(Sheet1[[#This Row],[day_id]],calendar!A354,calendar!K354)</f>
        <v>National</v>
      </c>
      <c r="K1084">
        <f>_xlfn.XLOOKUP(calendar!A354,calendar!A354,calendar!I354)</f>
        <v>0</v>
      </c>
    </row>
    <row r="1085" spans="1:11" x14ac:dyDescent="0.2">
      <c r="A1085" t="s">
        <v>371</v>
      </c>
      <c r="B1085" t="s">
        <v>369</v>
      </c>
      <c r="C1085" t="s">
        <v>355</v>
      </c>
      <c r="D1085">
        <v>7</v>
      </c>
      <c r="E1085" s="1">
        <f>_xlfn.XLOOKUP(Sheet1[[#This Row],[day_id]],calendar!A355,calendar!B355)</f>
        <v>40925</v>
      </c>
      <c r="F1085" t="str">
        <f>_xlfn.XLOOKUP(Sheet1[[#This Row],[day_id]],calendar!A355,calendar!C355)</f>
        <v>Tuesday</v>
      </c>
      <c r="G1085">
        <f>_xlfn.XLOOKUP(Sheet1[[#This Row],[day_id]],calendar!A355,calendar!E355)</f>
        <v>1</v>
      </c>
      <c r="H1085">
        <f>_xlfn.XLOOKUP(Sheet1[[#This Row],[day_id]],calendar!A355,calendar!F355)</f>
        <v>2012</v>
      </c>
      <c r="I1085" t="str">
        <f>_xlfn.XLOOKUP(Sheet1[[#This Row],[day_id]],calendar!A355,calendar!J355)</f>
        <v>No Event</v>
      </c>
      <c r="J1085" t="str">
        <f>_xlfn.XLOOKUP(Sheet1[[#This Row],[day_id]],calendar!A355,calendar!K355)</f>
        <v>No Event Type</v>
      </c>
      <c r="K1085">
        <f>_xlfn.XLOOKUP(calendar!A355,calendar!A355,calendar!I355)</f>
        <v>0</v>
      </c>
    </row>
    <row r="1086" spans="1:11" x14ac:dyDescent="0.2">
      <c r="A1086" t="s">
        <v>371</v>
      </c>
      <c r="B1086" t="s">
        <v>369</v>
      </c>
      <c r="C1086" t="s">
        <v>356</v>
      </c>
      <c r="D1086">
        <v>6</v>
      </c>
      <c r="E1086" s="1">
        <f>_xlfn.XLOOKUP(Sheet1[[#This Row],[day_id]],calendar!A356,calendar!B356)</f>
        <v>40926</v>
      </c>
      <c r="F1086" t="str">
        <f>_xlfn.XLOOKUP(Sheet1[[#This Row],[day_id]],calendar!A356,calendar!C356)</f>
        <v>Wednesday</v>
      </c>
      <c r="G1086">
        <f>_xlfn.XLOOKUP(Sheet1[[#This Row],[day_id]],calendar!A356,calendar!E356)</f>
        <v>1</v>
      </c>
      <c r="H1086">
        <f>_xlfn.XLOOKUP(Sheet1[[#This Row],[day_id]],calendar!A356,calendar!F356)</f>
        <v>2012</v>
      </c>
      <c r="I1086" t="str">
        <f>_xlfn.XLOOKUP(Sheet1[[#This Row],[day_id]],calendar!A356,calendar!J356)</f>
        <v>No Event</v>
      </c>
      <c r="J1086" t="str">
        <f>_xlfn.XLOOKUP(Sheet1[[#This Row],[day_id]],calendar!A356,calendar!K356)</f>
        <v>No Event Type</v>
      </c>
      <c r="K1086">
        <f>_xlfn.XLOOKUP(calendar!A356,calendar!A356,calendar!I356)</f>
        <v>0</v>
      </c>
    </row>
    <row r="1087" spans="1:11" x14ac:dyDescent="0.2">
      <c r="A1087" t="s">
        <v>371</v>
      </c>
      <c r="B1087" t="s">
        <v>369</v>
      </c>
      <c r="C1087" t="s">
        <v>357</v>
      </c>
      <c r="D1087">
        <v>9</v>
      </c>
      <c r="E1087" s="1">
        <f>_xlfn.XLOOKUP(Sheet1[[#This Row],[day_id]],calendar!A357,calendar!B357)</f>
        <v>40927</v>
      </c>
      <c r="F1087" t="str">
        <f>_xlfn.XLOOKUP(Sheet1[[#This Row],[day_id]],calendar!A357,calendar!C357)</f>
        <v>Thursday</v>
      </c>
      <c r="G1087">
        <f>_xlfn.XLOOKUP(Sheet1[[#This Row],[day_id]],calendar!A357,calendar!E357)</f>
        <v>1</v>
      </c>
      <c r="H1087">
        <f>_xlfn.XLOOKUP(Sheet1[[#This Row],[day_id]],calendar!A357,calendar!F357)</f>
        <v>2012</v>
      </c>
      <c r="I1087" t="str">
        <f>_xlfn.XLOOKUP(Sheet1[[#This Row],[day_id]],calendar!A357,calendar!J357)</f>
        <v>No Event</v>
      </c>
      <c r="J1087" t="str">
        <f>_xlfn.XLOOKUP(Sheet1[[#This Row],[day_id]],calendar!A357,calendar!K357)</f>
        <v>No Event Type</v>
      </c>
      <c r="K1087">
        <f>_xlfn.XLOOKUP(calendar!A357,calendar!A357,calendar!I357)</f>
        <v>0</v>
      </c>
    </row>
    <row r="1088" spans="1:11" x14ac:dyDescent="0.2">
      <c r="A1088" t="s">
        <v>371</v>
      </c>
      <c r="B1088" t="s">
        <v>369</v>
      </c>
      <c r="C1088" t="s">
        <v>358</v>
      </c>
      <c r="D1088">
        <v>6</v>
      </c>
      <c r="E1088" s="1">
        <f>_xlfn.XLOOKUP(Sheet1[[#This Row],[day_id]],calendar!A358,calendar!B358)</f>
        <v>40928</v>
      </c>
      <c r="F1088" t="str">
        <f>_xlfn.XLOOKUP(Sheet1[[#This Row],[day_id]],calendar!A358,calendar!C358)</f>
        <v>Friday</v>
      </c>
      <c r="G1088">
        <f>_xlfn.XLOOKUP(Sheet1[[#This Row],[day_id]],calendar!A358,calendar!E358)</f>
        <v>1</v>
      </c>
      <c r="H1088">
        <f>_xlfn.XLOOKUP(Sheet1[[#This Row],[day_id]],calendar!A358,calendar!F358)</f>
        <v>2012</v>
      </c>
      <c r="I1088" t="str">
        <f>_xlfn.XLOOKUP(Sheet1[[#This Row],[day_id]],calendar!A358,calendar!J358)</f>
        <v>No Event</v>
      </c>
      <c r="J1088" t="str">
        <f>_xlfn.XLOOKUP(Sheet1[[#This Row],[day_id]],calendar!A358,calendar!K358)</f>
        <v>No Event Type</v>
      </c>
      <c r="K1088">
        <f>_xlfn.XLOOKUP(calendar!A358,calendar!A358,calendar!I358)</f>
        <v>0</v>
      </c>
    </row>
    <row r="1089" spans="1:11" x14ac:dyDescent="0.2">
      <c r="A1089" t="s">
        <v>371</v>
      </c>
      <c r="B1089" t="s">
        <v>369</v>
      </c>
      <c r="C1089" t="s">
        <v>359</v>
      </c>
      <c r="D1089">
        <v>6</v>
      </c>
      <c r="E1089" s="1">
        <f>_xlfn.XLOOKUP(Sheet1[[#This Row],[day_id]],calendar!A359,calendar!B359)</f>
        <v>40929</v>
      </c>
      <c r="F1089" t="str">
        <f>_xlfn.XLOOKUP(Sheet1[[#This Row],[day_id]],calendar!A359,calendar!C359)</f>
        <v>Saturday</v>
      </c>
      <c r="G1089">
        <f>_xlfn.XLOOKUP(Sheet1[[#This Row],[day_id]],calendar!A359,calendar!E359)</f>
        <v>1</v>
      </c>
      <c r="H1089">
        <f>_xlfn.XLOOKUP(Sheet1[[#This Row],[day_id]],calendar!A359,calendar!F359)</f>
        <v>2012</v>
      </c>
      <c r="I1089" t="str">
        <f>_xlfn.XLOOKUP(Sheet1[[#This Row],[day_id]],calendar!A359,calendar!J359)</f>
        <v>No Event</v>
      </c>
      <c r="J1089" t="str">
        <f>_xlfn.XLOOKUP(Sheet1[[#This Row],[day_id]],calendar!A359,calendar!K359)</f>
        <v>No Event Type</v>
      </c>
      <c r="K1089">
        <f>_xlfn.XLOOKUP(calendar!A359,calendar!A359,calendar!I359)</f>
        <v>0</v>
      </c>
    </row>
    <row r="1090" spans="1:11" x14ac:dyDescent="0.2">
      <c r="A1090" t="s">
        <v>371</v>
      </c>
      <c r="B1090" t="s">
        <v>369</v>
      </c>
      <c r="C1090" t="s">
        <v>360</v>
      </c>
      <c r="D1090">
        <v>2</v>
      </c>
      <c r="E1090" s="1">
        <f>_xlfn.XLOOKUP(Sheet1[[#This Row],[day_id]],calendar!A360,calendar!B360)</f>
        <v>40930</v>
      </c>
      <c r="F1090" t="str">
        <f>_xlfn.XLOOKUP(Sheet1[[#This Row],[day_id]],calendar!A360,calendar!C360)</f>
        <v>Sunday</v>
      </c>
      <c r="G1090">
        <f>_xlfn.XLOOKUP(Sheet1[[#This Row],[day_id]],calendar!A360,calendar!E360)</f>
        <v>1</v>
      </c>
      <c r="H1090">
        <f>_xlfn.XLOOKUP(Sheet1[[#This Row],[day_id]],calendar!A360,calendar!F360)</f>
        <v>2012</v>
      </c>
      <c r="I1090" t="str">
        <f>_xlfn.XLOOKUP(Sheet1[[#This Row],[day_id]],calendar!A360,calendar!J360)</f>
        <v>No Event</v>
      </c>
      <c r="J1090" t="str">
        <f>_xlfn.XLOOKUP(Sheet1[[#This Row],[day_id]],calendar!A360,calendar!K360)</f>
        <v>No Event Type</v>
      </c>
      <c r="K1090">
        <f>_xlfn.XLOOKUP(calendar!A360,calendar!A360,calendar!I360)</f>
        <v>0</v>
      </c>
    </row>
    <row r="1091" spans="1:11" x14ac:dyDescent="0.2">
      <c r="A1091" t="s">
        <v>371</v>
      </c>
      <c r="B1091" t="s">
        <v>369</v>
      </c>
      <c r="C1091" t="s">
        <v>361</v>
      </c>
      <c r="D1091">
        <v>0</v>
      </c>
      <c r="E1091" s="1">
        <f>_xlfn.XLOOKUP(Sheet1[[#This Row],[day_id]],calendar!A361,calendar!B361)</f>
        <v>40931</v>
      </c>
      <c r="F1091" t="str">
        <f>_xlfn.XLOOKUP(Sheet1[[#This Row],[day_id]],calendar!A361,calendar!C361)</f>
        <v>Monday</v>
      </c>
      <c r="G1091">
        <f>_xlfn.XLOOKUP(Sheet1[[#This Row],[day_id]],calendar!A361,calendar!E361)</f>
        <v>1</v>
      </c>
      <c r="H1091">
        <f>_xlfn.XLOOKUP(Sheet1[[#This Row],[day_id]],calendar!A361,calendar!F361)</f>
        <v>2012</v>
      </c>
      <c r="I1091" t="str">
        <f>_xlfn.XLOOKUP(Sheet1[[#This Row],[day_id]],calendar!A361,calendar!J361)</f>
        <v>No Event</v>
      </c>
      <c r="J1091" t="str">
        <f>_xlfn.XLOOKUP(Sheet1[[#This Row],[day_id]],calendar!A361,calendar!K361)</f>
        <v>No Event Type</v>
      </c>
      <c r="K1091">
        <f>_xlfn.XLOOKUP(calendar!A361,calendar!A361,calendar!I361)</f>
        <v>0</v>
      </c>
    </row>
    <row r="1092" spans="1:11" x14ac:dyDescent="0.2">
      <c r="A1092" t="s">
        <v>371</v>
      </c>
      <c r="B1092" t="s">
        <v>369</v>
      </c>
      <c r="C1092" t="s">
        <v>362</v>
      </c>
      <c r="D1092">
        <v>2</v>
      </c>
      <c r="E1092" s="1">
        <f>_xlfn.XLOOKUP(Sheet1[[#This Row],[day_id]],calendar!A362,calendar!B362)</f>
        <v>40932</v>
      </c>
      <c r="F1092" t="str">
        <f>_xlfn.XLOOKUP(Sheet1[[#This Row],[day_id]],calendar!A362,calendar!C362)</f>
        <v>Tuesday</v>
      </c>
      <c r="G1092">
        <f>_xlfn.XLOOKUP(Sheet1[[#This Row],[day_id]],calendar!A362,calendar!E362)</f>
        <v>1</v>
      </c>
      <c r="H1092">
        <f>_xlfn.XLOOKUP(Sheet1[[#This Row],[day_id]],calendar!A362,calendar!F362)</f>
        <v>2012</v>
      </c>
      <c r="I1092" t="str">
        <f>_xlfn.XLOOKUP(Sheet1[[#This Row],[day_id]],calendar!A362,calendar!J362)</f>
        <v>No Event</v>
      </c>
      <c r="J1092" t="str">
        <f>_xlfn.XLOOKUP(Sheet1[[#This Row],[day_id]],calendar!A362,calendar!K362)</f>
        <v>No Event Type</v>
      </c>
      <c r="K1092">
        <f>_xlfn.XLOOKUP(calendar!A362,calendar!A362,calendar!I362)</f>
        <v>0</v>
      </c>
    </row>
    <row r="1093" spans="1:11" x14ac:dyDescent="0.2">
      <c r="A1093" t="s">
        <v>371</v>
      </c>
      <c r="B1093" t="s">
        <v>369</v>
      </c>
      <c r="C1093" t="s">
        <v>363</v>
      </c>
      <c r="D1093">
        <v>4</v>
      </c>
      <c r="E1093" s="1">
        <f>_xlfn.XLOOKUP(Sheet1[[#This Row],[day_id]],calendar!A363,calendar!B363)</f>
        <v>40933</v>
      </c>
      <c r="F1093" t="str">
        <f>_xlfn.XLOOKUP(Sheet1[[#This Row],[day_id]],calendar!A363,calendar!C363)</f>
        <v>Wednesday</v>
      </c>
      <c r="G1093">
        <f>_xlfn.XLOOKUP(Sheet1[[#This Row],[day_id]],calendar!A363,calendar!E363)</f>
        <v>1</v>
      </c>
      <c r="H1093">
        <f>_xlfn.XLOOKUP(Sheet1[[#This Row],[day_id]],calendar!A363,calendar!F363)</f>
        <v>2012</v>
      </c>
      <c r="I1093" t="str">
        <f>_xlfn.XLOOKUP(Sheet1[[#This Row],[day_id]],calendar!A363,calendar!J363)</f>
        <v>No Event</v>
      </c>
      <c r="J1093" t="str">
        <f>_xlfn.XLOOKUP(Sheet1[[#This Row],[day_id]],calendar!A363,calendar!K363)</f>
        <v>No Event Type</v>
      </c>
      <c r="K1093">
        <f>_xlfn.XLOOKUP(calendar!A363,calendar!A363,calendar!I363)</f>
        <v>0</v>
      </c>
    </row>
    <row r="1094" spans="1:11" x14ac:dyDescent="0.2">
      <c r="A1094" t="s">
        <v>371</v>
      </c>
      <c r="B1094" t="s">
        <v>369</v>
      </c>
      <c r="C1094" t="s">
        <v>364</v>
      </c>
      <c r="D1094">
        <v>2</v>
      </c>
      <c r="E1094" s="1">
        <f>_xlfn.XLOOKUP(Sheet1[[#This Row],[day_id]],calendar!A364,calendar!B364)</f>
        <v>40934</v>
      </c>
      <c r="F1094" t="str">
        <f>_xlfn.XLOOKUP(Sheet1[[#This Row],[day_id]],calendar!A364,calendar!C364)</f>
        <v>Thursday</v>
      </c>
      <c r="G1094">
        <f>_xlfn.XLOOKUP(Sheet1[[#This Row],[day_id]],calendar!A364,calendar!E364)</f>
        <v>1</v>
      </c>
      <c r="H1094">
        <f>_xlfn.XLOOKUP(Sheet1[[#This Row],[day_id]],calendar!A364,calendar!F364)</f>
        <v>2012</v>
      </c>
      <c r="I1094" t="str">
        <f>_xlfn.XLOOKUP(Sheet1[[#This Row],[day_id]],calendar!A364,calendar!J364)</f>
        <v>No Event</v>
      </c>
      <c r="J1094" t="str">
        <f>_xlfn.XLOOKUP(Sheet1[[#This Row],[day_id]],calendar!A364,calendar!K364)</f>
        <v>No Event Type</v>
      </c>
      <c r="K1094">
        <f>_xlfn.XLOOKUP(calendar!A364,calendar!A364,calendar!I364)</f>
        <v>0</v>
      </c>
    </row>
    <row r="1095" spans="1:11" x14ac:dyDescent="0.2">
      <c r="A1095" t="s">
        <v>371</v>
      </c>
      <c r="B1095" t="s">
        <v>369</v>
      </c>
      <c r="C1095" t="s">
        <v>365</v>
      </c>
      <c r="D1095">
        <v>12</v>
      </c>
      <c r="E1095" s="1">
        <f>_xlfn.XLOOKUP(Sheet1[[#This Row],[day_id]],calendar!A365,calendar!B365)</f>
        <v>40935</v>
      </c>
      <c r="F1095" t="str">
        <f>_xlfn.XLOOKUP(Sheet1[[#This Row],[day_id]],calendar!A365,calendar!C365)</f>
        <v>Friday</v>
      </c>
      <c r="G1095">
        <f>_xlfn.XLOOKUP(Sheet1[[#This Row],[day_id]],calendar!A365,calendar!E365)</f>
        <v>1</v>
      </c>
      <c r="H1095">
        <f>_xlfn.XLOOKUP(Sheet1[[#This Row],[day_id]],calendar!A365,calendar!F365)</f>
        <v>2012</v>
      </c>
      <c r="I1095" t="str">
        <f>_xlfn.XLOOKUP(Sheet1[[#This Row],[day_id]],calendar!A365,calendar!J365)</f>
        <v>No Event</v>
      </c>
      <c r="J1095" t="str">
        <f>_xlfn.XLOOKUP(Sheet1[[#This Row],[day_id]],calendar!A365,calendar!K365)</f>
        <v>No Event Type</v>
      </c>
      <c r="K1095">
        <f>_xlfn.XLOOKUP(calendar!A365,calendar!A365,calendar!I365)</f>
        <v>0</v>
      </c>
    </row>
    <row r="1096" spans="1:11" x14ac:dyDescent="0.2">
      <c r="A1096" t="s">
        <v>371</v>
      </c>
      <c r="B1096" t="s">
        <v>369</v>
      </c>
      <c r="C1096" t="s">
        <v>366</v>
      </c>
      <c r="D1096">
        <v>9</v>
      </c>
      <c r="E1096" s="1">
        <f>_xlfn.XLOOKUP(Sheet1[[#This Row],[day_id]],calendar!A366,calendar!B366)</f>
        <v>40936</v>
      </c>
      <c r="F1096" t="str">
        <f>_xlfn.XLOOKUP(Sheet1[[#This Row],[day_id]],calendar!A366,calendar!C366)</f>
        <v>Saturday</v>
      </c>
      <c r="G1096">
        <f>_xlfn.XLOOKUP(Sheet1[[#This Row],[day_id]],calendar!A366,calendar!E366)</f>
        <v>1</v>
      </c>
      <c r="H1096">
        <f>_xlfn.XLOOKUP(Sheet1[[#This Row],[day_id]],calendar!A366,calendar!F366)</f>
        <v>2012</v>
      </c>
      <c r="I1096" t="str">
        <f>_xlfn.XLOOKUP(Sheet1[[#This Row],[day_id]],calendar!A366,calendar!J366)</f>
        <v>No Event</v>
      </c>
      <c r="J1096" t="str">
        <f>_xlfn.XLOOKUP(Sheet1[[#This Row],[day_id]],calendar!A366,calendar!K366)</f>
        <v>No Event Type</v>
      </c>
      <c r="K1096">
        <f>_xlfn.XLOOKUP(calendar!A366,calendar!A366,calendar!I366)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02DB-50AB-9D4D-AB35-65F6BBDEB785}">
  <dimension ref="A1:K366"/>
  <sheetViews>
    <sheetView workbookViewId="0">
      <selection activeCell="K2" sqref="K2:K366"/>
    </sheetView>
  </sheetViews>
  <sheetFormatPr baseColWidth="10" defaultRowHeight="16" x14ac:dyDescent="0.2"/>
  <cols>
    <col min="2" max="2" width="10.83203125" style="1"/>
    <col min="10" max="10" width="21.5" customWidth="1"/>
    <col min="11" max="11" width="20.33203125" customWidth="1"/>
  </cols>
  <sheetData>
    <row r="1" spans="1:11" x14ac:dyDescent="0.2">
      <c r="A1" t="s">
        <v>379</v>
      </c>
      <c r="B1" s="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380</v>
      </c>
      <c r="H1" t="s">
        <v>381</v>
      </c>
      <c r="I1" t="s">
        <v>382</v>
      </c>
      <c r="J1" t="s">
        <v>425</v>
      </c>
      <c r="K1" t="s">
        <v>426</v>
      </c>
    </row>
    <row r="2" spans="1:11" x14ac:dyDescent="0.2">
      <c r="A2" t="s">
        <v>2</v>
      </c>
      <c r="B2" s="1">
        <v>40572</v>
      </c>
      <c r="C2" t="s">
        <v>383</v>
      </c>
      <c r="D2">
        <v>1</v>
      </c>
      <c r="E2">
        <v>1</v>
      </c>
      <c r="F2">
        <v>2011</v>
      </c>
      <c r="I2">
        <v>0</v>
      </c>
      <c r="J2" t="str">
        <f>IF(G2="", "No Event",G2)</f>
        <v>No Event</v>
      </c>
      <c r="K2" t="str">
        <f>IF(H2="", "No Event Type",H2)</f>
        <v>No Event Type</v>
      </c>
    </row>
    <row r="3" spans="1:11" x14ac:dyDescent="0.2">
      <c r="A3" t="s">
        <v>3</v>
      </c>
      <c r="B3" s="1">
        <v>40573</v>
      </c>
      <c r="C3" t="s">
        <v>384</v>
      </c>
      <c r="D3">
        <v>2</v>
      </c>
      <c r="E3">
        <v>1</v>
      </c>
      <c r="F3">
        <v>2011</v>
      </c>
      <c r="I3">
        <v>0</v>
      </c>
      <c r="J3" t="str">
        <f t="shared" ref="J3:J66" si="0">IF(G3="", "No Event",G3)</f>
        <v>No Event</v>
      </c>
      <c r="K3" t="str">
        <f t="shared" ref="K3:K66" si="1">IF(H3="", "No Event Type",H3)</f>
        <v>No Event Type</v>
      </c>
    </row>
    <row r="4" spans="1:11" x14ac:dyDescent="0.2">
      <c r="A4" t="s">
        <v>4</v>
      </c>
      <c r="B4" s="1">
        <v>40574</v>
      </c>
      <c r="C4" t="s">
        <v>385</v>
      </c>
      <c r="D4">
        <v>3</v>
      </c>
      <c r="E4">
        <v>1</v>
      </c>
      <c r="F4">
        <v>2011</v>
      </c>
      <c r="I4">
        <v>0</v>
      </c>
      <c r="J4" t="str">
        <f t="shared" si="0"/>
        <v>No Event</v>
      </c>
      <c r="K4" t="str">
        <f t="shared" si="1"/>
        <v>No Event Type</v>
      </c>
    </row>
    <row r="5" spans="1:11" x14ac:dyDescent="0.2">
      <c r="A5" t="s">
        <v>5</v>
      </c>
      <c r="B5" s="1">
        <v>40575</v>
      </c>
      <c r="C5" t="s">
        <v>386</v>
      </c>
      <c r="D5">
        <v>4</v>
      </c>
      <c r="E5">
        <v>2</v>
      </c>
      <c r="F5">
        <v>2011</v>
      </c>
      <c r="I5">
        <v>1</v>
      </c>
      <c r="J5" t="str">
        <f t="shared" si="0"/>
        <v>No Event</v>
      </c>
      <c r="K5" t="str">
        <f t="shared" si="1"/>
        <v>No Event Type</v>
      </c>
    </row>
    <row r="6" spans="1:11" x14ac:dyDescent="0.2">
      <c r="A6" t="s">
        <v>6</v>
      </c>
      <c r="B6" s="1">
        <v>40576</v>
      </c>
      <c r="C6" t="s">
        <v>387</v>
      </c>
      <c r="D6">
        <v>5</v>
      </c>
      <c r="E6">
        <v>2</v>
      </c>
      <c r="F6">
        <v>2011</v>
      </c>
      <c r="I6">
        <v>1</v>
      </c>
      <c r="J6" t="str">
        <f t="shared" si="0"/>
        <v>No Event</v>
      </c>
      <c r="K6" t="str">
        <f t="shared" si="1"/>
        <v>No Event Type</v>
      </c>
    </row>
    <row r="7" spans="1:11" x14ac:dyDescent="0.2">
      <c r="A7" t="s">
        <v>7</v>
      </c>
      <c r="B7" s="1">
        <v>40577</v>
      </c>
      <c r="C7" t="s">
        <v>388</v>
      </c>
      <c r="D7">
        <v>6</v>
      </c>
      <c r="E7">
        <v>2</v>
      </c>
      <c r="F7">
        <v>2011</v>
      </c>
      <c r="I7">
        <v>1</v>
      </c>
      <c r="J7" t="str">
        <f t="shared" si="0"/>
        <v>No Event</v>
      </c>
      <c r="K7" t="str">
        <f t="shared" si="1"/>
        <v>No Event Type</v>
      </c>
    </row>
    <row r="8" spans="1:11" x14ac:dyDescent="0.2">
      <c r="A8" t="s">
        <v>8</v>
      </c>
      <c r="B8" s="1">
        <v>40578</v>
      </c>
      <c r="C8" t="s">
        <v>389</v>
      </c>
      <c r="D8">
        <v>7</v>
      </c>
      <c r="E8">
        <v>2</v>
      </c>
      <c r="F8">
        <v>2011</v>
      </c>
      <c r="I8">
        <v>1</v>
      </c>
      <c r="J8" t="str">
        <f t="shared" si="0"/>
        <v>No Event</v>
      </c>
      <c r="K8" t="str">
        <f t="shared" si="1"/>
        <v>No Event Type</v>
      </c>
    </row>
    <row r="9" spans="1:11" x14ac:dyDescent="0.2">
      <c r="A9" t="s">
        <v>9</v>
      </c>
      <c r="B9" s="1">
        <v>40579</v>
      </c>
      <c r="C9" t="s">
        <v>383</v>
      </c>
      <c r="D9">
        <v>1</v>
      </c>
      <c r="E9">
        <v>2</v>
      </c>
      <c r="F9">
        <v>2011</v>
      </c>
      <c r="I9">
        <v>1</v>
      </c>
      <c r="J9" t="str">
        <f t="shared" si="0"/>
        <v>No Event</v>
      </c>
      <c r="K9" t="str">
        <f t="shared" si="1"/>
        <v>No Event Type</v>
      </c>
    </row>
    <row r="10" spans="1:11" x14ac:dyDescent="0.2">
      <c r="A10" t="s">
        <v>10</v>
      </c>
      <c r="B10" s="1">
        <v>40580</v>
      </c>
      <c r="C10" t="s">
        <v>384</v>
      </c>
      <c r="D10">
        <v>2</v>
      </c>
      <c r="E10">
        <v>2</v>
      </c>
      <c r="F10">
        <v>2011</v>
      </c>
      <c r="G10" t="s">
        <v>390</v>
      </c>
      <c r="H10" t="s">
        <v>391</v>
      </c>
      <c r="I10">
        <v>1</v>
      </c>
      <c r="J10" t="str">
        <f t="shared" si="0"/>
        <v>SuperBowl</v>
      </c>
      <c r="K10" t="str">
        <f t="shared" si="1"/>
        <v>Sporting</v>
      </c>
    </row>
    <row r="11" spans="1:11" x14ac:dyDescent="0.2">
      <c r="A11" t="s">
        <v>11</v>
      </c>
      <c r="B11" s="1">
        <v>40581</v>
      </c>
      <c r="C11" t="s">
        <v>385</v>
      </c>
      <c r="D11">
        <v>3</v>
      </c>
      <c r="E11">
        <v>2</v>
      </c>
      <c r="F11">
        <v>2011</v>
      </c>
      <c r="I11">
        <v>1</v>
      </c>
      <c r="J11" t="str">
        <f t="shared" si="0"/>
        <v>No Event</v>
      </c>
      <c r="K11" t="str">
        <f t="shared" si="1"/>
        <v>No Event Type</v>
      </c>
    </row>
    <row r="12" spans="1:11" x14ac:dyDescent="0.2">
      <c r="A12" t="s">
        <v>12</v>
      </c>
      <c r="B12" s="1">
        <v>40582</v>
      </c>
      <c r="C12" t="s">
        <v>386</v>
      </c>
      <c r="D12">
        <v>4</v>
      </c>
      <c r="E12">
        <v>2</v>
      </c>
      <c r="F12">
        <v>2011</v>
      </c>
      <c r="I12">
        <v>1</v>
      </c>
      <c r="J12" t="str">
        <f t="shared" si="0"/>
        <v>No Event</v>
      </c>
      <c r="K12" t="str">
        <f t="shared" si="1"/>
        <v>No Event Type</v>
      </c>
    </row>
    <row r="13" spans="1:11" x14ac:dyDescent="0.2">
      <c r="A13" t="s">
        <v>13</v>
      </c>
      <c r="B13" s="1">
        <v>40583</v>
      </c>
      <c r="C13" t="s">
        <v>387</v>
      </c>
      <c r="D13">
        <v>5</v>
      </c>
      <c r="E13">
        <v>2</v>
      </c>
      <c r="F13">
        <v>2011</v>
      </c>
      <c r="I13">
        <v>1</v>
      </c>
      <c r="J13" t="str">
        <f t="shared" si="0"/>
        <v>No Event</v>
      </c>
      <c r="K13" t="str">
        <f t="shared" si="1"/>
        <v>No Event Type</v>
      </c>
    </row>
    <row r="14" spans="1:11" x14ac:dyDescent="0.2">
      <c r="A14" t="s">
        <v>14</v>
      </c>
      <c r="B14" s="1">
        <v>40584</v>
      </c>
      <c r="C14" t="s">
        <v>388</v>
      </c>
      <c r="D14">
        <v>6</v>
      </c>
      <c r="E14">
        <v>2</v>
      </c>
      <c r="F14">
        <v>2011</v>
      </c>
      <c r="I14">
        <v>1</v>
      </c>
      <c r="J14" t="str">
        <f t="shared" si="0"/>
        <v>No Event</v>
      </c>
      <c r="K14" t="str">
        <f t="shared" si="1"/>
        <v>No Event Type</v>
      </c>
    </row>
    <row r="15" spans="1:11" x14ac:dyDescent="0.2">
      <c r="A15" t="s">
        <v>15</v>
      </c>
      <c r="B15" s="1">
        <v>40585</v>
      </c>
      <c r="C15" t="s">
        <v>389</v>
      </c>
      <c r="D15">
        <v>7</v>
      </c>
      <c r="E15">
        <v>2</v>
      </c>
      <c r="F15">
        <v>2011</v>
      </c>
      <c r="I15">
        <v>0</v>
      </c>
      <c r="J15" t="str">
        <f t="shared" si="0"/>
        <v>No Event</v>
      </c>
      <c r="K15" t="str">
        <f t="shared" si="1"/>
        <v>No Event Type</v>
      </c>
    </row>
    <row r="16" spans="1:11" x14ac:dyDescent="0.2">
      <c r="A16" t="s">
        <v>16</v>
      </c>
      <c r="B16" s="1">
        <v>40586</v>
      </c>
      <c r="C16" t="s">
        <v>383</v>
      </c>
      <c r="D16">
        <v>1</v>
      </c>
      <c r="E16">
        <v>2</v>
      </c>
      <c r="F16">
        <v>2011</v>
      </c>
      <c r="I16">
        <v>0</v>
      </c>
      <c r="J16" t="str">
        <f t="shared" si="0"/>
        <v>No Event</v>
      </c>
      <c r="K16" t="str">
        <f t="shared" si="1"/>
        <v>No Event Type</v>
      </c>
    </row>
    <row r="17" spans="1:11" x14ac:dyDescent="0.2">
      <c r="A17" t="s">
        <v>17</v>
      </c>
      <c r="B17" s="1">
        <v>40587</v>
      </c>
      <c r="C17" t="s">
        <v>384</v>
      </c>
      <c r="D17">
        <v>2</v>
      </c>
      <c r="E17">
        <v>2</v>
      </c>
      <c r="F17">
        <v>2011</v>
      </c>
      <c r="I17">
        <v>0</v>
      </c>
      <c r="J17" t="str">
        <f t="shared" si="0"/>
        <v>No Event</v>
      </c>
      <c r="K17" t="str">
        <f t="shared" si="1"/>
        <v>No Event Type</v>
      </c>
    </row>
    <row r="18" spans="1:11" x14ac:dyDescent="0.2">
      <c r="A18" t="s">
        <v>18</v>
      </c>
      <c r="B18" s="1">
        <v>40588</v>
      </c>
      <c r="C18" t="s">
        <v>385</v>
      </c>
      <c r="D18">
        <v>3</v>
      </c>
      <c r="E18">
        <v>2</v>
      </c>
      <c r="F18">
        <v>2011</v>
      </c>
      <c r="G18" t="s">
        <v>392</v>
      </c>
      <c r="H18" t="s">
        <v>393</v>
      </c>
      <c r="I18">
        <v>0</v>
      </c>
      <c r="J18" t="str">
        <f t="shared" si="0"/>
        <v>ValentinesDay</v>
      </c>
      <c r="K18" t="str">
        <f t="shared" si="1"/>
        <v>Cultural</v>
      </c>
    </row>
    <row r="19" spans="1:11" x14ac:dyDescent="0.2">
      <c r="A19" t="s">
        <v>19</v>
      </c>
      <c r="B19" s="1">
        <v>40589</v>
      </c>
      <c r="C19" t="s">
        <v>386</v>
      </c>
      <c r="D19">
        <v>4</v>
      </c>
      <c r="E19">
        <v>2</v>
      </c>
      <c r="F19">
        <v>2011</v>
      </c>
      <c r="I19">
        <v>0</v>
      </c>
      <c r="J19" t="str">
        <f t="shared" si="0"/>
        <v>No Event</v>
      </c>
      <c r="K19" t="str">
        <f t="shared" si="1"/>
        <v>No Event Type</v>
      </c>
    </row>
    <row r="20" spans="1:11" x14ac:dyDescent="0.2">
      <c r="A20" t="s">
        <v>20</v>
      </c>
      <c r="B20" s="1">
        <v>40590</v>
      </c>
      <c r="C20" t="s">
        <v>387</v>
      </c>
      <c r="D20">
        <v>5</v>
      </c>
      <c r="E20">
        <v>2</v>
      </c>
      <c r="F20">
        <v>2011</v>
      </c>
      <c r="I20">
        <v>0</v>
      </c>
      <c r="J20" t="str">
        <f t="shared" si="0"/>
        <v>No Event</v>
      </c>
      <c r="K20" t="str">
        <f t="shared" si="1"/>
        <v>No Event Type</v>
      </c>
    </row>
    <row r="21" spans="1:11" x14ac:dyDescent="0.2">
      <c r="A21" t="s">
        <v>21</v>
      </c>
      <c r="B21" s="1">
        <v>40591</v>
      </c>
      <c r="C21" t="s">
        <v>388</v>
      </c>
      <c r="D21">
        <v>6</v>
      </c>
      <c r="E21">
        <v>2</v>
      </c>
      <c r="F21">
        <v>2011</v>
      </c>
      <c r="I21">
        <v>0</v>
      </c>
      <c r="J21" t="str">
        <f t="shared" si="0"/>
        <v>No Event</v>
      </c>
      <c r="K21" t="str">
        <f t="shared" si="1"/>
        <v>No Event Type</v>
      </c>
    </row>
    <row r="22" spans="1:11" x14ac:dyDescent="0.2">
      <c r="A22" t="s">
        <v>22</v>
      </c>
      <c r="B22" s="1">
        <v>40592</v>
      </c>
      <c r="C22" t="s">
        <v>389</v>
      </c>
      <c r="D22">
        <v>7</v>
      </c>
      <c r="E22">
        <v>2</v>
      </c>
      <c r="F22">
        <v>2011</v>
      </c>
      <c r="I22">
        <v>0</v>
      </c>
      <c r="J22" t="str">
        <f t="shared" si="0"/>
        <v>No Event</v>
      </c>
      <c r="K22" t="str">
        <f t="shared" si="1"/>
        <v>No Event Type</v>
      </c>
    </row>
    <row r="23" spans="1:11" x14ac:dyDescent="0.2">
      <c r="A23" t="s">
        <v>23</v>
      </c>
      <c r="B23" s="1">
        <v>40593</v>
      </c>
      <c r="C23" t="s">
        <v>383</v>
      </c>
      <c r="D23">
        <v>1</v>
      </c>
      <c r="E23">
        <v>2</v>
      </c>
      <c r="F23">
        <v>2011</v>
      </c>
      <c r="I23">
        <v>0</v>
      </c>
      <c r="J23" t="str">
        <f t="shared" si="0"/>
        <v>No Event</v>
      </c>
      <c r="K23" t="str">
        <f t="shared" si="1"/>
        <v>No Event Type</v>
      </c>
    </row>
    <row r="24" spans="1:11" x14ac:dyDescent="0.2">
      <c r="A24" t="s">
        <v>24</v>
      </c>
      <c r="B24" s="1">
        <v>40594</v>
      </c>
      <c r="C24" t="s">
        <v>384</v>
      </c>
      <c r="D24">
        <v>2</v>
      </c>
      <c r="E24">
        <v>2</v>
      </c>
      <c r="F24">
        <v>2011</v>
      </c>
      <c r="I24">
        <v>0</v>
      </c>
      <c r="J24" t="str">
        <f t="shared" si="0"/>
        <v>No Event</v>
      </c>
      <c r="K24" t="str">
        <f t="shared" si="1"/>
        <v>No Event Type</v>
      </c>
    </row>
    <row r="25" spans="1:11" x14ac:dyDescent="0.2">
      <c r="A25" t="s">
        <v>25</v>
      </c>
      <c r="B25" s="1">
        <v>40595</v>
      </c>
      <c r="C25" t="s">
        <v>385</v>
      </c>
      <c r="D25">
        <v>3</v>
      </c>
      <c r="E25">
        <v>2</v>
      </c>
      <c r="F25">
        <v>2011</v>
      </c>
      <c r="G25" t="s">
        <v>394</v>
      </c>
      <c r="H25" t="s">
        <v>395</v>
      </c>
      <c r="I25">
        <v>0</v>
      </c>
      <c r="J25" t="str">
        <f t="shared" si="0"/>
        <v>PresidentsDay</v>
      </c>
      <c r="K25" t="str">
        <f t="shared" si="1"/>
        <v>National</v>
      </c>
    </row>
    <row r="26" spans="1:11" x14ac:dyDescent="0.2">
      <c r="A26" t="s">
        <v>26</v>
      </c>
      <c r="B26" s="1">
        <v>40596</v>
      </c>
      <c r="C26" t="s">
        <v>386</v>
      </c>
      <c r="D26">
        <v>4</v>
      </c>
      <c r="E26">
        <v>2</v>
      </c>
      <c r="F26">
        <v>2011</v>
      </c>
      <c r="I26">
        <v>0</v>
      </c>
      <c r="J26" t="str">
        <f t="shared" si="0"/>
        <v>No Event</v>
      </c>
      <c r="K26" t="str">
        <f t="shared" si="1"/>
        <v>No Event Type</v>
      </c>
    </row>
    <row r="27" spans="1:11" x14ac:dyDescent="0.2">
      <c r="A27" t="s">
        <v>27</v>
      </c>
      <c r="B27" s="1">
        <v>40597</v>
      </c>
      <c r="C27" t="s">
        <v>387</v>
      </c>
      <c r="D27">
        <v>5</v>
      </c>
      <c r="E27">
        <v>2</v>
      </c>
      <c r="F27">
        <v>2011</v>
      </c>
      <c r="I27">
        <v>0</v>
      </c>
      <c r="J27" t="str">
        <f t="shared" si="0"/>
        <v>No Event</v>
      </c>
      <c r="K27" t="str">
        <f t="shared" si="1"/>
        <v>No Event Type</v>
      </c>
    </row>
    <row r="28" spans="1:11" x14ac:dyDescent="0.2">
      <c r="A28" t="s">
        <v>28</v>
      </c>
      <c r="B28" s="1">
        <v>40598</v>
      </c>
      <c r="C28" t="s">
        <v>388</v>
      </c>
      <c r="D28">
        <v>6</v>
      </c>
      <c r="E28">
        <v>2</v>
      </c>
      <c r="F28">
        <v>2011</v>
      </c>
      <c r="I28">
        <v>0</v>
      </c>
      <c r="J28" t="str">
        <f t="shared" si="0"/>
        <v>No Event</v>
      </c>
      <c r="K28" t="str">
        <f t="shared" si="1"/>
        <v>No Event Type</v>
      </c>
    </row>
    <row r="29" spans="1:11" x14ac:dyDescent="0.2">
      <c r="A29" t="s">
        <v>29</v>
      </c>
      <c r="B29" s="1">
        <v>40599</v>
      </c>
      <c r="C29" t="s">
        <v>389</v>
      </c>
      <c r="D29">
        <v>7</v>
      </c>
      <c r="E29">
        <v>2</v>
      </c>
      <c r="F29">
        <v>2011</v>
      </c>
      <c r="I29">
        <v>0</v>
      </c>
      <c r="J29" t="str">
        <f t="shared" si="0"/>
        <v>No Event</v>
      </c>
      <c r="K29" t="str">
        <f t="shared" si="1"/>
        <v>No Event Type</v>
      </c>
    </row>
    <row r="30" spans="1:11" x14ac:dyDescent="0.2">
      <c r="A30" t="s">
        <v>30</v>
      </c>
      <c r="B30" s="1">
        <v>40600</v>
      </c>
      <c r="C30" t="s">
        <v>383</v>
      </c>
      <c r="D30">
        <v>1</v>
      </c>
      <c r="E30">
        <v>2</v>
      </c>
      <c r="F30">
        <v>2011</v>
      </c>
      <c r="I30">
        <v>0</v>
      </c>
      <c r="J30" t="str">
        <f t="shared" si="0"/>
        <v>No Event</v>
      </c>
      <c r="K30" t="str">
        <f t="shared" si="1"/>
        <v>No Event Type</v>
      </c>
    </row>
    <row r="31" spans="1:11" x14ac:dyDescent="0.2">
      <c r="A31" t="s">
        <v>31</v>
      </c>
      <c r="B31" s="1">
        <v>40601</v>
      </c>
      <c r="C31" t="s">
        <v>384</v>
      </c>
      <c r="D31">
        <v>2</v>
      </c>
      <c r="E31">
        <v>2</v>
      </c>
      <c r="F31">
        <v>2011</v>
      </c>
      <c r="I31">
        <v>0</v>
      </c>
      <c r="J31" t="str">
        <f t="shared" si="0"/>
        <v>No Event</v>
      </c>
      <c r="K31" t="str">
        <f t="shared" si="1"/>
        <v>No Event Type</v>
      </c>
    </row>
    <row r="32" spans="1:11" x14ac:dyDescent="0.2">
      <c r="A32" t="s">
        <v>32</v>
      </c>
      <c r="B32" s="1">
        <v>40602</v>
      </c>
      <c r="C32" t="s">
        <v>385</v>
      </c>
      <c r="D32">
        <v>3</v>
      </c>
      <c r="E32">
        <v>2</v>
      </c>
      <c r="F32">
        <v>2011</v>
      </c>
      <c r="I32">
        <v>0</v>
      </c>
      <c r="J32" t="str">
        <f t="shared" si="0"/>
        <v>No Event</v>
      </c>
      <c r="K32" t="str">
        <f t="shared" si="1"/>
        <v>No Event Type</v>
      </c>
    </row>
    <row r="33" spans="1:11" x14ac:dyDescent="0.2">
      <c r="A33" t="s">
        <v>33</v>
      </c>
      <c r="B33" s="1">
        <v>40603</v>
      </c>
      <c r="C33" t="s">
        <v>386</v>
      </c>
      <c r="D33">
        <v>4</v>
      </c>
      <c r="E33">
        <v>3</v>
      </c>
      <c r="F33">
        <v>2011</v>
      </c>
      <c r="I33">
        <v>1</v>
      </c>
      <c r="J33" t="str">
        <f t="shared" si="0"/>
        <v>No Event</v>
      </c>
      <c r="K33" t="str">
        <f t="shared" si="1"/>
        <v>No Event Type</v>
      </c>
    </row>
    <row r="34" spans="1:11" x14ac:dyDescent="0.2">
      <c r="A34" t="s">
        <v>34</v>
      </c>
      <c r="B34" s="1">
        <v>40604</v>
      </c>
      <c r="C34" t="s">
        <v>387</v>
      </c>
      <c r="D34">
        <v>5</v>
      </c>
      <c r="E34">
        <v>3</v>
      </c>
      <c r="F34">
        <v>2011</v>
      </c>
      <c r="I34">
        <v>1</v>
      </c>
      <c r="J34" t="str">
        <f t="shared" si="0"/>
        <v>No Event</v>
      </c>
      <c r="K34" t="str">
        <f t="shared" si="1"/>
        <v>No Event Type</v>
      </c>
    </row>
    <row r="35" spans="1:11" x14ac:dyDescent="0.2">
      <c r="A35" t="s">
        <v>35</v>
      </c>
      <c r="B35" s="1">
        <v>40605</v>
      </c>
      <c r="C35" t="s">
        <v>388</v>
      </c>
      <c r="D35">
        <v>6</v>
      </c>
      <c r="E35">
        <v>3</v>
      </c>
      <c r="F35">
        <v>2011</v>
      </c>
      <c r="I35">
        <v>1</v>
      </c>
      <c r="J35" t="str">
        <f t="shared" si="0"/>
        <v>No Event</v>
      </c>
      <c r="K35" t="str">
        <f t="shared" si="1"/>
        <v>No Event Type</v>
      </c>
    </row>
    <row r="36" spans="1:11" x14ac:dyDescent="0.2">
      <c r="A36" t="s">
        <v>36</v>
      </c>
      <c r="B36" s="1">
        <v>40606</v>
      </c>
      <c r="C36" t="s">
        <v>389</v>
      </c>
      <c r="D36">
        <v>7</v>
      </c>
      <c r="E36">
        <v>3</v>
      </c>
      <c r="F36">
        <v>2011</v>
      </c>
      <c r="I36">
        <v>1</v>
      </c>
      <c r="J36" t="str">
        <f t="shared" si="0"/>
        <v>No Event</v>
      </c>
      <c r="K36" t="str">
        <f t="shared" si="1"/>
        <v>No Event Type</v>
      </c>
    </row>
    <row r="37" spans="1:11" x14ac:dyDescent="0.2">
      <c r="A37" t="s">
        <v>37</v>
      </c>
      <c r="B37" s="1">
        <v>40607</v>
      </c>
      <c r="C37" t="s">
        <v>383</v>
      </c>
      <c r="D37">
        <v>1</v>
      </c>
      <c r="E37">
        <v>3</v>
      </c>
      <c r="F37">
        <v>2011</v>
      </c>
      <c r="I37">
        <v>1</v>
      </c>
      <c r="J37" t="str">
        <f t="shared" si="0"/>
        <v>No Event</v>
      </c>
      <c r="K37" t="str">
        <f t="shared" si="1"/>
        <v>No Event Type</v>
      </c>
    </row>
    <row r="38" spans="1:11" x14ac:dyDescent="0.2">
      <c r="A38" t="s">
        <v>38</v>
      </c>
      <c r="B38" s="1">
        <v>40608</v>
      </c>
      <c r="C38" t="s">
        <v>384</v>
      </c>
      <c r="D38">
        <v>2</v>
      </c>
      <c r="E38">
        <v>3</v>
      </c>
      <c r="F38">
        <v>2011</v>
      </c>
      <c r="I38">
        <v>1</v>
      </c>
      <c r="J38" t="str">
        <f t="shared" si="0"/>
        <v>No Event</v>
      </c>
      <c r="K38" t="str">
        <f t="shared" si="1"/>
        <v>No Event Type</v>
      </c>
    </row>
    <row r="39" spans="1:11" x14ac:dyDescent="0.2">
      <c r="A39" t="s">
        <v>39</v>
      </c>
      <c r="B39" s="1">
        <v>40609</v>
      </c>
      <c r="C39" t="s">
        <v>385</v>
      </c>
      <c r="D39">
        <v>3</v>
      </c>
      <c r="E39">
        <v>3</v>
      </c>
      <c r="F39">
        <v>2011</v>
      </c>
      <c r="I39">
        <v>1</v>
      </c>
      <c r="J39" t="str">
        <f t="shared" si="0"/>
        <v>No Event</v>
      </c>
      <c r="K39" t="str">
        <f t="shared" si="1"/>
        <v>No Event Type</v>
      </c>
    </row>
    <row r="40" spans="1:11" x14ac:dyDescent="0.2">
      <c r="A40" t="s">
        <v>40</v>
      </c>
      <c r="B40" s="1">
        <v>40610</v>
      </c>
      <c r="C40" t="s">
        <v>386</v>
      </c>
      <c r="D40">
        <v>4</v>
      </c>
      <c r="E40">
        <v>3</v>
      </c>
      <c r="F40">
        <v>2011</v>
      </c>
      <c r="I40">
        <v>1</v>
      </c>
      <c r="J40" t="str">
        <f t="shared" si="0"/>
        <v>No Event</v>
      </c>
      <c r="K40" t="str">
        <f t="shared" si="1"/>
        <v>No Event Type</v>
      </c>
    </row>
    <row r="41" spans="1:11" x14ac:dyDescent="0.2">
      <c r="A41" t="s">
        <v>41</v>
      </c>
      <c r="B41" s="1">
        <v>40611</v>
      </c>
      <c r="C41" t="s">
        <v>387</v>
      </c>
      <c r="D41">
        <v>5</v>
      </c>
      <c r="E41">
        <v>3</v>
      </c>
      <c r="F41">
        <v>2011</v>
      </c>
      <c r="G41" t="s">
        <v>396</v>
      </c>
      <c r="H41" t="s">
        <v>397</v>
      </c>
      <c r="I41">
        <v>1</v>
      </c>
      <c r="J41" t="str">
        <f t="shared" si="0"/>
        <v>LentStart</v>
      </c>
      <c r="K41" t="str">
        <f t="shared" si="1"/>
        <v>Religious</v>
      </c>
    </row>
    <row r="42" spans="1:11" x14ac:dyDescent="0.2">
      <c r="A42" t="s">
        <v>42</v>
      </c>
      <c r="B42" s="1">
        <v>40612</v>
      </c>
      <c r="C42" t="s">
        <v>388</v>
      </c>
      <c r="D42">
        <v>6</v>
      </c>
      <c r="E42">
        <v>3</v>
      </c>
      <c r="F42">
        <v>2011</v>
      </c>
      <c r="I42">
        <v>1</v>
      </c>
      <c r="J42" t="str">
        <f t="shared" si="0"/>
        <v>No Event</v>
      </c>
      <c r="K42" t="str">
        <f t="shared" si="1"/>
        <v>No Event Type</v>
      </c>
    </row>
    <row r="43" spans="1:11" x14ac:dyDescent="0.2">
      <c r="A43" t="s">
        <v>43</v>
      </c>
      <c r="B43" s="1">
        <v>40613</v>
      </c>
      <c r="C43" t="s">
        <v>389</v>
      </c>
      <c r="D43">
        <v>7</v>
      </c>
      <c r="E43">
        <v>3</v>
      </c>
      <c r="F43">
        <v>2011</v>
      </c>
      <c r="I43">
        <v>0</v>
      </c>
      <c r="J43" t="str">
        <f t="shared" si="0"/>
        <v>No Event</v>
      </c>
      <c r="K43" t="str">
        <f t="shared" si="1"/>
        <v>No Event Type</v>
      </c>
    </row>
    <row r="44" spans="1:11" x14ac:dyDescent="0.2">
      <c r="A44" t="s">
        <v>44</v>
      </c>
      <c r="B44" s="1">
        <v>40614</v>
      </c>
      <c r="C44" t="s">
        <v>383</v>
      </c>
      <c r="D44">
        <v>1</v>
      </c>
      <c r="E44">
        <v>3</v>
      </c>
      <c r="F44">
        <v>2011</v>
      </c>
      <c r="I44">
        <v>0</v>
      </c>
      <c r="J44" t="str">
        <f t="shared" si="0"/>
        <v>No Event</v>
      </c>
      <c r="K44" t="str">
        <f t="shared" si="1"/>
        <v>No Event Type</v>
      </c>
    </row>
    <row r="45" spans="1:11" x14ac:dyDescent="0.2">
      <c r="A45" t="s">
        <v>45</v>
      </c>
      <c r="B45" s="1">
        <v>40615</v>
      </c>
      <c r="C45" t="s">
        <v>384</v>
      </c>
      <c r="D45">
        <v>2</v>
      </c>
      <c r="E45">
        <v>3</v>
      </c>
      <c r="F45">
        <v>2011</v>
      </c>
      <c r="I45">
        <v>0</v>
      </c>
      <c r="J45" t="str">
        <f t="shared" si="0"/>
        <v>No Event</v>
      </c>
      <c r="K45" t="str">
        <f t="shared" si="1"/>
        <v>No Event Type</v>
      </c>
    </row>
    <row r="46" spans="1:11" x14ac:dyDescent="0.2">
      <c r="A46" t="s">
        <v>46</v>
      </c>
      <c r="B46" s="1">
        <v>40616</v>
      </c>
      <c r="C46" t="s">
        <v>385</v>
      </c>
      <c r="D46">
        <v>3</v>
      </c>
      <c r="E46">
        <v>3</v>
      </c>
      <c r="F46">
        <v>2011</v>
      </c>
      <c r="I46">
        <v>0</v>
      </c>
      <c r="J46" t="str">
        <f t="shared" si="0"/>
        <v>No Event</v>
      </c>
      <c r="K46" t="str">
        <f t="shared" si="1"/>
        <v>No Event Type</v>
      </c>
    </row>
    <row r="47" spans="1:11" x14ac:dyDescent="0.2">
      <c r="A47" t="s">
        <v>47</v>
      </c>
      <c r="B47" s="1">
        <v>40617</v>
      </c>
      <c r="C47" t="s">
        <v>386</v>
      </c>
      <c r="D47">
        <v>4</v>
      </c>
      <c r="E47">
        <v>3</v>
      </c>
      <c r="F47">
        <v>2011</v>
      </c>
      <c r="I47">
        <v>0</v>
      </c>
      <c r="J47" t="str">
        <f t="shared" si="0"/>
        <v>No Event</v>
      </c>
      <c r="K47" t="str">
        <f t="shared" si="1"/>
        <v>No Event Type</v>
      </c>
    </row>
    <row r="48" spans="1:11" x14ac:dyDescent="0.2">
      <c r="A48" t="s">
        <v>48</v>
      </c>
      <c r="B48" s="1">
        <v>40618</v>
      </c>
      <c r="C48" t="s">
        <v>387</v>
      </c>
      <c r="D48">
        <v>5</v>
      </c>
      <c r="E48">
        <v>3</v>
      </c>
      <c r="F48">
        <v>2011</v>
      </c>
      <c r="G48" t="s">
        <v>398</v>
      </c>
      <c r="H48" t="s">
        <v>397</v>
      </c>
      <c r="I48">
        <v>0</v>
      </c>
      <c r="J48" t="str">
        <f t="shared" si="0"/>
        <v>LentWeek2</v>
      </c>
      <c r="K48" t="str">
        <f t="shared" si="1"/>
        <v>Religious</v>
      </c>
    </row>
    <row r="49" spans="1:11" x14ac:dyDescent="0.2">
      <c r="A49" t="s">
        <v>49</v>
      </c>
      <c r="B49" s="1">
        <v>40619</v>
      </c>
      <c r="C49" t="s">
        <v>388</v>
      </c>
      <c r="D49">
        <v>6</v>
      </c>
      <c r="E49">
        <v>3</v>
      </c>
      <c r="F49">
        <v>2011</v>
      </c>
      <c r="G49" t="s">
        <v>399</v>
      </c>
      <c r="H49" t="s">
        <v>393</v>
      </c>
      <c r="I49">
        <v>0</v>
      </c>
      <c r="J49" t="str">
        <f t="shared" si="0"/>
        <v>StPatricksDay</v>
      </c>
      <c r="K49" t="str">
        <f t="shared" si="1"/>
        <v>Cultural</v>
      </c>
    </row>
    <row r="50" spans="1:11" x14ac:dyDescent="0.2">
      <c r="A50" t="s">
        <v>50</v>
      </c>
      <c r="B50" s="1">
        <v>40620</v>
      </c>
      <c r="C50" t="s">
        <v>389</v>
      </c>
      <c r="D50">
        <v>7</v>
      </c>
      <c r="E50">
        <v>3</v>
      </c>
      <c r="F50">
        <v>2011</v>
      </c>
      <c r="I50">
        <v>0</v>
      </c>
      <c r="J50" t="str">
        <f t="shared" si="0"/>
        <v>No Event</v>
      </c>
      <c r="K50" t="str">
        <f t="shared" si="1"/>
        <v>No Event Type</v>
      </c>
    </row>
    <row r="51" spans="1:11" x14ac:dyDescent="0.2">
      <c r="A51" t="s">
        <v>51</v>
      </c>
      <c r="B51" s="1">
        <v>40621</v>
      </c>
      <c r="C51" t="s">
        <v>383</v>
      </c>
      <c r="D51">
        <v>1</v>
      </c>
      <c r="E51">
        <v>3</v>
      </c>
      <c r="F51">
        <v>2011</v>
      </c>
      <c r="I51">
        <v>0</v>
      </c>
      <c r="J51" t="str">
        <f t="shared" si="0"/>
        <v>No Event</v>
      </c>
      <c r="K51" t="str">
        <f t="shared" si="1"/>
        <v>No Event Type</v>
      </c>
    </row>
    <row r="52" spans="1:11" x14ac:dyDescent="0.2">
      <c r="A52" t="s">
        <v>52</v>
      </c>
      <c r="B52" s="1">
        <v>40622</v>
      </c>
      <c r="C52" t="s">
        <v>384</v>
      </c>
      <c r="D52">
        <v>2</v>
      </c>
      <c r="E52">
        <v>3</v>
      </c>
      <c r="F52">
        <v>2011</v>
      </c>
      <c r="G52" t="s">
        <v>400</v>
      </c>
      <c r="H52" t="s">
        <v>397</v>
      </c>
      <c r="I52">
        <v>0</v>
      </c>
      <c r="J52" t="str">
        <f t="shared" si="0"/>
        <v>Purim End</v>
      </c>
      <c r="K52" t="str">
        <f t="shared" si="1"/>
        <v>Religious</v>
      </c>
    </row>
    <row r="53" spans="1:11" x14ac:dyDescent="0.2">
      <c r="A53" t="s">
        <v>53</v>
      </c>
      <c r="B53" s="1">
        <v>40623</v>
      </c>
      <c r="C53" t="s">
        <v>385</v>
      </c>
      <c r="D53">
        <v>3</v>
      </c>
      <c r="E53">
        <v>3</v>
      </c>
      <c r="F53">
        <v>2011</v>
      </c>
      <c r="I53">
        <v>0</v>
      </c>
      <c r="J53" t="str">
        <f t="shared" si="0"/>
        <v>No Event</v>
      </c>
      <c r="K53" t="str">
        <f t="shared" si="1"/>
        <v>No Event Type</v>
      </c>
    </row>
    <row r="54" spans="1:11" x14ac:dyDescent="0.2">
      <c r="A54" t="s">
        <v>54</v>
      </c>
      <c r="B54" s="1">
        <v>40624</v>
      </c>
      <c r="C54" t="s">
        <v>386</v>
      </c>
      <c r="D54">
        <v>4</v>
      </c>
      <c r="E54">
        <v>3</v>
      </c>
      <c r="F54">
        <v>2011</v>
      </c>
      <c r="I54">
        <v>0</v>
      </c>
      <c r="J54" t="str">
        <f t="shared" si="0"/>
        <v>No Event</v>
      </c>
      <c r="K54" t="str">
        <f t="shared" si="1"/>
        <v>No Event Type</v>
      </c>
    </row>
    <row r="55" spans="1:11" x14ac:dyDescent="0.2">
      <c r="A55" t="s">
        <v>55</v>
      </c>
      <c r="B55" s="1">
        <v>40625</v>
      </c>
      <c r="C55" t="s">
        <v>387</v>
      </c>
      <c r="D55">
        <v>5</v>
      </c>
      <c r="E55">
        <v>3</v>
      </c>
      <c r="F55">
        <v>2011</v>
      </c>
      <c r="I55">
        <v>0</v>
      </c>
      <c r="J55" t="str">
        <f t="shared" si="0"/>
        <v>No Event</v>
      </c>
      <c r="K55" t="str">
        <f t="shared" si="1"/>
        <v>No Event Type</v>
      </c>
    </row>
    <row r="56" spans="1:11" x14ac:dyDescent="0.2">
      <c r="A56" t="s">
        <v>56</v>
      </c>
      <c r="B56" s="1">
        <v>40626</v>
      </c>
      <c r="C56" t="s">
        <v>388</v>
      </c>
      <c r="D56">
        <v>6</v>
      </c>
      <c r="E56">
        <v>3</v>
      </c>
      <c r="F56">
        <v>2011</v>
      </c>
      <c r="I56">
        <v>0</v>
      </c>
      <c r="J56" t="str">
        <f t="shared" si="0"/>
        <v>No Event</v>
      </c>
      <c r="K56" t="str">
        <f t="shared" si="1"/>
        <v>No Event Type</v>
      </c>
    </row>
    <row r="57" spans="1:11" x14ac:dyDescent="0.2">
      <c r="A57" t="s">
        <v>57</v>
      </c>
      <c r="B57" s="1">
        <v>40627</v>
      </c>
      <c r="C57" t="s">
        <v>389</v>
      </c>
      <c r="D57">
        <v>7</v>
      </c>
      <c r="E57">
        <v>3</v>
      </c>
      <c r="F57">
        <v>2011</v>
      </c>
      <c r="I57">
        <v>0</v>
      </c>
      <c r="J57" t="str">
        <f t="shared" si="0"/>
        <v>No Event</v>
      </c>
      <c r="K57" t="str">
        <f t="shared" si="1"/>
        <v>No Event Type</v>
      </c>
    </row>
    <row r="58" spans="1:11" x14ac:dyDescent="0.2">
      <c r="A58" t="s">
        <v>58</v>
      </c>
      <c r="B58" s="1">
        <v>40628</v>
      </c>
      <c r="C58" t="s">
        <v>383</v>
      </c>
      <c r="D58">
        <v>1</v>
      </c>
      <c r="E58">
        <v>3</v>
      </c>
      <c r="F58">
        <v>2011</v>
      </c>
      <c r="I58">
        <v>0</v>
      </c>
      <c r="J58" t="str">
        <f t="shared" si="0"/>
        <v>No Event</v>
      </c>
      <c r="K58" t="str">
        <f t="shared" si="1"/>
        <v>No Event Type</v>
      </c>
    </row>
    <row r="59" spans="1:11" x14ac:dyDescent="0.2">
      <c r="A59" t="s">
        <v>59</v>
      </c>
      <c r="B59" s="1">
        <v>40629</v>
      </c>
      <c r="C59" t="s">
        <v>384</v>
      </c>
      <c r="D59">
        <v>2</v>
      </c>
      <c r="E59">
        <v>3</v>
      </c>
      <c r="F59">
        <v>2011</v>
      </c>
      <c r="I59">
        <v>0</v>
      </c>
      <c r="J59" t="str">
        <f t="shared" si="0"/>
        <v>No Event</v>
      </c>
      <c r="K59" t="str">
        <f t="shared" si="1"/>
        <v>No Event Type</v>
      </c>
    </row>
    <row r="60" spans="1:11" x14ac:dyDescent="0.2">
      <c r="A60" t="s">
        <v>60</v>
      </c>
      <c r="B60" s="1">
        <v>40630</v>
      </c>
      <c r="C60" t="s">
        <v>385</v>
      </c>
      <c r="D60">
        <v>3</v>
      </c>
      <c r="E60">
        <v>3</v>
      </c>
      <c r="F60">
        <v>2011</v>
      </c>
      <c r="I60">
        <v>0</v>
      </c>
      <c r="J60" t="str">
        <f t="shared" si="0"/>
        <v>No Event</v>
      </c>
      <c r="K60" t="str">
        <f t="shared" si="1"/>
        <v>No Event Type</v>
      </c>
    </row>
    <row r="61" spans="1:11" x14ac:dyDescent="0.2">
      <c r="A61" t="s">
        <v>61</v>
      </c>
      <c r="B61" s="1">
        <v>40631</v>
      </c>
      <c r="C61" t="s">
        <v>386</v>
      </c>
      <c r="D61">
        <v>4</v>
      </c>
      <c r="E61">
        <v>3</v>
      </c>
      <c r="F61">
        <v>2011</v>
      </c>
      <c r="I61">
        <v>0</v>
      </c>
      <c r="J61" t="str">
        <f t="shared" si="0"/>
        <v>No Event</v>
      </c>
      <c r="K61" t="str">
        <f t="shared" si="1"/>
        <v>No Event Type</v>
      </c>
    </row>
    <row r="62" spans="1:11" x14ac:dyDescent="0.2">
      <c r="A62" t="s">
        <v>62</v>
      </c>
      <c r="B62" s="1">
        <v>40632</v>
      </c>
      <c r="C62" t="s">
        <v>387</v>
      </c>
      <c r="D62">
        <v>5</v>
      </c>
      <c r="E62">
        <v>3</v>
      </c>
      <c r="F62">
        <v>2011</v>
      </c>
      <c r="I62">
        <v>0</v>
      </c>
      <c r="J62" t="str">
        <f t="shared" si="0"/>
        <v>No Event</v>
      </c>
      <c r="K62" t="str">
        <f t="shared" si="1"/>
        <v>No Event Type</v>
      </c>
    </row>
    <row r="63" spans="1:11" x14ac:dyDescent="0.2">
      <c r="A63" t="s">
        <v>63</v>
      </c>
      <c r="B63" s="1">
        <v>40633</v>
      </c>
      <c r="C63" t="s">
        <v>388</v>
      </c>
      <c r="D63">
        <v>6</v>
      </c>
      <c r="E63">
        <v>3</v>
      </c>
      <c r="F63">
        <v>2011</v>
      </c>
      <c r="I63">
        <v>0</v>
      </c>
      <c r="J63" t="str">
        <f t="shared" si="0"/>
        <v>No Event</v>
      </c>
      <c r="K63" t="str">
        <f t="shared" si="1"/>
        <v>No Event Type</v>
      </c>
    </row>
    <row r="64" spans="1:11" x14ac:dyDescent="0.2">
      <c r="A64" t="s">
        <v>64</v>
      </c>
      <c r="B64" s="1">
        <v>40634</v>
      </c>
      <c r="C64" t="s">
        <v>389</v>
      </c>
      <c r="D64">
        <v>7</v>
      </c>
      <c r="E64">
        <v>4</v>
      </c>
      <c r="F64">
        <v>2011</v>
      </c>
      <c r="I64">
        <v>1</v>
      </c>
      <c r="J64" t="str">
        <f t="shared" si="0"/>
        <v>No Event</v>
      </c>
      <c r="K64" t="str">
        <f t="shared" si="1"/>
        <v>No Event Type</v>
      </c>
    </row>
    <row r="65" spans="1:11" x14ac:dyDescent="0.2">
      <c r="A65" t="s">
        <v>65</v>
      </c>
      <c r="B65" s="1">
        <v>40635</v>
      </c>
      <c r="C65" t="s">
        <v>383</v>
      </c>
      <c r="D65">
        <v>1</v>
      </c>
      <c r="E65">
        <v>4</v>
      </c>
      <c r="F65">
        <v>2011</v>
      </c>
      <c r="I65">
        <v>1</v>
      </c>
      <c r="J65" t="str">
        <f t="shared" si="0"/>
        <v>No Event</v>
      </c>
      <c r="K65" t="str">
        <f t="shared" si="1"/>
        <v>No Event Type</v>
      </c>
    </row>
    <row r="66" spans="1:11" x14ac:dyDescent="0.2">
      <c r="A66" t="s">
        <v>66</v>
      </c>
      <c r="B66" s="1">
        <v>40636</v>
      </c>
      <c r="C66" t="s">
        <v>384</v>
      </c>
      <c r="D66">
        <v>2</v>
      </c>
      <c r="E66">
        <v>4</v>
      </c>
      <c r="F66">
        <v>2011</v>
      </c>
      <c r="I66">
        <v>1</v>
      </c>
      <c r="J66" t="str">
        <f t="shared" si="0"/>
        <v>No Event</v>
      </c>
      <c r="K66" t="str">
        <f t="shared" si="1"/>
        <v>No Event Type</v>
      </c>
    </row>
    <row r="67" spans="1:11" x14ac:dyDescent="0.2">
      <c r="A67" t="s">
        <v>67</v>
      </c>
      <c r="B67" s="1">
        <v>40637</v>
      </c>
      <c r="C67" t="s">
        <v>385</v>
      </c>
      <c r="D67">
        <v>3</v>
      </c>
      <c r="E67">
        <v>4</v>
      </c>
      <c r="F67">
        <v>2011</v>
      </c>
      <c r="I67">
        <v>1</v>
      </c>
      <c r="J67" t="str">
        <f t="shared" ref="J67:J130" si="2">IF(G67="", "No Event",G67)</f>
        <v>No Event</v>
      </c>
      <c r="K67" t="str">
        <f t="shared" ref="K67:K130" si="3">IF(H67="", "No Event Type",H67)</f>
        <v>No Event Type</v>
      </c>
    </row>
    <row r="68" spans="1:11" x14ac:dyDescent="0.2">
      <c r="A68" t="s">
        <v>68</v>
      </c>
      <c r="B68" s="1">
        <v>40638</v>
      </c>
      <c r="C68" t="s">
        <v>386</v>
      </c>
      <c r="D68">
        <v>4</v>
      </c>
      <c r="E68">
        <v>4</v>
      </c>
      <c r="F68">
        <v>2011</v>
      </c>
      <c r="I68">
        <v>1</v>
      </c>
      <c r="J68" t="str">
        <f t="shared" si="2"/>
        <v>No Event</v>
      </c>
      <c r="K68" t="str">
        <f t="shared" si="3"/>
        <v>No Event Type</v>
      </c>
    </row>
    <row r="69" spans="1:11" x14ac:dyDescent="0.2">
      <c r="A69" t="s">
        <v>69</v>
      </c>
      <c r="B69" s="1">
        <v>40639</v>
      </c>
      <c r="C69" t="s">
        <v>387</v>
      </c>
      <c r="D69">
        <v>5</v>
      </c>
      <c r="E69">
        <v>4</v>
      </c>
      <c r="F69">
        <v>2011</v>
      </c>
      <c r="I69">
        <v>1</v>
      </c>
      <c r="J69" t="str">
        <f t="shared" si="2"/>
        <v>No Event</v>
      </c>
      <c r="K69" t="str">
        <f t="shared" si="3"/>
        <v>No Event Type</v>
      </c>
    </row>
    <row r="70" spans="1:11" x14ac:dyDescent="0.2">
      <c r="A70" t="s">
        <v>70</v>
      </c>
      <c r="B70" s="1">
        <v>40640</v>
      </c>
      <c r="C70" t="s">
        <v>388</v>
      </c>
      <c r="D70">
        <v>6</v>
      </c>
      <c r="E70">
        <v>4</v>
      </c>
      <c r="F70">
        <v>2011</v>
      </c>
      <c r="I70">
        <v>1</v>
      </c>
      <c r="J70" t="str">
        <f t="shared" si="2"/>
        <v>No Event</v>
      </c>
      <c r="K70" t="str">
        <f t="shared" si="3"/>
        <v>No Event Type</v>
      </c>
    </row>
    <row r="71" spans="1:11" x14ac:dyDescent="0.2">
      <c r="A71" t="s">
        <v>71</v>
      </c>
      <c r="B71" s="1">
        <v>40641</v>
      </c>
      <c r="C71" t="s">
        <v>389</v>
      </c>
      <c r="D71">
        <v>7</v>
      </c>
      <c r="E71">
        <v>4</v>
      </c>
      <c r="F71">
        <v>2011</v>
      </c>
      <c r="I71">
        <v>1</v>
      </c>
      <c r="J71" t="str">
        <f t="shared" si="2"/>
        <v>No Event</v>
      </c>
      <c r="K71" t="str">
        <f t="shared" si="3"/>
        <v>No Event Type</v>
      </c>
    </row>
    <row r="72" spans="1:11" x14ac:dyDescent="0.2">
      <c r="A72" t="s">
        <v>72</v>
      </c>
      <c r="B72" s="1">
        <v>40642</v>
      </c>
      <c r="C72" t="s">
        <v>383</v>
      </c>
      <c r="D72">
        <v>1</v>
      </c>
      <c r="E72">
        <v>4</v>
      </c>
      <c r="F72">
        <v>2011</v>
      </c>
      <c r="I72">
        <v>1</v>
      </c>
      <c r="J72" t="str">
        <f t="shared" si="2"/>
        <v>No Event</v>
      </c>
      <c r="K72" t="str">
        <f t="shared" si="3"/>
        <v>No Event Type</v>
      </c>
    </row>
    <row r="73" spans="1:11" x14ac:dyDescent="0.2">
      <c r="A73" t="s">
        <v>73</v>
      </c>
      <c r="B73" s="1">
        <v>40643</v>
      </c>
      <c r="C73" t="s">
        <v>384</v>
      </c>
      <c r="D73">
        <v>2</v>
      </c>
      <c r="E73">
        <v>4</v>
      </c>
      <c r="F73">
        <v>2011</v>
      </c>
      <c r="I73">
        <v>1</v>
      </c>
      <c r="J73" t="str">
        <f t="shared" si="2"/>
        <v>No Event</v>
      </c>
      <c r="K73" t="str">
        <f t="shared" si="3"/>
        <v>No Event Type</v>
      </c>
    </row>
    <row r="74" spans="1:11" x14ac:dyDescent="0.2">
      <c r="A74" t="s">
        <v>74</v>
      </c>
      <c r="B74" s="1">
        <v>40644</v>
      </c>
      <c r="C74" t="s">
        <v>385</v>
      </c>
      <c r="D74">
        <v>3</v>
      </c>
      <c r="E74">
        <v>4</v>
      </c>
      <c r="F74">
        <v>2011</v>
      </c>
      <c r="I74">
        <v>0</v>
      </c>
      <c r="J74" t="str">
        <f t="shared" si="2"/>
        <v>No Event</v>
      </c>
      <c r="K74" t="str">
        <f t="shared" si="3"/>
        <v>No Event Type</v>
      </c>
    </row>
    <row r="75" spans="1:11" x14ac:dyDescent="0.2">
      <c r="A75" t="s">
        <v>75</v>
      </c>
      <c r="B75" s="1">
        <v>40645</v>
      </c>
      <c r="C75" t="s">
        <v>386</v>
      </c>
      <c r="D75">
        <v>4</v>
      </c>
      <c r="E75">
        <v>4</v>
      </c>
      <c r="F75">
        <v>2011</v>
      </c>
      <c r="I75">
        <v>0</v>
      </c>
      <c r="J75" t="str">
        <f t="shared" si="2"/>
        <v>No Event</v>
      </c>
      <c r="K75" t="str">
        <f t="shared" si="3"/>
        <v>No Event Type</v>
      </c>
    </row>
    <row r="76" spans="1:11" x14ac:dyDescent="0.2">
      <c r="A76" t="s">
        <v>76</v>
      </c>
      <c r="B76" s="1">
        <v>40646</v>
      </c>
      <c r="C76" t="s">
        <v>387</v>
      </c>
      <c r="D76">
        <v>5</v>
      </c>
      <c r="E76">
        <v>4</v>
      </c>
      <c r="F76">
        <v>2011</v>
      </c>
      <c r="I76">
        <v>0</v>
      </c>
      <c r="J76" t="str">
        <f t="shared" si="2"/>
        <v>No Event</v>
      </c>
      <c r="K76" t="str">
        <f t="shared" si="3"/>
        <v>No Event Type</v>
      </c>
    </row>
    <row r="77" spans="1:11" x14ac:dyDescent="0.2">
      <c r="A77" t="s">
        <v>77</v>
      </c>
      <c r="B77" s="1">
        <v>40647</v>
      </c>
      <c r="C77" t="s">
        <v>388</v>
      </c>
      <c r="D77">
        <v>6</v>
      </c>
      <c r="E77">
        <v>4</v>
      </c>
      <c r="F77">
        <v>2011</v>
      </c>
      <c r="I77">
        <v>0</v>
      </c>
      <c r="J77" t="str">
        <f t="shared" si="2"/>
        <v>No Event</v>
      </c>
      <c r="K77" t="str">
        <f t="shared" si="3"/>
        <v>No Event Type</v>
      </c>
    </row>
    <row r="78" spans="1:11" x14ac:dyDescent="0.2">
      <c r="A78" t="s">
        <v>78</v>
      </c>
      <c r="B78" s="1">
        <v>40648</v>
      </c>
      <c r="C78" t="s">
        <v>389</v>
      </c>
      <c r="D78">
        <v>7</v>
      </c>
      <c r="E78">
        <v>4</v>
      </c>
      <c r="F78">
        <v>2011</v>
      </c>
      <c r="I78">
        <v>0</v>
      </c>
      <c r="J78" t="str">
        <f t="shared" si="2"/>
        <v>No Event</v>
      </c>
      <c r="K78" t="str">
        <f t="shared" si="3"/>
        <v>No Event Type</v>
      </c>
    </row>
    <row r="79" spans="1:11" x14ac:dyDescent="0.2">
      <c r="A79" t="s">
        <v>79</v>
      </c>
      <c r="B79" s="1">
        <v>40649</v>
      </c>
      <c r="C79" t="s">
        <v>383</v>
      </c>
      <c r="D79">
        <v>1</v>
      </c>
      <c r="E79">
        <v>4</v>
      </c>
      <c r="F79">
        <v>2011</v>
      </c>
      <c r="I79">
        <v>0</v>
      </c>
      <c r="J79" t="str">
        <f t="shared" si="2"/>
        <v>No Event</v>
      </c>
      <c r="K79" t="str">
        <f t="shared" si="3"/>
        <v>No Event Type</v>
      </c>
    </row>
    <row r="80" spans="1:11" x14ac:dyDescent="0.2">
      <c r="A80" t="s">
        <v>80</v>
      </c>
      <c r="B80" s="1">
        <v>40650</v>
      </c>
      <c r="C80" t="s">
        <v>384</v>
      </c>
      <c r="D80">
        <v>2</v>
      </c>
      <c r="E80">
        <v>4</v>
      </c>
      <c r="F80">
        <v>2011</v>
      </c>
      <c r="I80">
        <v>0</v>
      </c>
      <c r="J80" t="str">
        <f t="shared" si="2"/>
        <v>No Event</v>
      </c>
      <c r="K80" t="str">
        <f t="shared" si="3"/>
        <v>No Event Type</v>
      </c>
    </row>
    <row r="81" spans="1:11" x14ac:dyDescent="0.2">
      <c r="A81" t="s">
        <v>81</v>
      </c>
      <c r="B81" s="1">
        <v>40651</v>
      </c>
      <c r="C81" t="s">
        <v>385</v>
      </c>
      <c r="D81">
        <v>3</v>
      </c>
      <c r="E81">
        <v>4</v>
      </c>
      <c r="F81">
        <v>2011</v>
      </c>
      <c r="I81">
        <v>0</v>
      </c>
      <c r="J81" t="str">
        <f t="shared" si="2"/>
        <v>No Event</v>
      </c>
      <c r="K81" t="str">
        <f t="shared" si="3"/>
        <v>No Event Type</v>
      </c>
    </row>
    <row r="82" spans="1:11" x14ac:dyDescent="0.2">
      <c r="A82" t="s">
        <v>82</v>
      </c>
      <c r="B82" s="1">
        <v>40652</v>
      </c>
      <c r="C82" t="s">
        <v>386</v>
      </c>
      <c r="D82">
        <v>4</v>
      </c>
      <c r="E82">
        <v>4</v>
      </c>
      <c r="F82">
        <v>2011</v>
      </c>
      <c r="I82">
        <v>0</v>
      </c>
      <c r="J82" t="str">
        <f t="shared" si="2"/>
        <v>No Event</v>
      </c>
      <c r="K82" t="str">
        <f t="shared" si="3"/>
        <v>No Event Type</v>
      </c>
    </row>
    <row r="83" spans="1:11" x14ac:dyDescent="0.2">
      <c r="A83" t="s">
        <v>83</v>
      </c>
      <c r="B83" s="1">
        <v>40653</v>
      </c>
      <c r="C83" t="s">
        <v>387</v>
      </c>
      <c r="D83">
        <v>5</v>
      </c>
      <c r="E83">
        <v>4</v>
      </c>
      <c r="F83">
        <v>2011</v>
      </c>
      <c r="I83">
        <v>0</v>
      </c>
      <c r="J83" t="str">
        <f t="shared" si="2"/>
        <v>No Event</v>
      </c>
      <c r="K83" t="str">
        <f t="shared" si="3"/>
        <v>No Event Type</v>
      </c>
    </row>
    <row r="84" spans="1:11" x14ac:dyDescent="0.2">
      <c r="A84" t="s">
        <v>84</v>
      </c>
      <c r="B84" s="1">
        <v>40654</v>
      </c>
      <c r="C84" t="s">
        <v>388</v>
      </c>
      <c r="D84">
        <v>6</v>
      </c>
      <c r="E84">
        <v>4</v>
      </c>
      <c r="F84">
        <v>2011</v>
      </c>
      <c r="I84">
        <v>0</v>
      </c>
      <c r="J84" t="str">
        <f t="shared" si="2"/>
        <v>No Event</v>
      </c>
      <c r="K84" t="str">
        <f t="shared" si="3"/>
        <v>No Event Type</v>
      </c>
    </row>
    <row r="85" spans="1:11" x14ac:dyDescent="0.2">
      <c r="A85" t="s">
        <v>85</v>
      </c>
      <c r="B85" s="1">
        <v>40655</v>
      </c>
      <c r="C85" t="s">
        <v>389</v>
      </c>
      <c r="D85">
        <v>7</v>
      </c>
      <c r="E85">
        <v>4</v>
      </c>
      <c r="F85">
        <v>2011</v>
      </c>
      <c r="I85">
        <v>0</v>
      </c>
      <c r="J85" t="str">
        <f t="shared" si="2"/>
        <v>No Event</v>
      </c>
      <c r="K85" t="str">
        <f t="shared" si="3"/>
        <v>No Event Type</v>
      </c>
    </row>
    <row r="86" spans="1:11" x14ac:dyDescent="0.2">
      <c r="A86" t="s">
        <v>86</v>
      </c>
      <c r="B86" s="1">
        <v>40656</v>
      </c>
      <c r="C86" t="s">
        <v>383</v>
      </c>
      <c r="D86">
        <v>1</v>
      </c>
      <c r="E86">
        <v>4</v>
      </c>
      <c r="F86">
        <v>2011</v>
      </c>
      <c r="I86">
        <v>0</v>
      </c>
      <c r="J86" t="str">
        <f t="shared" si="2"/>
        <v>No Event</v>
      </c>
      <c r="K86" t="str">
        <f t="shared" si="3"/>
        <v>No Event Type</v>
      </c>
    </row>
    <row r="87" spans="1:11" x14ac:dyDescent="0.2">
      <c r="A87" t="s">
        <v>87</v>
      </c>
      <c r="B87" s="1">
        <v>40657</v>
      </c>
      <c r="C87" t="s">
        <v>384</v>
      </c>
      <c r="D87">
        <v>2</v>
      </c>
      <c r="E87">
        <v>4</v>
      </c>
      <c r="F87">
        <v>2011</v>
      </c>
      <c r="G87" t="s">
        <v>401</v>
      </c>
      <c r="H87" t="s">
        <v>397</v>
      </c>
      <c r="I87">
        <v>0</v>
      </c>
      <c r="J87" t="str">
        <f t="shared" si="2"/>
        <v>OrthodoxEaster</v>
      </c>
      <c r="K87" t="str">
        <f t="shared" si="3"/>
        <v>Religious</v>
      </c>
    </row>
    <row r="88" spans="1:11" x14ac:dyDescent="0.2">
      <c r="A88" t="s">
        <v>88</v>
      </c>
      <c r="B88" s="1">
        <v>40658</v>
      </c>
      <c r="C88" t="s">
        <v>385</v>
      </c>
      <c r="D88">
        <v>3</v>
      </c>
      <c r="E88">
        <v>4</v>
      </c>
      <c r="F88">
        <v>2011</v>
      </c>
      <c r="I88">
        <v>0</v>
      </c>
      <c r="J88" t="str">
        <f t="shared" si="2"/>
        <v>No Event</v>
      </c>
      <c r="K88" t="str">
        <f t="shared" si="3"/>
        <v>No Event Type</v>
      </c>
    </row>
    <row r="89" spans="1:11" x14ac:dyDescent="0.2">
      <c r="A89" t="s">
        <v>89</v>
      </c>
      <c r="B89" s="1">
        <v>40659</v>
      </c>
      <c r="C89" t="s">
        <v>386</v>
      </c>
      <c r="D89">
        <v>4</v>
      </c>
      <c r="E89">
        <v>4</v>
      </c>
      <c r="F89">
        <v>2011</v>
      </c>
      <c r="G89" t="s">
        <v>402</v>
      </c>
      <c r="H89" t="s">
        <v>397</v>
      </c>
      <c r="I89">
        <v>0</v>
      </c>
      <c r="J89" t="str">
        <f t="shared" si="2"/>
        <v>Pesach End</v>
      </c>
      <c r="K89" t="str">
        <f t="shared" si="3"/>
        <v>Religious</v>
      </c>
    </row>
    <row r="90" spans="1:11" x14ac:dyDescent="0.2">
      <c r="A90" t="s">
        <v>90</v>
      </c>
      <c r="B90" s="1">
        <v>40660</v>
      </c>
      <c r="C90" t="s">
        <v>387</v>
      </c>
      <c r="D90">
        <v>5</v>
      </c>
      <c r="E90">
        <v>4</v>
      </c>
      <c r="F90">
        <v>2011</v>
      </c>
      <c r="I90">
        <v>0</v>
      </c>
      <c r="J90" t="str">
        <f t="shared" si="2"/>
        <v>No Event</v>
      </c>
      <c r="K90" t="str">
        <f t="shared" si="3"/>
        <v>No Event Type</v>
      </c>
    </row>
    <row r="91" spans="1:11" x14ac:dyDescent="0.2">
      <c r="A91" t="s">
        <v>91</v>
      </c>
      <c r="B91" s="1">
        <v>40661</v>
      </c>
      <c r="C91" t="s">
        <v>388</v>
      </c>
      <c r="D91">
        <v>6</v>
      </c>
      <c r="E91">
        <v>4</v>
      </c>
      <c r="F91">
        <v>2011</v>
      </c>
      <c r="I91">
        <v>0</v>
      </c>
      <c r="J91" t="str">
        <f t="shared" si="2"/>
        <v>No Event</v>
      </c>
      <c r="K91" t="str">
        <f t="shared" si="3"/>
        <v>No Event Type</v>
      </c>
    </row>
    <row r="92" spans="1:11" x14ac:dyDescent="0.2">
      <c r="A92" t="s">
        <v>92</v>
      </c>
      <c r="B92" s="1">
        <v>40662</v>
      </c>
      <c r="C92" t="s">
        <v>389</v>
      </c>
      <c r="D92">
        <v>7</v>
      </c>
      <c r="E92">
        <v>4</v>
      </c>
      <c r="F92">
        <v>2011</v>
      </c>
      <c r="I92">
        <v>0</v>
      </c>
      <c r="J92" t="str">
        <f t="shared" si="2"/>
        <v>No Event</v>
      </c>
      <c r="K92" t="str">
        <f t="shared" si="3"/>
        <v>No Event Type</v>
      </c>
    </row>
    <row r="93" spans="1:11" x14ac:dyDescent="0.2">
      <c r="A93" t="s">
        <v>93</v>
      </c>
      <c r="B93" s="1">
        <v>40663</v>
      </c>
      <c r="C93" t="s">
        <v>383</v>
      </c>
      <c r="D93">
        <v>1</v>
      </c>
      <c r="E93">
        <v>4</v>
      </c>
      <c r="F93">
        <v>2011</v>
      </c>
      <c r="I93">
        <v>0</v>
      </c>
      <c r="J93" t="str">
        <f t="shared" si="2"/>
        <v>No Event</v>
      </c>
      <c r="K93" t="str">
        <f t="shared" si="3"/>
        <v>No Event Type</v>
      </c>
    </row>
    <row r="94" spans="1:11" x14ac:dyDescent="0.2">
      <c r="A94" t="s">
        <v>94</v>
      </c>
      <c r="B94" s="1">
        <v>40664</v>
      </c>
      <c r="C94" t="s">
        <v>384</v>
      </c>
      <c r="D94">
        <v>2</v>
      </c>
      <c r="E94">
        <v>5</v>
      </c>
      <c r="F94">
        <v>2011</v>
      </c>
      <c r="I94">
        <v>1</v>
      </c>
      <c r="J94" t="str">
        <f t="shared" si="2"/>
        <v>No Event</v>
      </c>
      <c r="K94" t="str">
        <f t="shared" si="3"/>
        <v>No Event Type</v>
      </c>
    </row>
    <row r="95" spans="1:11" x14ac:dyDescent="0.2">
      <c r="A95" t="s">
        <v>95</v>
      </c>
      <c r="B95" s="1">
        <v>40665</v>
      </c>
      <c r="C95" t="s">
        <v>385</v>
      </c>
      <c r="D95">
        <v>3</v>
      </c>
      <c r="E95">
        <v>5</v>
      </c>
      <c r="F95">
        <v>2011</v>
      </c>
      <c r="I95">
        <v>1</v>
      </c>
      <c r="J95" t="str">
        <f t="shared" si="2"/>
        <v>No Event</v>
      </c>
      <c r="K95" t="str">
        <f t="shared" si="3"/>
        <v>No Event Type</v>
      </c>
    </row>
    <row r="96" spans="1:11" x14ac:dyDescent="0.2">
      <c r="A96" t="s">
        <v>96</v>
      </c>
      <c r="B96" s="1">
        <v>40666</v>
      </c>
      <c r="C96" t="s">
        <v>386</v>
      </c>
      <c r="D96">
        <v>4</v>
      </c>
      <c r="E96">
        <v>5</v>
      </c>
      <c r="F96">
        <v>2011</v>
      </c>
      <c r="I96">
        <v>1</v>
      </c>
      <c r="J96" t="str">
        <f t="shared" si="2"/>
        <v>No Event</v>
      </c>
      <c r="K96" t="str">
        <f t="shared" si="3"/>
        <v>No Event Type</v>
      </c>
    </row>
    <row r="97" spans="1:11" x14ac:dyDescent="0.2">
      <c r="A97" t="s">
        <v>97</v>
      </c>
      <c r="B97" s="1">
        <v>40667</v>
      </c>
      <c r="C97" t="s">
        <v>387</v>
      </c>
      <c r="D97">
        <v>5</v>
      </c>
      <c r="E97">
        <v>5</v>
      </c>
      <c r="F97">
        <v>2011</v>
      </c>
      <c r="I97">
        <v>1</v>
      </c>
      <c r="J97" t="str">
        <f t="shared" si="2"/>
        <v>No Event</v>
      </c>
      <c r="K97" t="str">
        <f t="shared" si="3"/>
        <v>No Event Type</v>
      </c>
    </row>
    <row r="98" spans="1:11" x14ac:dyDescent="0.2">
      <c r="A98" t="s">
        <v>98</v>
      </c>
      <c r="B98" s="1">
        <v>40668</v>
      </c>
      <c r="C98" t="s">
        <v>388</v>
      </c>
      <c r="D98">
        <v>6</v>
      </c>
      <c r="E98">
        <v>5</v>
      </c>
      <c r="F98">
        <v>2011</v>
      </c>
      <c r="G98" t="s">
        <v>403</v>
      </c>
      <c r="H98" t="s">
        <v>393</v>
      </c>
      <c r="I98">
        <v>1</v>
      </c>
      <c r="J98" t="str">
        <f t="shared" si="2"/>
        <v>Cinco De Mayo</v>
      </c>
      <c r="K98" t="str">
        <f t="shared" si="3"/>
        <v>Cultural</v>
      </c>
    </row>
    <row r="99" spans="1:11" x14ac:dyDescent="0.2">
      <c r="A99" t="s">
        <v>99</v>
      </c>
      <c r="B99" s="1">
        <v>40669</v>
      </c>
      <c r="C99" t="s">
        <v>389</v>
      </c>
      <c r="D99">
        <v>7</v>
      </c>
      <c r="E99">
        <v>5</v>
      </c>
      <c r="F99">
        <v>2011</v>
      </c>
      <c r="I99">
        <v>1</v>
      </c>
      <c r="J99" t="str">
        <f t="shared" si="2"/>
        <v>No Event</v>
      </c>
      <c r="K99" t="str">
        <f t="shared" si="3"/>
        <v>No Event Type</v>
      </c>
    </row>
    <row r="100" spans="1:11" x14ac:dyDescent="0.2">
      <c r="A100" t="s">
        <v>100</v>
      </c>
      <c r="B100" s="1">
        <v>40670</v>
      </c>
      <c r="C100" t="s">
        <v>383</v>
      </c>
      <c r="D100">
        <v>1</v>
      </c>
      <c r="E100">
        <v>5</v>
      </c>
      <c r="F100">
        <v>2011</v>
      </c>
      <c r="I100">
        <v>1</v>
      </c>
      <c r="J100" t="str">
        <f t="shared" si="2"/>
        <v>No Event</v>
      </c>
      <c r="K100" t="str">
        <f t="shared" si="3"/>
        <v>No Event Type</v>
      </c>
    </row>
    <row r="101" spans="1:11" x14ac:dyDescent="0.2">
      <c r="A101" t="s">
        <v>101</v>
      </c>
      <c r="B101" s="1">
        <v>40671</v>
      </c>
      <c r="C101" t="s">
        <v>384</v>
      </c>
      <c r="D101">
        <v>2</v>
      </c>
      <c r="E101">
        <v>5</v>
      </c>
      <c r="F101">
        <v>2011</v>
      </c>
      <c r="G101" t="s">
        <v>404</v>
      </c>
      <c r="H101" t="s">
        <v>393</v>
      </c>
      <c r="I101">
        <v>1</v>
      </c>
      <c r="J101" t="str">
        <f t="shared" si="2"/>
        <v>Mother's day</v>
      </c>
      <c r="K101" t="str">
        <f t="shared" si="3"/>
        <v>Cultural</v>
      </c>
    </row>
    <row r="102" spans="1:11" x14ac:dyDescent="0.2">
      <c r="A102" t="s">
        <v>102</v>
      </c>
      <c r="B102" s="1">
        <v>40672</v>
      </c>
      <c r="C102" t="s">
        <v>385</v>
      </c>
      <c r="D102">
        <v>3</v>
      </c>
      <c r="E102">
        <v>5</v>
      </c>
      <c r="F102">
        <v>2011</v>
      </c>
      <c r="I102">
        <v>1</v>
      </c>
      <c r="J102" t="str">
        <f t="shared" si="2"/>
        <v>No Event</v>
      </c>
      <c r="K102" t="str">
        <f t="shared" si="3"/>
        <v>No Event Type</v>
      </c>
    </row>
    <row r="103" spans="1:11" x14ac:dyDescent="0.2">
      <c r="A103" t="s">
        <v>103</v>
      </c>
      <c r="B103" s="1">
        <v>40673</v>
      </c>
      <c r="C103" t="s">
        <v>386</v>
      </c>
      <c r="D103">
        <v>4</v>
      </c>
      <c r="E103">
        <v>5</v>
      </c>
      <c r="F103">
        <v>2011</v>
      </c>
      <c r="I103">
        <v>1</v>
      </c>
      <c r="J103" t="str">
        <f t="shared" si="2"/>
        <v>No Event</v>
      </c>
      <c r="K103" t="str">
        <f t="shared" si="3"/>
        <v>No Event Type</v>
      </c>
    </row>
    <row r="104" spans="1:11" x14ac:dyDescent="0.2">
      <c r="A104" t="s">
        <v>104</v>
      </c>
      <c r="B104" s="1">
        <v>40674</v>
      </c>
      <c r="C104" t="s">
        <v>387</v>
      </c>
      <c r="D104">
        <v>5</v>
      </c>
      <c r="E104">
        <v>5</v>
      </c>
      <c r="F104">
        <v>2011</v>
      </c>
      <c r="I104">
        <v>0</v>
      </c>
      <c r="J104" t="str">
        <f t="shared" si="2"/>
        <v>No Event</v>
      </c>
      <c r="K104" t="str">
        <f t="shared" si="3"/>
        <v>No Event Type</v>
      </c>
    </row>
    <row r="105" spans="1:11" x14ac:dyDescent="0.2">
      <c r="A105" t="s">
        <v>105</v>
      </c>
      <c r="B105" s="1">
        <v>40675</v>
      </c>
      <c r="C105" t="s">
        <v>388</v>
      </c>
      <c r="D105">
        <v>6</v>
      </c>
      <c r="E105">
        <v>5</v>
      </c>
      <c r="F105">
        <v>2011</v>
      </c>
      <c r="I105">
        <v>0</v>
      </c>
      <c r="J105" t="str">
        <f t="shared" si="2"/>
        <v>No Event</v>
      </c>
      <c r="K105" t="str">
        <f t="shared" si="3"/>
        <v>No Event Type</v>
      </c>
    </row>
    <row r="106" spans="1:11" x14ac:dyDescent="0.2">
      <c r="A106" t="s">
        <v>106</v>
      </c>
      <c r="B106" s="1">
        <v>40676</v>
      </c>
      <c r="C106" t="s">
        <v>389</v>
      </c>
      <c r="D106">
        <v>7</v>
      </c>
      <c r="E106">
        <v>5</v>
      </c>
      <c r="F106">
        <v>2011</v>
      </c>
      <c r="I106">
        <v>0</v>
      </c>
      <c r="J106" t="str">
        <f t="shared" si="2"/>
        <v>No Event</v>
      </c>
      <c r="K106" t="str">
        <f t="shared" si="3"/>
        <v>No Event Type</v>
      </c>
    </row>
    <row r="107" spans="1:11" x14ac:dyDescent="0.2">
      <c r="A107" t="s">
        <v>107</v>
      </c>
      <c r="B107" s="1">
        <v>40677</v>
      </c>
      <c r="C107" t="s">
        <v>383</v>
      </c>
      <c r="D107">
        <v>1</v>
      </c>
      <c r="E107">
        <v>5</v>
      </c>
      <c r="F107">
        <v>2011</v>
      </c>
      <c r="I107">
        <v>0</v>
      </c>
      <c r="J107" t="str">
        <f t="shared" si="2"/>
        <v>No Event</v>
      </c>
      <c r="K107" t="str">
        <f t="shared" si="3"/>
        <v>No Event Type</v>
      </c>
    </row>
    <row r="108" spans="1:11" x14ac:dyDescent="0.2">
      <c r="A108" t="s">
        <v>108</v>
      </c>
      <c r="B108" s="1">
        <v>40678</v>
      </c>
      <c r="C108" t="s">
        <v>384</v>
      </c>
      <c r="D108">
        <v>2</v>
      </c>
      <c r="E108">
        <v>5</v>
      </c>
      <c r="F108">
        <v>2011</v>
      </c>
      <c r="I108">
        <v>0</v>
      </c>
      <c r="J108" t="str">
        <f t="shared" si="2"/>
        <v>No Event</v>
      </c>
      <c r="K108" t="str">
        <f t="shared" si="3"/>
        <v>No Event Type</v>
      </c>
    </row>
    <row r="109" spans="1:11" x14ac:dyDescent="0.2">
      <c r="A109" t="s">
        <v>109</v>
      </c>
      <c r="B109" s="1">
        <v>40679</v>
      </c>
      <c r="C109" t="s">
        <v>385</v>
      </c>
      <c r="D109">
        <v>3</v>
      </c>
      <c r="E109">
        <v>5</v>
      </c>
      <c r="F109">
        <v>2011</v>
      </c>
      <c r="I109">
        <v>0</v>
      </c>
      <c r="J109" t="str">
        <f t="shared" si="2"/>
        <v>No Event</v>
      </c>
      <c r="K109" t="str">
        <f t="shared" si="3"/>
        <v>No Event Type</v>
      </c>
    </row>
    <row r="110" spans="1:11" x14ac:dyDescent="0.2">
      <c r="A110" t="s">
        <v>110</v>
      </c>
      <c r="B110" s="1">
        <v>40680</v>
      </c>
      <c r="C110" t="s">
        <v>386</v>
      </c>
      <c r="D110">
        <v>4</v>
      </c>
      <c r="E110">
        <v>5</v>
      </c>
      <c r="F110">
        <v>2011</v>
      </c>
      <c r="I110">
        <v>0</v>
      </c>
      <c r="J110" t="str">
        <f t="shared" si="2"/>
        <v>No Event</v>
      </c>
      <c r="K110" t="str">
        <f t="shared" si="3"/>
        <v>No Event Type</v>
      </c>
    </row>
    <row r="111" spans="1:11" x14ac:dyDescent="0.2">
      <c r="A111" t="s">
        <v>111</v>
      </c>
      <c r="B111" s="1">
        <v>40681</v>
      </c>
      <c r="C111" t="s">
        <v>387</v>
      </c>
      <c r="D111">
        <v>5</v>
      </c>
      <c r="E111">
        <v>5</v>
      </c>
      <c r="F111">
        <v>2011</v>
      </c>
      <c r="I111">
        <v>0</v>
      </c>
      <c r="J111" t="str">
        <f t="shared" si="2"/>
        <v>No Event</v>
      </c>
      <c r="K111" t="str">
        <f t="shared" si="3"/>
        <v>No Event Type</v>
      </c>
    </row>
    <row r="112" spans="1:11" x14ac:dyDescent="0.2">
      <c r="A112" t="s">
        <v>112</v>
      </c>
      <c r="B112" s="1">
        <v>40682</v>
      </c>
      <c r="C112" t="s">
        <v>388</v>
      </c>
      <c r="D112">
        <v>6</v>
      </c>
      <c r="E112">
        <v>5</v>
      </c>
      <c r="F112">
        <v>2011</v>
      </c>
      <c r="I112">
        <v>0</v>
      </c>
      <c r="J112" t="str">
        <f t="shared" si="2"/>
        <v>No Event</v>
      </c>
      <c r="K112" t="str">
        <f t="shared" si="3"/>
        <v>No Event Type</v>
      </c>
    </row>
    <row r="113" spans="1:11" x14ac:dyDescent="0.2">
      <c r="A113" t="s">
        <v>113</v>
      </c>
      <c r="B113" s="1">
        <v>40683</v>
      </c>
      <c r="C113" t="s">
        <v>389</v>
      </c>
      <c r="D113">
        <v>7</v>
      </c>
      <c r="E113">
        <v>5</v>
      </c>
      <c r="F113">
        <v>2011</v>
      </c>
      <c r="I113">
        <v>0</v>
      </c>
      <c r="J113" t="str">
        <f t="shared" si="2"/>
        <v>No Event</v>
      </c>
      <c r="K113" t="str">
        <f t="shared" si="3"/>
        <v>No Event Type</v>
      </c>
    </row>
    <row r="114" spans="1:11" x14ac:dyDescent="0.2">
      <c r="A114" t="s">
        <v>114</v>
      </c>
      <c r="B114" s="1">
        <v>40684</v>
      </c>
      <c r="C114" t="s">
        <v>383</v>
      </c>
      <c r="D114">
        <v>1</v>
      </c>
      <c r="E114">
        <v>5</v>
      </c>
      <c r="F114">
        <v>2011</v>
      </c>
      <c r="I114">
        <v>0</v>
      </c>
      <c r="J114" t="str">
        <f t="shared" si="2"/>
        <v>No Event</v>
      </c>
      <c r="K114" t="str">
        <f t="shared" si="3"/>
        <v>No Event Type</v>
      </c>
    </row>
    <row r="115" spans="1:11" x14ac:dyDescent="0.2">
      <c r="A115" t="s">
        <v>115</v>
      </c>
      <c r="B115" s="1">
        <v>40685</v>
      </c>
      <c r="C115" t="s">
        <v>384</v>
      </c>
      <c r="D115">
        <v>2</v>
      </c>
      <c r="E115">
        <v>5</v>
      </c>
      <c r="F115">
        <v>2011</v>
      </c>
      <c r="I115">
        <v>0</v>
      </c>
      <c r="J115" t="str">
        <f t="shared" si="2"/>
        <v>No Event</v>
      </c>
      <c r="K115" t="str">
        <f t="shared" si="3"/>
        <v>No Event Type</v>
      </c>
    </row>
    <row r="116" spans="1:11" x14ac:dyDescent="0.2">
      <c r="A116" t="s">
        <v>116</v>
      </c>
      <c r="B116" s="1">
        <v>40686</v>
      </c>
      <c r="C116" t="s">
        <v>385</v>
      </c>
      <c r="D116">
        <v>3</v>
      </c>
      <c r="E116">
        <v>5</v>
      </c>
      <c r="F116">
        <v>2011</v>
      </c>
      <c r="I116">
        <v>0</v>
      </c>
      <c r="J116" t="str">
        <f t="shared" si="2"/>
        <v>No Event</v>
      </c>
      <c r="K116" t="str">
        <f t="shared" si="3"/>
        <v>No Event Type</v>
      </c>
    </row>
    <row r="117" spans="1:11" x14ac:dyDescent="0.2">
      <c r="A117" t="s">
        <v>117</v>
      </c>
      <c r="B117" s="1">
        <v>40687</v>
      </c>
      <c r="C117" t="s">
        <v>386</v>
      </c>
      <c r="D117">
        <v>4</v>
      </c>
      <c r="E117">
        <v>5</v>
      </c>
      <c r="F117">
        <v>2011</v>
      </c>
      <c r="I117">
        <v>0</v>
      </c>
      <c r="J117" t="str">
        <f t="shared" si="2"/>
        <v>No Event</v>
      </c>
      <c r="K117" t="str">
        <f t="shared" si="3"/>
        <v>No Event Type</v>
      </c>
    </row>
    <row r="118" spans="1:11" x14ac:dyDescent="0.2">
      <c r="A118" t="s">
        <v>118</v>
      </c>
      <c r="B118" s="1">
        <v>40688</v>
      </c>
      <c r="C118" t="s">
        <v>387</v>
      </c>
      <c r="D118">
        <v>5</v>
      </c>
      <c r="E118">
        <v>5</v>
      </c>
      <c r="F118">
        <v>2011</v>
      </c>
      <c r="I118">
        <v>0</v>
      </c>
      <c r="J118" t="str">
        <f t="shared" si="2"/>
        <v>No Event</v>
      </c>
      <c r="K118" t="str">
        <f t="shared" si="3"/>
        <v>No Event Type</v>
      </c>
    </row>
    <row r="119" spans="1:11" x14ac:dyDescent="0.2">
      <c r="A119" t="s">
        <v>119</v>
      </c>
      <c r="B119" s="1">
        <v>40689</v>
      </c>
      <c r="C119" t="s">
        <v>388</v>
      </c>
      <c r="D119">
        <v>6</v>
      </c>
      <c r="E119">
        <v>5</v>
      </c>
      <c r="F119">
        <v>2011</v>
      </c>
      <c r="I119">
        <v>0</v>
      </c>
      <c r="J119" t="str">
        <f t="shared" si="2"/>
        <v>No Event</v>
      </c>
      <c r="K119" t="str">
        <f t="shared" si="3"/>
        <v>No Event Type</v>
      </c>
    </row>
    <row r="120" spans="1:11" x14ac:dyDescent="0.2">
      <c r="A120" t="s">
        <v>120</v>
      </c>
      <c r="B120" s="1">
        <v>40690</v>
      </c>
      <c r="C120" t="s">
        <v>389</v>
      </c>
      <c r="D120">
        <v>7</v>
      </c>
      <c r="E120">
        <v>5</v>
      </c>
      <c r="F120">
        <v>2011</v>
      </c>
      <c r="I120">
        <v>0</v>
      </c>
      <c r="J120" t="str">
        <f t="shared" si="2"/>
        <v>No Event</v>
      </c>
      <c r="K120" t="str">
        <f t="shared" si="3"/>
        <v>No Event Type</v>
      </c>
    </row>
    <row r="121" spans="1:11" x14ac:dyDescent="0.2">
      <c r="A121" t="s">
        <v>121</v>
      </c>
      <c r="B121" s="1">
        <v>40691</v>
      </c>
      <c r="C121" t="s">
        <v>383</v>
      </c>
      <c r="D121">
        <v>1</v>
      </c>
      <c r="E121">
        <v>5</v>
      </c>
      <c r="F121">
        <v>2011</v>
      </c>
      <c r="I121">
        <v>0</v>
      </c>
      <c r="J121" t="str">
        <f t="shared" si="2"/>
        <v>No Event</v>
      </c>
      <c r="K121" t="str">
        <f t="shared" si="3"/>
        <v>No Event Type</v>
      </c>
    </row>
    <row r="122" spans="1:11" x14ac:dyDescent="0.2">
      <c r="A122" t="s">
        <v>122</v>
      </c>
      <c r="B122" s="1">
        <v>40692</v>
      </c>
      <c r="C122" t="s">
        <v>384</v>
      </c>
      <c r="D122">
        <v>2</v>
      </c>
      <c r="E122">
        <v>5</v>
      </c>
      <c r="F122">
        <v>2011</v>
      </c>
      <c r="I122">
        <v>0</v>
      </c>
      <c r="J122" t="str">
        <f t="shared" si="2"/>
        <v>No Event</v>
      </c>
      <c r="K122" t="str">
        <f t="shared" si="3"/>
        <v>No Event Type</v>
      </c>
    </row>
    <row r="123" spans="1:11" x14ac:dyDescent="0.2">
      <c r="A123" t="s">
        <v>123</v>
      </c>
      <c r="B123" s="1">
        <v>40693</v>
      </c>
      <c r="C123" t="s">
        <v>385</v>
      </c>
      <c r="D123">
        <v>3</v>
      </c>
      <c r="E123">
        <v>5</v>
      </c>
      <c r="F123">
        <v>2011</v>
      </c>
      <c r="G123" t="s">
        <v>405</v>
      </c>
      <c r="H123" t="s">
        <v>395</v>
      </c>
      <c r="I123">
        <v>0</v>
      </c>
      <c r="J123" t="str">
        <f t="shared" si="2"/>
        <v>MemorialDay</v>
      </c>
      <c r="K123" t="str">
        <f t="shared" si="3"/>
        <v>National</v>
      </c>
    </row>
    <row r="124" spans="1:11" x14ac:dyDescent="0.2">
      <c r="A124" t="s">
        <v>124</v>
      </c>
      <c r="B124" s="1">
        <v>40694</v>
      </c>
      <c r="C124" t="s">
        <v>386</v>
      </c>
      <c r="D124">
        <v>4</v>
      </c>
      <c r="E124">
        <v>5</v>
      </c>
      <c r="F124">
        <v>2011</v>
      </c>
      <c r="G124" t="s">
        <v>406</v>
      </c>
      <c r="H124" t="s">
        <v>391</v>
      </c>
      <c r="I124">
        <v>0</v>
      </c>
      <c r="J124" t="str">
        <f t="shared" si="2"/>
        <v>NBAFinalsStart</v>
      </c>
      <c r="K124" t="str">
        <f t="shared" si="3"/>
        <v>Sporting</v>
      </c>
    </row>
    <row r="125" spans="1:11" x14ac:dyDescent="0.2">
      <c r="A125" t="s">
        <v>125</v>
      </c>
      <c r="B125" s="1">
        <v>40695</v>
      </c>
      <c r="C125" t="s">
        <v>387</v>
      </c>
      <c r="D125">
        <v>5</v>
      </c>
      <c r="E125">
        <v>6</v>
      </c>
      <c r="F125">
        <v>2011</v>
      </c>
      <c r="I125">
        <v>1</v>
      </c>
      <c r="J125" t="str">
        <f t="shared" si="2"/>
        <v>No Event</v>
      </c>
      <c r="K125" t="str">
        <f t="shared" si="3"/>
        <v>No Event Type</v>
      </c>
    </row>
    <row r="126" spans="1:11" x14ac:dyDescent="0.2">
      <c r="A126" t="s">
        <v>126</v>
      </c>
      <c r="B126" s="1">
        <v>40696</v>
      </c>
      <c r="C126" t="s">
        <v>388</v>
      </c>
      <c r="D126">
        <v>6</v>
      </c>
      <c r="E126">
        <v>6</v>
      </c>
      <c r="F126">
        <v>2011</v>
      </c>
      <c r="I126">
        <v>1</v>
      </c>
      <c r="J126" t="str">
        <f t="shared" si="2"/>
        <v>No Event</v>
      </c>
      <c r="K126" t="str">
        <f t="shared" si="3"/>
        <v>No Event Type</v>
      </c>
    </row>
    <row r="127" spans="1:11" x14ac:dyDescent="0.2">
      <c r="A127" t="s">
        <v>127</v>
      </c>
      <c r="B127" s="1">
        <v>40697</v>
      </c>
      <c r="C127" t="s">
        <v>389</v>
      </c>
      <c r="D127">
        <v>7</v>
      </c>
      <c r="E127">
        <v>6</v>
      </c>
      <c r="F127">
        <v>2011</v>
      </c>
      <c r="I127">
        <v>1</v>
      </c>
      <c r="J127" t="str">
        <f t="shared" si="2"/>
        <v>No Event</v>
      </c>
      <c r="K127" t="str">
        <f t="shared" si="3"/>
        <v>No Event Type</v>
      </c>
    </row>
    <row r="128" spans="1:11" x14ac:dyDescent="0.2">
      <c r="A128" t="s">
        <v>128</v>
      </c>
      <c r="B128" s="1">
        <v>40698</v>
      </c>
      <c r="C128" t="s">
        <v>383</v>
      </c>
      <c r="D128">
        <v>1</v>
      </c>
      <c r="E128">
        <v>6</v>
      </c>
      <c r="F128">
        <v>2011</v>
      </c>
      <c r="I128">
        <v>1</v>
      </c>
      <c r="J128" t="str">
        <f t="shared" si="2"/>
        <v>No Event</v>
      </c>
      <c r="K128" t="str">
        <f t="shared" si="3"/>
        <v>No Event Type</v>
      </c>
    </row>
    <row r="129" spans="1:11" x14ac:dyDescent="0.2">
      <c r="A129" t="s">
        <v>129</v>
      </c>
      <c r="B129" s="1">
        <v>40699</v>
      </c>
      <c r="C129" t="s">
        <v>384</v>
      </c>
      <c r="D129">
        <v>2</v>
      </c>
      <c r="E129">
        <v>6</v>
      </c>
      <c r="F129">
        <v>2011</v>
      </c>
      <c r="I129">
        <v>1</v>
      </c>
      <c r="J129" t="str">
        <f t="shared" si="2"/>
        <v>No Event</v>
      </c>
      <c r="K129" t="str">
        <f t="shared" si="3"/>
        <v>No Event Type</v>
      </c>
    </row>
    <row r="130" spans="1:11" x14ac:dyDescent="0.2">
      <c r="A130" t="s">
        <v>130</v>
      </c>
      <c r="B130" s="1">
        <v>40700</v>
      </c>
      <c r="C130" t="s">
        <v>385</v>
      </c>
      <c r="D130">
        <v>3</v>
      </c>
      <c r="E130">
        <v>6</v>
      </c>
      <c r="F130">
        <v>2011</v>
      </c>
      <c r="I130">
        <v>1</v>
      </c>
      <c r="J130" t="str">
        <f t="shared" si="2"/>
        <v>No Event</v>
      </c>
      <c r="K130" t="str">
        <f t="shared" si="3"/>
        <v>No Event Type</v>
      </c>
    </row>
    <row r="131" spans="1:11" x14ac:dyDescent="0.2">
      <c r="A131" t="s">
        <v>131</v>
      </c>
      <c r="B131" s="1">
        <v>40701</v>
      </c>
      <c r="C131" t="s">
        <v>386</v>
      </c>
      <c r="D131">
        <v>4</v>
      </c>
      <c r="E131">
        <v>6</v>
      </c>
      <c r="F131">
        <v>2011</v>
      </c>
      <c r="I131">
        <v>1</v>
      </c>
      <c r="J131" t="str">
        <f t="shared" ref="J131:J194" si="4">IF(G131="", "No Event",G131)</f>
        <v>No Event</v>
      </c>
      <c r="K131" t="str">
        <f t="shared" ref="K131:K194" si="5">IF(H131="", "No Event Type",H131)</f>
        <v>No Event Type</v>
      </c>
    </row>
    <row r="132" spans="1:11" x14ac:dyDescent="0.2">
      <c r="A132" t="s">
        <v>132</v>
      </c>
      <c r="B132" s="1">
        <v>40702</v>
      </c>
      <c r="C132" t="s">
        <v>387</v>
      </c>
      <c r="D132">
        <v>5</v>
      </c>
      <c r="E132">
        <v>6</v>
      </c>
      <c r="F132">
        <v>2011</v>
      </c>
      <c r="I132">
        <v>1</v>
      </c>
      <c r="J132" t="str">
        <f t="shared" si="4"/>
        <v>No Event</v>
      </c>
      <c r="K132" t="str">
        <f t="shared" si="5"/>
        <v>No Event Type</v>
      </c>
    </row>
    <row r="133" spans="1:11" x14ac:dyDescent="0.2">
      <c r="A133" t="s">
        <v>133</v>
      </c>
      <c r="B133" s="1">
        <v>40703</v>
      </c>
      <c r="C133" t="s">
        <v>388</v>
      </c>
      <c r="D133">
        <v>6</v>
      </c>
      <c r="E133">
        <v>6</v>
      </c>
      <c r="F133">
        <v>2011</v>
      </c>
      <c r="I133">
        <v>1</v>
      </c>
      <c r="J133" t="str">
        <f t="shared" si="4"/>
        <v>No Event</v>
      </c>
      <c r="K133" t="str">
        <f t="shared" si="5"/>
        <v>No Event Type</v>
      </c>
    </row>
    <row r="134" spans="1:11" x14ac:dyDescent="0.2">
      <c r="A134" t="s">
        <v>134</v>
      </c>
      <c r="B134" s="1">
        <v>40704</v>
      </c>
      <c r="C134" t="s">
        <v>389</v>
      </c>
      <c r="D134">
        <v>7</v>
      </c>
      <c r="E134">
        <v>6</v>
      </c>
      <c r="F134">
        <v>2011</v>
      </c>
      <c r="I134">
        <v>1</v>
      </c>
      <c r="J134" t="str">
        <f t="shared" si="4"/>
        <v>No Event</v>
      </c>
      <c r="K134" t="str">
        <f t="shared" si="5"/>
        <v>No Event Type</v>
      </c>
    </row>
    <row r="135" spans="1:11" x14ac:dyDescent="0.2">
      <c r="A135" t="s">
        <v>135</v>
      </c>
      <c r="B135" s="1">
        <v>40705</v>
      </c>
      <c r="C135" t="s">
        <v>383</v>
      </c>
      <c r="D135">
        <v>1</v>
      </c>
      <c r="E135">
        <v>6</v>
      </c>
      <c r="F135">
        <v>2011</v>
      </c>
      <c r="I135">
        <v>0</v>
      </c>
      <c r="J135" t="str">
        <f t="shared" si="4"/>
        <v>No Event</v>
      </c>
      <c r="K135" t="str">
        <f t="shared" si="5"/>
        <v>No Event Type</v>
      </c>
    </row>
    <row r="136" spans="1:11" x14ac:dyDescent="0.2">
      <c r="A136" t="s">
        <v>136</v>
      </c>
      <c r="B136" s="1">
        <v>40706</v>
      </c>
      <c r="C136" t="s">
        <v>384</v>
      </c>
      <c r="D136">
        <v>2</v>
      </c>
      <c r="E136">
        <v>6</v>
      </c>
      <c r="F136">
        <v>2011</v>
      </c>
      <c r="G136" t="s">
        <v>407</v>
      </c>
      <c r="H136" t="s">
        <v>391</v>
      </c>
      <c r="I136">
        <v>0</v>
      </c>
      <c r="J136" t="str">
        <f t="shared" si="4"/>
        <v>NBAFinalsEnd</v>
      </c>
      <c r="K136" t="str">
        <f t="shared" si="5"/>
        <v>Sporting</v>
      </c>
    </row>
    <row r="137" spans="1:11" x14ac:dyDescent="0.2">
      <c r="A137" t="s">
        <v>137</v>
      </c>
      <c r="B137" s="1">
        <v>40707</v>
      </c>
      <c r="C137" t="s">
        <v>385</v>
      </c>
      <c r="D137">
        <v>3</v>
      </c>
      <c r="E137">
        <v>6</v>
      </c>
      <c r="F137">
        <v>2011</v>
      </c>
      <c r="I137">
        <v>0</v>
      </c>
      <c r="J137" t="str">
        <f t="shared" si="4"/>
        <v>No Event</v>
      </c>
      <c r="K137" t="str">
        <f t="shared" si="5"/>
        <v>No Event Type</v>
      </c>
    </row>
    <row r="138" spans="1:11" x14ac:dyDescent="0.2">
      <c r="A138" t="s">
        <v>138</v>
      </c>
      <c r="B138" s="1">
        <v>40708</v>
      </c>
      <c r="C138" t="s">
        <v>386</v>
      </c>
      <c r="D138">
        <v>4</v>
      </c>
      <c r="E138">
        <v>6</v>
      </c>
      <c r="F138">
        <v>2011</v>
      </c>
      <c r="I138">
        <v>0</v>
      </c>
      <c r="J138" t="str">
        <f t="shared" si="4"/>
        <v>No Event</v>
      </c>
      <c r="K138" t="str">
        <f t="shared" si="5"/>
        <v>No Event Type</v>
      </c>
    </row>
    <row r="139" spans="1:11" x14ac:dyDescent="0.2">
      <c r="A139" t="s">
        <v>139</v>
      </c>
      <c r="B139" s="1">
        <v>40709</v>
      </c>
      <c r="C139" t="s">
        <v>387</v>
      </c>
      <c r="D139">
        <v>5</v>
      </c>
      <c r="E139">
        <v>6</v>
      </c>
      <c r="F139">
        <v>2011</v>
      </c>
      <c r="I139">
        <v>0</v>
      </c>
      <c r="J139" t="str">
        <f t="shared" si="4"/>
        <v>No Event</v>
      </c>
      <c r="K139" t="str">
        <f t="shared" si="5"/>
        <v>No Event Type</v>
      </c>
    </row>
    <row r="140" spans="1:11" x14ac:dyDescent="0.2">
      <c r="A140" t="s">
        <v>140</v>
      </c>
      <c r="B140" s="1">
        <v>40710</v>
      </c>
      <c r="C140" t="s">
        <v>388</v>
      </c>
      <c r="D140">
        <v>6</v>
      </c>
      <c r="E140">
        <v>6</v>
      </c>
      <c r="F140">
        <v>2011</v>
      </c>
      <c r="I140">
        <v>0</v>
      </c>
      <c r="J140" t="str">
        <f t="shared" si="4"/>
        <v>No Event</v>
      </c>
      <c r="K140" t="str">
        <f t="shared" si="5"/>
        <v>No Event Type</v>
      </c>
    </row>
    <row r="141" spans="1:11" x14ac:dyDescent="0.2">
      <c r="A141" t="s">
        <v>141</v>
      </c>
      <c r="B141" s="1">
        <v>40711</v>
      </c>
      <c r="C141" t="s">
        <v>389</v>
      </c>
      <c r="D141">
        <v>7</v>
      </c>
      <c r="E141">
        <v>6</v>
      </c>
      <c r="F141">
        <v>2011</v>
      </c>
      <c r="I141">
        <v>0</v>
      </c>
      <c r="J141" t="str">
        <f t="shared" si="4"/>
        <v>No Event</v>
      </c>
      <c r="K141" t="str">
        <f t="shared" si="5"/>
        <v>No Event Type</v>
      </c>
    </row>
    <row r="142" spans="1:11" x14ac:dyDescent="0.2">
      <c r="A142" t="s">
        <v>142</v>
      </c>
      <c r="B142" s="1">
        <v>40712</v>
      </c>
      <c r="C142" t="s">
        <v>383</v>
      </c>
      <c r="D142">
        <v>1</v>
      </c>
      <c r="E142">
        <v>6</v>
      </c>
      <c r="F142">
        <v>2011</v>
      </c>
      <c r="I142">
        <v>0</v>
      </c>
      <c r="J142" t="str">
        <f t="shared" si="4"/>
        <v>No Event</v>
      </c>
      <c r="K142" t="str">
        <f t="shared" si="5"/>
        <v>No Event Type</v>
      </c>
    </row>
    <row r="143" spans="1:11" x14ac:dyDescent="0.2">
      <c r="A143" t="s">
        <v>143</v>
      </c>
      <c r="B143" s="1">
        <v>40713</v>
      </c>
      <c r="C143" t="s">
        <v>384</v>
      </c>
      <c r="D143">
        <v>2</v>
      </c>
      <c r="E143">
        <v>6</v>
      </c>
      <c r="F143">
        <v>2011</v>
      </c>
      <c r="G143" t="s">
        <v>408</v>
      </c>
      <c r="H143" t="s">
        <v>393</v>
      </c>
      <c r="I143">
        <v>0</v>
      </c>
      <c r="J143" t="str">
        <f t="shared" si="4"/>
        <v>Father's day</v>
      </c>
      <c r="K143" t="str">
        <f t="shared" si="5"/>
        <v>Cultural</v>
      </c>
    </row>
    <row r="144" spans="1:11" x14ac:dyDescent="0.2">
      <c r="A144" t="s">
        <v>144</v>
      </c>
      <c r="B144" s="1">
        <v>40714</v>
      </c>
      <c r="C144" t="s">
        <v>385</v>
      </c>
      <c r="D144">
        <v>3</v>
      </c>
      <c r="E144">
        <v>6</v>
      </c>
      <c r="F144">
        <v>2011</v>
      </c>
      <c r="I144">
        <v>0</v>
      </c>
      <c r="J144" t="str">
        <f t="shared" si="4"/>
        <v>No Event</v>
      </c>
      <c r="K144" t="str">
        <f t="shared" si="5"/>
        <v>No Event Type</v>
      </c>
    </row>
    <row r="145" spans="1:11" x14ac:dyDescent="0.2">
      <c r="A145" t="s">
        <v>145</v>
      </c>
      <c r="B145" s="1">
        <v>40715</v>
      </c>
      <c r="C145" t="s">
        <v>386</v>
      </c>
      <c r="D145">
        <v>4</v>
      </c>
      <c r="E145">
        <v>6</v>
      </c>
      <c r="F145">
        <v>2011</v>
      </c>
      <c r="I145">
        <v>0</v>
      </c>
      <c r="J145" t="str">
        <f t="shared" si="4"/>
        <v>No Event</v>
      </c>
      <c r="K145" t="str">
        <f t="shared" si="5"/>
        <v>No Event Type</v>
      </c>
    </row>
    <row r="146" spans="1:11" x14ac:dyDescent="0.2">
      <c r="A146" t="s">
        <v>146</v>
      </c>
      <c r="B146" s="1">
        <v>40716</v>
      </c>
      <c r="C146" t="s">
        <v>387</v>
      </c>
      <c r="D146">
        <v>5</v>
      </c>
      <c r="E146">
        <v>6</v>
      </c>
      <c r="F146">
        <v>2011</v>
      </c>
      <c r="I146">
        <v>0</v>
      </c>
      <c r="J146" t="str">
        <f t="shared" si="4"/>
        <v>No Event</v>
      </c>
      <c r="K146" t="str">
        <f t="shared" si="5"/>
        <v>No Event Type</v>
      </c>
    </row>
    <row r="147" spans="1:11" x14ac:dyDescent="0.2">
      <c r="A147" t="s">
        <v>147</v>
      </c>
      <c r="B147" s="1">
        <v>40717</v>
      </c>
      <c r="C147" t="s">
        <v>388</v>
      </c>
      <c r="D147">
        <v>6</v>
      </c>
      <c r="E147">
        <v>6</v>
      </c>
      <c r="F147">
        <v>2011</v>
      </c>
      <c r="I147">
        <v>0</v>
      </c>
      <c r="J147" t="str">
        <f t="shared" si="4"/>
        <v>No Event</v>
      </c>
      <c r="K147" t="str">
        <f t="shared" si="5"/>
        <v>No Event Type</v>
      </c>
    </row>
    <row r="148" spans="1:11" x14ac:dyDescent="0.2">
      <c r="A148" t="s">
        <v>148</v>
      </c>
      <c r="B148" s="1">
        <v>40718</v>
      </c>
      <c r="C148" t="s">
        <v>389</v>
      </c>
      <c r="D148">
        <v>7</v>
      </c>
      <c r="E148">
        <v>6</v>
      </c>
      <c r="F148">
        <v>2011</v>
      </c>
      <c r="I148">
        <v>0</v>
      </c>
      <c r="J148" t="str">
        <f t="shared" si="4"/>
        <v>No Event</v>
      </c>
      <c r="K148" t="str">
        <f t="shared" si="5"/>
        <v>No Event Type</v>
      </c>
    </row>
    <row r="149" spans="1:11" x14ac:dyDescent="0.2">
      <c r="A149" t="s">
        <v>149</v>
      </c>
      <c r="B149" s="1">
        <v>40719</v>
      </c>
      <c r="C149" t="s">
        <v>383</v>
      </c>
      <c r="D149">
        <v>1</v>
      </c>
      <c r="E149">
        <v>6</v>
      </c>
      <c r="F149">
        <v>2011</v>
      </c>
      <c r="I149">
        <v>0</v>
      </c>
      <c r="J149" t="str">
        <f t="shared" si="4"/>
        <v>No Event</v>
      </c>
      <c r="K149" t="str">
        <f t="shared" si="5"/>
        <v>No Event Type</v>
      </c>
    </row>
    <row r="150" spans="1:11" x14ac:dyDescent="0.2">
      <c r="A150" t="s">
        <v>150</v>
      </c>
      <c r="B150" s="1">
        <v>40720</v>
      </c>
      <c r="C150" t="s">
        <v>384</v>
      </c>
      <c r="D150">
        <v>2</v>
      </c>
      <c r="E150">
        <v>6</v>
      </c>
      <c r="F150">
        <v>2011</v>
      </c>
      <c r="I150">
        <v>0</v>
      </c>
      <c r="J150" t="str">
        <f t="shared" si="4"/>
        <v>No Event</v>
      </c>
      <c r="K150" t="str">
        <f t="shared" si="5"/>
        <v>No Event Type</v>
      </c>
    </row>
    <row r="151" spans="1:11" x14ac:dyDescent="0.2">
      <c r="A151" t="s">
        <v>151</v>
      </c>
      <c r="B151" s="1">
        <v>40721</v>
      </c>
      <c r="C151" t="s">
        <v>385</v>
      </c>
      <c r="D151">
        <v>3</v>
      </c>
      <c r="E151">
        <v>6</v>
      </c>
      <c r="F151">
        <v>2011</v>
      </c>
      <c r="I151">
        <v>0</v>
      </c>
      <c r="J151" t="str">
        <f t="shared" si="4"/>
        <v>No Event</v>
      </c>
      <c r="K151" t="str">
        <f t="shared" si="5"/>
        <v>No Event Type</v>
      </c>
    </row>
    <row r="152" spans="1:11" x14ac:dyDescent="0.2">
      <c r="A152" t="s">
        <v>152</v>
      </c>
      <c r="B152" s="1">
        <v>40722</v>
      </c>
      <c r="C152" t="s">
        <v>386</v>
      </c>
      <c r="D152">
        <v>4</v>
      </c>
      <c r="E152">
        <v>6</v>
      </c>
      <c r="F152">
        <v>2011</v>
      </c>
      <c r="I152">
        <v>0</v>
      </c>
      <c r="J152" t="str">
        <f t="shared" si="4"/>
        <v>No Event</v>
      </c>
      <c r="K152" t="str">
        <f t="shared" si="5"/>
        <v>No Event Type</v>
      </c>
    </row>
    <row r="153" spans="1:11" x14ac:dyDescent="0.2">
      <c r="A153" t="s">
        <v>153</v>
      </c>
      <c r="B153" s="1">
        <v>40723</v>
      </c>
      <c r="C153" t="s">
        <v>387</v>
      </c>
      <c r="D153">
        <v>5</v>
      </c>
      <c r="E153">
        <v>6</v>
      </c>
      <c r="F153">
        <v>2011</v>
      </c>
      <c r="I153">
        <v>0</v>
      </c>
      <c r="J153" t="str">
        <f t="shared" si="4"/>
        <v>No Event</v>
      </c>
      <c r="K153" t="str">
        <f t="shared" si="5"/>
        <v>No Event Type</v>
      </c>
    </row>
    <row r="154" spans="1:11" x14ac:dyDescent="0.2">
      <c r="A154" t="s">
        <v>154</v>
      </c>
      <c r="B154" s="1">
        <v>40724</v>
      </c>
      <c r="C154" t="s">
        <v>388</v>
      </c>
      <c r="D154">
        <v>6</v>
      </c>
      <c r="E154">
        <v>6</v>
      </c>
      <c r="F154">
        <v>2011</v>
      </c>
      <c r="I154">
        <v>0</v>
      </c>
      <c r="J154" t="str">
        <f t="shared" si="4"/>
        <v>No Event</v>
      </c>
      <c r="K154" t="str">
        <f t="shared" si="5"/>
        <v>No Event Type</v>
      </c>
    </row>
    <row r="155" spans="1:11" x14ac:dyDescent="0.2">
      <c r="A155" t="s">
        <v>155</v>
      </c>
      <c r="B155" s="1">
        <v>40725</v>
      </c>
      <c r="C155" t="s">
        <v>389</v>
      </c>
      <c r="D155">
        <v>7</v>
      </c>
      <c r="E155">
        <v>7</v>
      </c>
      <c r="F155">
        <v>2011</v>
      </c>
      <c r="I155">
        <v>1</v>
      </c>
      <c r="J155" t="str">
        <f t="shared" si="4"/>
        <v>No Event</v>
      </c>
      <c r="K155" t="str">
        <f t="shared" si="5"/>
        <v>No Event Type</v>
      </c>
    </row>
    <row r="156" spans="1:11" x14ac:dyDescent="0.2">
      <c r="A156" t="s">
        <v>156</v>
      </c>
      <c r="B156" s="1">
        <v>40726</v>
      </c>
      <c r="C156" t="s">
        <v>383</v>
      </c>
      <c r="D156">
        <v>1</v>
      </c>
      <c r="E156">
        <v>7</v>
      </c>
      <c r="F156">
        <v>2011</v>
      </c>
      <c r="I156">
        <v>1</v>
      </c>
      <c r="J156" t="str">
        <f t="shared" si="4"/>
        <v>No Event</v>
      </c>
      <c r="K156" t="str">
        <f t="shared" si="5"/>
        <v>No Event Type</v>
      </c>
    </row>
    <row r="157" spans="1:11" x14ac:dyDescent="0.2">
      <c r="A157" t="s">
        <v>157</v>
      </c>
      <c r="B157" s="1">
        <v>40727</v>
      </c>
      <c r="C157" t="s">
        <v>384</v>
      </c>
      <c r="D157">
        <v>2</v>
      </c>
      <c r="E157">
        <v>7</v>
      </c>
      <c r="F157">
        <v>2011</v>
      </c>
      <c r="I157">
        <v>1</v>
      </c>
      <c r="J157" t="str">
        <f t="shared" si="4"/>
        <v>No Event</v>
      </c>
      <c r="K157" t="str">
        <f t="shared" si="5"/>
        <v>No Event Type</v>
      </c>
    </row>
    <row r="158" spans="1:11" x14ac:dyDescent="0.2">
      <c r="A158" t="s">
        <v>158</v>
      </c>
      <c r="B158" s="1">
        <v>40728</v>
      </c>
      <c r="C158" t="s">
        <v>385</v>
      </c>
      <c r="D158">
        <v>3</v>
      </c>
      <c r="E158">
        <v>7</v>
      </c>
      <c r="F158">
        <v>2011</v>
      </c>
      <c r="G158" t="s">
        <v>409</v>
      </c>
      <c r="H158" t="s">
        <v>395</v>
      </c>
      <c r="I158">
        <v>1</v>
      </c>
      <c r="J158" t="str">
        <f t="shared" si="4"/>
        <v>IndependenceDay</v>
      </c>
      <c r="K158" t="str">
        <f t="shared" si="5"/>
        <v>National</v>
      </c>
    </row>
    <row r="159" spans="1:11" x14ac:dyDescent="0.2">
      <c r="A159" t="s">
        <v>159</v>
      </c>
      <c r="B159" s="1">
        <v>40729</v>
      </c>
      <c r="C159" t="s">
        <v>386</v>
      </c>
      <c r="D159">
        <v>4</v>
      </c>
      <c r="E159">
        <v>7</v>
      </c>
      <c r="F159">
        <v>2011</v>
      </c>
      <c r="I159">
        <v>1</v>
      </c>
      <c r="J159" t="str">
        <f t="shared" si="4"/>
        <v>No Event</v>
      </c>
      <c r="K159" t="str">
        <f t="shared" si="5"/>
        <v>No Event Type</v>
      </c>
    </row>
    <row r="160" spans="1:11" x14ac:dyDescent="0.2">
      <c r="A160" t="s">
        <v>160</v>
      </c>
      <c r="B160" s="1">
        <v>40730</v>
      </c>
      <c r="C160" t="s">
        <v>387</v>
      </c>
      <c r="D160">
        <v>5</v>
      </c>
      <c r="E160">
        <v>7</v>
      </c>
      <c r="F160">
        <v>2011</v>
      </c>
      <c r="I160">
        <v>1</v>
      </c>
      <c r="J160" t="str">
        <f t="shared" si="4"/>
        <v>No Event</v>
      </c>
      <c r="K160" t="str">
        <f t="shared" si="5"/>
        <v>No Event Type</v>
      </c>
    </row>
    <row r="161" spans="1:11" x14ac:dyDescent="0.2">
      <c r="A161" t="s">
        <v>161</v>
      </c>
      <c r="B161" s="1">
        <v>40731</v>
      </c>
      <c r="C161" t="s">
        <v>388</v>
      </c>
      <c r="D161">
        <v>6</v>
      </c>
      <c r="E161">
        <v>7</v>
      </c>
      <c r="F161">
        <v>2011</v>
      </c>
      <c r="I161">
        <v>1</v>
      </c>
      <c r="J161" t="str">
        <f t="shared" si="4"/>
        <v>No Event</v>
      </c>
      <c r="K161" t="str">
        <f t="shared" si="5"/>
        <v>No Event Type</v>
      </c>
    </row>
    <row r="162" spans="1:11" x14ac:dyDescent="0.2">
      <c r="A162" t="s">
        <v>162</v>
      </c>
      <c r="B162" s="1">
        <v>40732</v>
      </c>
      <c r="C162" t="s">
        <v>389</v>
      </c>
      <c r="D162">
        <v>7</v>
      </c>
      <c r="E162">
        <v>7</v>
      </c>
      <c r="F162">
        <v>2011</v>
      </c>
      <c r="I162">
        <v>1</v>
      </c>
      <c r="J162" t="str">
        <f t="shared" si="4"/>
        <v>No Event</v>
      </c>
      <c r="K162" t="str">
        <f t="shared" si="5"/>
        <v>No Event Type</v>
      </c>
    </row>
    <row r="163" spans="1:11" x14ac:dyDescent="0.2">
      <c r="A163" t="s">
        <v>163</v>
      </c>
      <c r="B163" s="1">
        <v>40733</v>
      </c>
      <c r="C163" t="s">
        <v>383</v>
      </c>
      <c r="D163">
        <v>1</v>
      </c>
      <c r="E163">
        <v>7</v>
      </c>
      <c r="F163">
        <v>2011</v>
      </c>
      <c r="I163">
        <v>1</v>
      </c>
      <c r="J163" t="str">
        <f t="shared" si="4"/>
        <v>No Event</v>
      </c>
      <c r="K163" t="str">
        <f t="shared" si="5"/>
        <v>No Event Type</v>
      </c>
    </row>
    <row r="164" spans="1:11" x14ac:dyDescent="0.2">
      <c r="A164" t="s">
        <v>164</v>
      </c>
      <c r="B164" s="1">
        <v>40734</v>
      </c>
      <c r="C164" t="s">
        <v>384</v>
      </c>
      <c r="D164">
        <v>2</v>
      </c>
      <c r="E164">
        <v>7</v>
      </c>
      <c r="F164">
        <v>2011</v>
      </c>
      <c r="I164">
        <v>1</v>
      </c>
      <c r="J164" t="str">
        <f t="shared" si="4"/>
        <v>No Event</v>
      </c>
      <c r="K164" t="str">
        <f t="shared" si="5"/>
        <v>No Event Type</v>
      </c>
    </row>
    <row r="165" spans="1:11" x14ac:dyDescent="0.2">
      <c r="A165" t="s">
        <v>165</v>
      </c>
      <c r="B165" s="1">
        <v>40735</v>
      </c>
      <c r="C165" t="s">
        <v>385</v>
      </c>
      <c r="D165">
        <v>3</v>
      </c>
      <c r="E165">
        <v>7</v>
      </c>
      <c r="F165">
        <v>2011</v>
      </c>
      <c r="I165">
        <v>0</v>
      </c>
      <c r="J165" t="str">
        <f t="shared" si="4"/>
        <v>No Event</v>
      </c>
      <c r="K165" t="str">
        <f t="shared" si="5"/>
        <v>No Event Type</v>
      </c>
    </row>
    <row r="166" spans="1:11" x14ac:dyDescent="0.2">
      <c r="A166" t="s">
        <v>166</v>
      </c>
      <c r="B166" s="1">
        <v>40736</v>
      </c>
      <c r="C166" t="s">
        <v>386</v>
      </c>
      <c r="D166">
        <v>4</v>
      </c>
      <c r="E166">
        <v>7</v>
      </c>
      <c r="F166">
        <v>2011</v>
      </c>
      <c r="I166">
        <v>0</v>
      </c>
      <c r="J166" t="str">
        <f t="shared" si="4"/>
        <v>No Event</v>
      </c>
      <c r="K166" t="str">
        <f t="shared" si="5"/>
        <v>No Event Type</v>
      </c>
    </row>
    <row r="167" spans="1:11" x14ac:dyDescent="0.2">
      <c r="A167" t="s">
        <v>167</v>
      </c>
      <c r="B167" s="1">
        <v>40737</v>
      </c>
      <c r="C167" t="s">
        <v>387</v>
      </c>
      <c r="D167">
        <v>5</v>
      </c>
      <c r="E167">
        <v>7</v>
      </c>
      <c r="F167">
        <v>2011</v>
      </c>
      <c r="I167">
        <v>0</v>
      </c>
      <c r="J167" t="str">
        <f t="shared" si="4"/>
        <v>No Event</v>
      </c>
      <c r="K167" t="str">
        <f t="shared" si="5"/>
        <v>No Event Type</v>
      </c>
    </row>
    <row r="168" spans="1:11" x14ac:dyDescent="0.2">
      <c r="A168" t="s">
        <v>168</v>
      </c>
      <c r="B168" s="1">
        <v>40738</v>
      </c>
      <c r="C168" t="s">
        <v>388</v>
      </c>
      <c r="D168">
        <v>6</v>
      </c>
      <c r="E168">
        <v>7</v>
      </c>
      <c r="F168">
        <v>2011</v>
      </c>
      <c r="I168">
        <v>0</v>
      </c>
      <c r="J168" t="str">
        <f t="shared" si="4"/>
        <v>No Event</v>
      </c>
      <c r="K168" t="str">
        <f t="shared" si="5"/>
        <v>No Event Type</v>
      </c>
    </row>
    <row r="169" spans="1:11" x14ac:dyDescent="0.2">
      <c r="A169" t="s">
        <v>169</v>
      </c>
      <c r="B169" s="1">
        <v>40739</v>
      </c>
      <c r="C169" t="s">
        <v>389</v>
      </c>
      <c r="D169">
        <v>7</v>
      </c>
      <c r="E169">
        <v>7</v>
      </c>
      <c r="F169">
        <v>2011</v>
      </c>
      <c r="I169">
        <v>0</v>
      </c>
      <c r="J169" t="str">
        <f t="shared" si="4"/>
        <v>No Event</v>
      </c>
      <c r="K169" t="str">
        <f t="shared" si="5"/>
        <v>No Event Type</v>
      </c>
    </row>
    <row r="170" spans="1:11" x14ac:dyDescent="0.2">
      <c r="A170" t="s">
        <v>170</v>
      </c>
      <c r="B170" s="1">
        <v>40740</v>
      </c>
      <c r="C170" t="s">
        <v>383</v>
      </c>
      <c r="D170">
        <v>1</v>
      </c>
      <c r="E170">
        <v>7</v>
      </c>
      <c r="F170">
        <v>2011</v>
      </c>
      <c r="I170">
        <v>0</v>
      </c>
      <c r="J170" t="str">
        <f t="shared" si="4"/>
        <v>No Event</v>
      </c>
      <c r="K170" t="str">
        <f t="shared" si="5"/>
        <v>No Event Type</v>
      </c>
    </row>
    <row r="171" spans="1:11" x14ac:dyDescent="0.2">
      <c r="A171" t="s">
        <v>171</v>
      </c>
      <c r="B171" s="1">
        <v>40741</v>
      </c>
      <c r="C171" t="s">
        <v>384</v>
      </c>
      <c r="D171">
        <v>2</v>
      </c>
      <c r="E171">
        <v>7</v>
      </c>
      <c r="F171">
        <v>2011</v>
      </c>
      <c r="I171">
        <v>0</v>
      </c>
      <c r="J171" t="str">
        <f t="shared" si="4"/>
        <v>No Event</v>
      </c>
      <c r="K171" t="str">
        <f t="shared" si="5"/>
        <v>No Event Type</v>
      </c>
    </row>
    <row r="172" spans="1:11" x14ac:dyDescent="0.2">
      <c r="A172" t="s">
        <v>172</v>
      </c>
      <c r="B172" s="1">
        <v>40742</v>
      </c>
      <c r="C172" t="s">
        <v>385</v>
      </c>
      <c r="D172">
        <v>3</v>
      </c>
      <c r="E172">
        <v>7</v>
      </c>
      <c r="F172">
        <v>2011</v>
      </c>
      <c r="I172">
        <v>0</v>
      </c>
      <c r="J172" t="str">
        <f t="shared" si="4"/>
        <v>No Event</v>
      </c>
      <c r="K172" t="str">
        <f t="shared" si="5"/>
        <v>No Event Type</v>
      </c>
    </row>
    <row r="173" spans="1:11" x14ac:dyDescent="0.2">
      <c r="A173" t="s">
        <v>173</v>
      </c>
      <c r="B173" s="1">
        <v>40743</v>
      </c>
      <c r="C173" t="s">
        <v>386</v>
      </c>
      <c r="D173">
        <v>4</v>
      </c>
      <c r="E173">
        <v>7</v>
      </c>
      <c r="F173">
        <v>2011</v>
      </c>
      <c r="I173">
        <v>0</v>
      </c>
      <c r="J173" t="str">
        <f t="shared" si="4"/>
        <v>No Event</v>
      </c>
      <c r="K173" t="str">
        <f t="shared" si="5"/>
        <v>No Event Type</v>
      </c>
    </row>
    <row r="174" spans="1:11" x14ac:dyDescent="0.2">
      <c r="A174" t="s">
        <v>174</v>
      </c>
      <c r="B174" s="1">
        <v>40744</v>
      </c>
      <c r="C174" t="s">
        <v>387</v>
      </c>
      <c r="D174">
        <v>5</v>
      </c>
      <c r="E174">
        <v>7</v>
      </c>
      <c r="F174">
        <v>2011</v>
      </c>
      <c r="I174">
        <v>0</v>
      </c>
      <c r="J174" t="str">
        <f t="shared" si="4"/>
        <v>No Event</v>
      </c>
      <c r="K174" t="str">
        <f t="shared" si="5"/>
        <v>No Event Type</v>
      </c>
    </row>
    <row r="175" spans="1:11" x14ac:dyDescent="0.2">
      <c r="A175" t="s">
        <v>175</v>
      </c>
      <c r="B175" s="1">
        <v>40745</v>
      </c>
      <c r="C175" t="s">
        <v>388</v>
      </c>
      <c r="D175">
        <v>6</v>
      </c>
      <c r="E175">
        <v>7</v>
      </c>
      <c r="F175">
        <v>2011</v>
      </c>
      <c r="I175">
        <v>0</v>
      </c>
      <c r="J175" t="str">
        <f t="shared" si="4"/>
        <v>No Event</v>
      </c>
      <c r="K175" t="str">
        <f t="shared" si="5"/>
        <v>No Event Type</v>
      </c>
    </row>
    <row r="176" spans="1:11" x14ac:dyDescent="0.2">
      <c r="A176" t="s">
        <v>176</v>
      </c>
      <c r="B176" s="1">
        <v>40746</v>
      </c>
      <c r="C176" t="s">
        <v>389</v>
      </c>
      <c r="D176">
        <v>7</v>
      </c>
      <c r="E176">
        <v>7</v>
      </c>
      <c r="F176">
        <v>2011</v>
      </c>
      <c r="I176">
        <v>0</v>
      </c>
      <c r="J176" t="str">
        <f t="shared" si="4"/>
        <v>No Event</v>
      </c>
      <c r="K176" t="str">
        <f t="shared" si="5"/>
        <v>No Event Type</v>
      </c>
    </row>
    <row r="177" spans="1:11" x14ac:dyDescent="0.2">
      <c r="A177" t="s">
        <v>177</v>
      </c>
      <c r="B177" s="1">
        <v>40747</v>
      </c>
      <c r="C177" t="s">
        <v>383</v>
      </c>
      <c r="D177">
        <v>1</v>
      </c>
      <c r="E177">
        <v>7</v>
      </c>
      <c r="F177">
        <v>2011</v>
      </c>
      <c r="I177">
        <v>0</v>
      </c>
      <c r="J177" t="str">
        <f t="shared" si="4"/>
        <v>No Event</v>
      </c>
      <c r="K177" t="str">
        <f t="shared" si="5"/>
        <v>No Event Type</v>
      </c>
    </row>
    <row r="178" spans="1:11" x14ac:dyDescent="0.2">
      <c r="A178" t="s">
        <v>178</v>
      </c>
      <c r="B178" s="1">
        <v>40748</v>
      </c>
      <c r="C178" t="s">
        <v>384</v>
      </c>
      <c r="D178">
        <v>2</v>
      </c>
      <c r="E178">
        <v>7</v>
      </c>
      <c r="F178">
        <v>2011</v>
      </c>
      <c r="I178">
        <v>0</v>
      </c>
      <c r="J178" t="str">
        <f t="shared" si="4"/>
        <v>No Event</v>
      </c>
      <c r="K178" t="str">
        <f t="shared" si="5"/>
        <v>No Event Type</v>
      </c>
    </row>
    <row r="179" spans="1:11" x14ac:dyDescent="0.2">
      <c r="A179" t="s">
        <v>179</v>
      </c>
      <c r="B179" s="1">
        <v>40749</v>
      </c>
      <c r="C179" t="s">
        <v>385</v>
      </c>
      <c r="D179">
        <v>3</v>
      </c>
      <c r="E179">
        <v>7</v>
      </c>
      <c r="F179">
        <v>2011</v>
      </c>
      <c r="I179">
        <v>0</v>
      </c>
      <c r="J179" t="str">
        <f t="shared" si="4"/>
        <v>No Event</v>
      </c>
      <c r="K179" t="str">
        <f t="shared" si="5"/>
        <v>No Event Type</v>
      </c>
    </row>
    <row r="180" spans="1:11" x14ac:dyDescent="0.2">
      <c r="A180" t="s">
        <v>180</v>
      </c>
      <c r="B180" s="1">
        <v>40750</v>
      </c>
      <c r="C180" t="s">
        <v>386</v>
      </c>
      <c r="D180">
        <v>4</v>
      </c>
      <c r="E180">
        <v>7</v>
      </c>
      <c r="F180">
        <v>2011</v>
      </c>
      <c r="I180">
        <v>0</v>
      </c>
      <c r="J180" t="str">
        <f t="shared" si="4"/>
        <v>No Event</v>
      </c>
      <c r="K180" t="str">
        <f t="shared" si="5"/>
        <v>No Event Type</v>
      </c>
    </row>
    <row r="181" spans="1:11" x14ac:dyDescent="0.2">
      <c r="A181" t="s">
        <v>181</v>
      </c>
      <c r="B181" s="1">
        <v>40751</v>
      </c>
      <c r="C181" t="s">
        <v>387</v>
      </c>
      <c r="D181">
        <v>5</v>
      </c>
      <c r="E181">
        <v>7</v>
      </c>
      <c r="F181">
        <v>2011</v>
      </c>
      <c r="I181">
        <v>0</v>
      </c>
      <c r="J181" t="str">
        <f t="shared" si="4"/>
        <v>No Event</v>
      </c>
      <c r="K181" t="str">
        <f t="shared" si="5"/>
        <v>No Event Type</v>
      </c>
    </row>
    <row r="182" spans="1:11" x14ac:dyDescent="0.2">
      <c r="A182" t="s">
        <v>182</v>
      </c>
      <c r="B182" s="1">
        <v>40752</v>
      </c>
      <c r="C182" t="s">
        <v>388</v>
      </c>
      <c r="D182">
        <v>6</v>
      </c>
      <c r="E182">
        <v>7</v>
      </c>
      <c r="F182">
        <v>2011</v>
      </c>
      <c r="I182">
        <v>0</v>
      </c>
      <c r="J182" t="str">
        <f t="shared" si="4"/>
        <v>No Event</v>
      </c>
      <c r="K182" t="str">
        <f t="shared" si="5"/>
        <v>No Event Type</v>
      </c>
    </row>
    <row r="183" spans="1:11" x14ac:dyDescent="0.2">
      <c r="A183" t="s">
        <v>183</v>
      </c>
      <c r="B183" s="1">
        <v>40753</v>
      </c>
      <c r="C183" t="s">
        <v>389</v>
      </c>
      <c r="D183">
        <v>7</v>
      </c>
      <c r="E183">
        <v>7</v>
      </c>
      <c r="F183">
        <v>2011</v>
      </c>
      <c r="I183">
        <v>0</v>
      </c>
      <c r="J183" t="str">
        <f t="shared" si="4"/>
        <v>No Event</v>
      </c>
      <c r="K183" t="str">
        <f t="shared" si="5"/>
        <v>No Event Type</v>
      </c>
    </row>
    <row r="184" spans="1:11" x14ac:dyDescent="0.2">
      <c r="A184" t="s">
        <v>184</v>
      </c>
      <c r="B184" s="1">
        <v>40754</v>
      </c>
      <c r="C184" t="s">
        <v>383</v>
      </c>
      <c r="D184">
        <v>1</v>
      </c>
      <c r="E184">
        <v>7</v>
      </c>
      <c r="F184">
        <v>2011</v>
      </c>
      <c r="I184">
        <v>0</v>
      </c>
      <c r="J184" t="str">
        <f t="shared" si="4"/>
        <v>No Event</v>
      </c>
      <c r="K184" t="str">
        <f t="shared" si="5"/>
        <v>No Event Type</v>
      </c>
    </row>
    <row r="185" spans="1:11" x14ac:dyDescent="0.2">
      <c r="A185" t="s">
        <v>185</v>
      </c>
      <c r="B185" s="1">
        <v>40755</v>
      </c>
      <c r="C185" t="s">
        <v>384</v>
      </c>
      <c r="D185">
        <v>2</v>
      </c>
      <c r="E185">
        <v>7</v>
      </c>
      <c r="F185">
        <v>2011</v>
      </c>
      <c r="I185">
        <v>0</v>
      </c>
      <c r="J185" t="str">
        <f t="shared" si="4"/>
        <v>No Event</v>
      </c>
      <c r="K185" t="str">
        <f t="shared" si="5"/>
        <v>No Event Type</v>
      </c>
    </row>
    <row r="186" spans="1:11" x14ac:dyDescent="0.2">
      <c r="A186" t="s">
        <v>186</v>
      </c>
      <c r="B186" s="1">
        <v>40756</v>
      </c>
      <c r="C186" t="s">
        <v>385</v>
      </c>
      <c r="D186">
        <v>3</v>
      </c>
      <c r="E186">
        <v>8</v>
      </c>
      <c r="F186">
        <v>2011</v>
      </c>
      <c r="G186" t="s">
        <v>410</v>
      </c>
      <c r="H186" t="s">
        <v>397</v>
      </c>
      <c r="I186">
        <v>1</v>
      </c>
      <c r="J186" t="str">
        <f t="shared" si="4"/>
        <v>Ramadan starts</v>
      </c>
      <c r="K186" t="str">
        <f t="shared" si="5"/>
        <v>Religious</v>
      </c>
    </row>
    <row r="187" spans="1:11" x14ac:dyDescent="0.2">
      <c r="A187" t="s">
        <v>187</v>
      </c>
      <c r="B187" s="1">
        <v>40757</v>
      </c>
      <c r="C187" t="s">
        <v>386</v>
      </c>
      <c r="D187">
        <v>4</v>
      </c>
      <c r="E187">
        <v>8</v>
      </c>
      <c r="F187">
        <v>2011</v>
      </c>
      <c r="I187">
        <v>1</v>
      </c>
      <c r="J187" t="str">
        <f t="shared" si="4"/>
        <v>No Event</v>
      </c>
      <c r="K187" t="str">
        <f t="shared" si="5"/>
        <v>No Event Type</v>
      </c>
    </row>
    <row r="188" spans="1:11" x14ac:dyDescent="0.2">
      <c r="A188" t="s">
        <v>188</v>
      </c>
      <c r="B188" s="1">
        <v>40758</v>
      </c>
      <c r="C188" t="s">
        <v>387</v>
      </c>
      <c r="D188">
        <v>5</v>
      </c>
      <c r="E188">
        <v>8</v>
      </c>
      <c r="F188">
        <v>2011</v>
      </c>
      <c r="I188">
        <v>1</v>
      </c>
      <c r="J188" t="str">
        <f t="shared" si="4"/>
        <v>No Event</v>
      </c>
      <c r="K188" t="str">
        <f t="shared" si="5"/>
        <v>No Event Type</v>
      </c>
    </row>
    <row r="189" spans="1:11" x14ac:dyDescent="0.2">
      <c r="A189" t="s">
        <v>189</v>
      </c>
      <c r="B189" s="1">
        <v>40759</v>
      </c>
      <c r="C189" t="s">
        <v>388</v>
      </c>
      <c r="D189">
        <v>6</v>
      </c>
      <c r="E189">
        <v>8</v>
      </c>
      <c r="F189">
        <v>2011</v>
      </c>
      <c r="I189">
        <v>1</v>
      </c>
      <c r="J189" t="str">
        <f t="shared" si="4"/>
        <v>No Event</v>
      </c>
      <c r="K189" t="str">
        <f t="shared" si="5"/>
        <v>No Event Type</v>
      </c>
    </row>
    <row r="190" spans="1:11" x14ac:dyDescent="0.2">
      <c r="A190" t="s">
        <v>190</v>
      </c>
      <c r="B190" s="1">
        <v>40760</v>
      </c>
      <c r="C190" t="s">
        <v>389</v>
      </c>
      <c r="D190">
        <v>7</v>
      </c>
      <c r="E190">
        <v>8</v>
      </c>
      <c r="F190">
        <v>2011</v>
      </c>
      <c r="I190">
        <v>1</v>
      </c>
      <c r="J190" t="str">
        <f t="shared" si="4"/>
        <v>No Event</v>
      </c>
      <c r="K190" t="str">
        <f t="shared" si="5"/>
        <v>No Event Type</v>
      </c>
    </row>
    <row r="191" spans="1:11" x14ac:dyDescent="0.2">
      <c r="A191" t="s">
        <v>191</v>
      </c>
      <c r="B191" s="1">
        <v>40761</v>
      </c>
      <c r="C191" t="s">
        <v>383</v>
      </c>
      <c r="D191">
        <v>1</v>
      </c>
      <c r="E191">
        <v>8</v>
      </c>
      <c r="F191">
        <v>2011</v>
      </c>
      <c r="I191">
        <v>1</v>
      </c>
      <c r="J191" t="str">
        <f t="shared" si="4"/>
        <v>No Event</v>
      </c>
      <c r="K191" t="str">
        <f t="shared" si="5"/>
        <v>No Event Type</v>
      </c>
    </row>
    <row r="192" spans="1:11" x14ac:dyDescent="0.2">
      <c r="A192" t="s">
        <v>192</v>
      </c>
      <c r="B192" s="1">
        <v>40762</v>
      </c>
      <c r="C192" t="s">
        <v>384</v>
      </c>
      <c r="D192">
        <v>2</v>
      </c>
      <c r="E192">
        <v>8</v>
      </c>
      <c r="F192">
        <v>2011</v>
      </c>
      <c r="I192">
        <v>1</v>
      </c>
      <c r="J192" t="str">
        <f t="shared" si="4"/>
        <v>No Event</v>
      </c>
      <c r="K192" t="str">
        <f t="shared" si="5"/>
        <v>No Event Type</v>
      </c>
    </row>
    <row r="193" spans="1:11" x14ac:dyDescent="0.2">
      <c r="A193" t="s">
        <v>193</v>
      </c>
      <c r="B193" s="1">
        <v>40763</v>
      </c>
      <c r="C193" t="s">
        <v>385</v>
      </c>
      <c r="D193">
        <v>3</v>
      </c>
      <c r="E193">
        <v>8</v>
      </c>
      <c r="F193">
        <v>2011</v>
      </c>
      <c r="I193">
        <v>1</v>
      </c>
      <c r="J193" t="str">
        <f t="shared" si="4"/>
        <v>No Event</v>
      </c>
      <c r="K193" t="str">
        <f t="shared" si="5"/>
        <v>No Event Type</v>
      </c>
    </row>
    <row r="194" spans="1:11" x14ac:dyDescent="0.2">
      <c r="A194" t="s">
        <v>194</v>
      </c>
      <c r="B194" s="1">
        <v>40764</v>
      </c>
      <c r="C194" t="s">
        <v>386</v>
      </c>
      <c r="D194">
        <v>4</v>
      </c>
      <c r="E194">
        <v>8</v>
      </c>
      <c r="F194">
        <v>2011</v>
      </c>
      <c r="I194">
        <v>1</v>
      </c>
      <c r="J194" t="str">
        <f t="shared" si="4"/>
        <v>No Event</v>
      </c>
      <c r="K194" t="str">
        <f t="shared" si="5"/>
        <v>No Event Type</v>
      </c>
    </row>
    <row r="195" spans="1:11" x14ac:dyDescent="0.2">
      <c r="A195" t="s">
        <v>195</v>
      </c>
      <c r="B195" s="1">
        <v>40765</v>
      </c>
      <c r="C195" t="s">
        <v>387</v>
      </c>
      <c r="D195">
        <v>5</v>
      </c>
      <c r="E195">
        <v>8</v>
      </c>
      <c r="F195">
        <v>2011</v>
      </c>
      <c r="I195">
        <v>1</v>
      </c>
      <c r="J195" t="str">
        <f t="shared" ref="J195:J258" si="6">IF(G195="", "No Event",G195)</f>
        <v>No Event</v>
      </c>
      <c r="K195" t="str">
        <f t="shared" ref="K195:K258" si="7">IF(H195="", "No Event Type",H195)</f>
        <v>No Event Type</v>
      </c>
    </row>
    <row r="196" spans="1:11" x14ac:dyDescent="0.2">
      <c r="A196" t="s">
        <v>196</v>
      </c>
      <c r="B196" s="1">
        <v>40766</v>
      </c>
      <c r="C196" t="s">
        <v>388</v>
      </c>
      <c r="D196">
        <v>6</v>
      </c>
      <c r="E196">
        <v>8</v>
      </c>
      <c r="F196">
        <v>2011</v>
      </c>
      <c r="I196">
        <v>0</v>
      </c>
      <c r="J196" t="str">
        <f t="shared" si="6"/>
        <v>No Event</v>
      </c>
      <c r="K196" t="str">
        <f t="shared" si="7"/>
        <v>No Event Type</v>
      </c>
    </row>
    <row r="197" spans="1:11" x14ac:dyDescent="0.2">
      <c r="A197" t="s">
        <v>197</v>
      </c>
      <c r="B197" s="1">
        <v>40767</v>
      </c>
      <c r="C197" t="s">
        <v>389</v>
      </c>
      <c r="D197">
        <v>7</v>
      </c>
      <c r="E197">
        <v>8</v>
      </c>
      <c r="F197">
        <v>2011</v>
      </c>
      <c r="I197">
        <v>0</v>
      </c>
      <c r="J197" t="str">
        <f t="shared" si="6"/>
        <v>No Event</v>
      </c>
      <c r="K197" t="str">
        <f t="shared" si="7"/>
        <v>No Event Type</v>
      </c>
    </row>
    <row r="198" spans="1:11" x14ac:dyDescent="0.2">
      <c r="A198" t="s">
        <v>198</v>
      </c>
      <c r="B198" s="1">
        <v>40768</v>
      </c>
      <c r="C198" t="s">
        <v>383</v>
      </c>
      <c r="D198">
        <v>1</v>
      </c>
      <c r="E198">
        <v>8</v>
      </c>
      <c r="F198">
        <v>2011</v>
      </c>
      <c r="I198">
        <v>0</v>
      </c>
      <c r="J198" t="str">
        <f t="shared" si="6"/>
        <v>No Event</v>
      </c>
      <c r="K198" t="str">
        <f t="shared" si="7"/>
        <v>No Event Type</v>
      </c>
    </row>
    <row r="199" spans="1:11" x14ac:dyDescent="0.2">
      <c r="A199" t="s">
        <v>199</v>
      </c>
      <c r="B199" s="1">
        <v>40769</v>
      </c>
      <c r="C199" t="s">
        <v>384</v>
      </c>
      <c r="D199">
        <v>2</v>
      </c>
      <c r="E199">
        <v>8</v>
      </c>
      <c r="F199">
        <v>2011</v>
      </c>
      <c r="I199">
        <v>0</v>
      </c>
      <c r="J199" t="str">
        <f t="shared" si="6"/>
        <v>No Event</v>
      </c>
      <c r="K199" t="str">
        <f t="shared" si="7"/>
        <v>No Event Type</v>
      </c>
    </row>
    <row r="200" spans="1:11" x14ac:dyDescent="0.2">
      <c r="A200" t="s">
        <v>200</v>
      </c>
      <c r="B200" s="1">
        <v>40770</v>
      </c>
      <c r="C200" t="s">
        <v>385</v>
      </c>
      <c r="D200">
        <v>3</v>
      </c>
      <c r="E200">
        <v>8</v>
      </c>
      <c r="F200">
        <v>2011</v>
      </c>
      <c r="I200">
        <v>0</v>
      </c>
      <c r="J200" t="str">
        <f t="shared" si="6"/>
        <v>No Event</v>
      </c>
      <c r="K200" t="str">
        <f t="shared" si="7"/>
        <v>No Event Type</v>
      </c>
    </row>
    <row r="201" spans="1:11" x14ac:dyDescent="0.2">
      <c r="A201" t="s">
        <v>201</v>
      </c>
      <c r="B201" s="1">
        <v>40771</v>
      </c>
      <c r="C201" t="s">
        <v>386</v>
      </c>
      <c r="D201">
        <v>4</v>
      </c>
      <c r="E201">
        <v>8</v>
      </c>
      <c r="F201">
        <v>2011</v>
      </c>
      <c r="I201">
        <v>0</v>
      </c>
      <c r="J201" t="str">
        <f t="shared" si="6"/>
        <v>No Event</v>
      </c>
      <c r="K201" t="str">
        <f t="shared" si="7"/>
        <v>No Event Type</v>
      </c>
    </row>
    <row r="202" spans="1:11" x14ac:dyDescent="0.2">
      <c r="A202" t="s">
        <v>202</v>
      </c>
      <c r="B202" s="1">
        <v>40772</v>
      </c>
      <c r="C202" t="s">
        <v>387</v>
      </c>
      <c r="D202">
        <v>5</v>
      </c>
      <c r="E202">
        <v>8</v>
      </c>
      <c r="F202">
        <v>2011</v>
      </c>
      <c r="I202">
        <v>0</v>
      </c>
      <c r="J202" t="str">
        <f t="shared" si="6"/>
        <v>No Event</v>
      </c>
      <c r="K202" t="str">
        <f t="shared" si="7"/>
        <v>No Event Type</v>
      </c>
    </row>
    <row r="203" spans="1:11" x14ac:dyDescent="0.2">
      <c r="A203" t="s">
        <v>203</v>
      </c>
      <c r="B203" s="1">
        <v>40773</v>
      </c>
      <c r="C203" t="s">
        <v>388</v>
      </c>
      <c r="D203">
        <v>6</v>
      </c>
      <c r="E203">
        <v>8</v>
      </c>
      <c r="F203">
        <v>2011</v>
      </c>
      <c r="I203">
        <v>0</v>
      </c>
      <c r="J203" t="str">
        <f t="shared" si="6"/>
        <v>No Event</v>
      </c>
      <c r="K203" t="str">
        <f t="shared" si="7"/>
        <v>No Event Type</v>
      </c>
    </row>
    <row r="204" spans="1:11" x14ac:dyDescent="0.2">
      <c r="A204" t="s">
        <v>204</v>
      </c>
      <c r="B204" s="1">
        <v>40774</v>
      </c>
      <c r="C204" t="s">
        <v>389</v>
      </c>
      <c r="D204">
        <v>7</v>
      </c>
      <c r="E204">
        <v>8</v>
      </c>
      <c r="F204">
        <v>2011</v>
      </c>
      <c r="I204">
        <v>0</v>
      </c>
      <c r="J204" t="str">
        <f t="shared" si="6"/>
        <v>No Event</v>
      </c>
      <c r="K204" t="str">
        <f t="shared" si="7"/>
        <v>No Event Type</v>
      </c>
    </row>
    <row r="205" spans="1:11" x14ac:dyDescent="0.2">
      <c r="A205" t="s">
        <v>205</v>
      </c>
      <c r="B205" s="1">
        <v>40775</v>
      </c>
      <c r="C205" t="s">
        <v>383</v>
      </c>
      <c r="D205">
        <v>1</v>
      </c>
      <c r="E205">
        <v>8</v>
      </c>
      <c r="F205">
        <v>2011</v>
      </c>
      <c r="I205">
        <v>0</v>
      </c>
      <c r="J205" t="str">
        <f t="shared" si="6"/>
        <v>No Event</v>
      </c>
      <c r="K205" t="str">
        <f t="shared" si="7"/>
        <v>No Event Type</v>
      </c>
    </row>
    <row r="206" spans="1:11" x14ac:dyDescent="0.2">
      <c r="A206" t="s">
        <v>206</v>
      </c>
      <c r="B206" s="1">
        <v>40776</v>
      </c>
      <c r="C206" t="s">
        <v>384</v>
      </c>
      <c r="D206">
        <v>2</v>
      </c>
      <c r="E206">
        <v>8</v>
      </c>
      <c r="F206">
        <v>2011</v>
      </c>
      <c r="I206">
        <v>0</v>
      </c>
      <c r="J206" t="str">
        <f t="shared" si="6"/>
        <v>No Event</v>
      </c>
      <c r="K206" t="str">
        <f t="shared" si="7"/>
        <v>No Event Type</v>
      </c>
    </row>
    <row r="207" spans="1:11" x14ac:dyDescent="0.2">
      <c r="A207" t="s">
        <v>207</v>
      </c>
      <c r="B207" s="1">
        <v>40777</v>
      </c>
      <c r="C207" t="s">
        <v>385</v>
      </c>
      <c r="D207">
        <v>3</v>
      </c>
      <c r="E207">
        <v>8</v>
      </c>
      <c r="F207">
        <v>2011</v>
      </c>
      <c r="I207">
        <v>0</v>
      </c>
      <c r="J207" t="str">
        <f t="shared" si="6"/>
        <v>No Event</v>
      </c>
      <c r="K207" t="str">
        <f t="shared" si="7"/>
        <v>No Event Type</v>
      </c>
    </row>
    <row r="208" spans="1:11" x14ac:dyDescent="0.2">
      <c r="A208" t="s">
        <v>208</v>
      </c>
      <c r="B208" s="1">
        <v>40778</v>
      </c>
      <c r="C208" t="s">
        <v>386</v>
      </c>
      <c r="D208">
        <v>4</v>
      </c>
      <c r="E208">
        <v>8</v>
      </c>
      <c r="F208">
        <v>2011</v>
      </c>
      <c r="I208">
        <v>0</v>
      </c>
      <c r="J208" t="str">
        <f t="shared" si="6"/>
        <v>No Event</v>
      </c>
      <c r="K208" t="str">
        <f t="shared" si="7"/>
        <v>No Event Type</v>
      </c>
    </row>
    <row r="209" spans="1:11" x14ac:dyDescent="0.2">
      <c r="A209" t="s">
        <v>209</v>
      </c>
      <c r="B209" s="1">
        <v>40779</v>
      </c>
      <c r="C209" t="s">
        <v>387</v>
      </c>
      <c r="D209">
        <v>5</v>
      </c>
      <c r="E209">
        <v>8</v>
      </c>
      <c r="F209">
        <v>2011</v>
      </c>
      <c r="I209">
        <v>0</v>
      </c>
      <c r="J209" t="str">
        <f t="shared" si="6"/>
        <v>No Event</v>
      </c>
      <c r="K209" t="str">
        <f t="shared" si="7"/>
        <v>No Event Type</v>
      </c>
    </row>
    <row r="210" spans="1:11" x14ac:dyDescent="0.2">
      <c r="A210" t="s">
        <v>210</v>
      </c>
      <c r="B210" s="1">
        <v>40780</v>
      </c>
      <c r="C210" t="s">
        <v>388</v>
      </c>
      <c r="D210">
        <v>6</v>
      </c>
      <c r="E210">
        <v>8</v>
      </c>
      <c r="F210">
        <v>2011</v>
      </c>
      <c r="I210">
        <v>0</v>
      </c>
      <c r="J210" t="str">
        <f t="shared" si="6"/>
        <v>No Event</v>
      </c>
      <c r="K210" t="str">
        <f t="shared" si="7"/>
        <v>No Event Type</v>
      </c>
    </row>
    <row r="211" spans="1:11" x14ac:dyDescent="0.2">
      <c r="A211" t="s">
        <v>211</v>
      </c>
      <c r="B211" s="1">
        <v>40781</v>
      </c>
      <c r="C211" t="s">
        <v>389</v>
      </c>
      <c r="D211">
        <v>7</v>
      </c>
      <c r="E211">
        <v>8</v>
      </c>
      <c r="F211">
        <v>2011</v>
      </c>
      <c r="I211">
        <v>0</v>
      </c>
      <c r="J211" t="str">
        <f t="shared" si="6"/>
        <v>No Event</v>
      </c>
      <c r="K211" t="str">
        <f t="shared" si="7"/>
        <v>No Event Type</v>
      </c>
    </row>
    <row r="212" spans="1:11" x14ac:dyDescent="0.2">
      <c r="A212" t="s">
        <v>212</v>
      </c>
      <c r="B212" s="1">
        <v>40782</v>
      </c>
      <c r="C212" t="s">
        <v>383</v>
      </c>
      <c r="D212">
        <v>1</v>
      </c>
      <c r="E212">
        <v>8</v>
      </c>
      <c r="F212">
        <v>2011</v>
      </c>
      <c r="I212">
        <v>0</v>
      </c>
      <c r="J212" t="str">
        <f t="shared" si="6"/>
        <v>No Event</v>
      </c>
      <c r="K212" t="str">
        <f t="shared" si="7"/>
        <v>No Event Type</v>
      </c>
    </row>
    <row r="213" spans="1:11" x14ac:dyDescent="0.2">
      <c r="A213" t="s">
        <v>213</v>
      </c>
      <c r="B213" s="1">
        <v>40783</v>
      </c>
      <c r="C213" t="s">
        <v>384</v>
      </c>
      <c r="D213">
        <v>2</v>
      </c>
      <c r="E213">
        <v>8</v>
      </c>
      <c r="F213">
        <v>2011</v>
      </c>
      <c r="I213">
        <v>0</v>
      </c>
      <c r="J213" t="str">
        <f t="shared" si="6"/>
        <v>No Event</v>
      </c>
      <c r="K213" t="str">
        <f t="shared" si="7"/>
        <v>No Event Type</v>
      </c>
    </row>
    <row r="214" spans="1:11" x14ac:dyDescent="0.2">
      <c r="A214" t="s">
        <v>214</v>
      </c>
      <c r="B214" s="1">
        <v>40784</v>
      </c>
      <c r="C214" t="s">
        <v>385</v>
      </c>
      <c r="D214">
        <v>3</v>
      </c>
      <c r="E214">
        <v>8</v>
      </c>
      <c r="F214">
        <v>2011</v>
      </c>
      <c r="I214">
        <v>0</v>
      </c>
      <c r="J214" t="str">
        <f t="shared" si="6"/>
        <v>No Event</v>
      </c>
      <c r="K214" t="str">
        <f t="shared" si="7"/>
        <v>No Event Type</v>
      </c>
    </row>
    <row r="215" spans="1:11" x14ac:dyDescent="0.2">
      <c r="A215" t="s">
        <v>215</v>
      </c>
      <c r="B215" s="1">
        <v>40785</v>
      </c>
      <c r="C215" t="s">
        <v>386</v>
      </c>
      <c r="D215">
        <v>4</v>
      </c>
      <c r="E215">
        <v>8</v>
      </c>
      <c r="F215">
        <v>2011</v>
      </c>
      <c r="I215">
        <v>0</v>
      </c>
      <c r="J215" t="str">
        <f t="shared" si="6"/>
        <v>No Event</v>
      </c>
      <c r="K215" t="str">
        <f t="shared" si="7"/>
        <v>No Event Type</v>
      </c>
    </row>
    <row r="216" spans="1:11" x14ac:dyDescent="0.2">
      <c r="A216" t="s">
        <v>216</v>
      </c>
      <c r="B216" s="1">
        <v>40786</v>
      </c>
      <c r="C216" t="s">
        <v>387</v>
      </c>
      <c r="D216">
        <v>5</v>
      </c>
      <c r="E216">
        <v>8</v>
      </c>
      <c r="F216">
        <v>2011</v>
      </c>
      <c r="G216" t="s">
        <v>411</v>
      </c>
      <c r="H216" t="s">
        <v>397</v>
      </c>
      <c r="I216">
        <v>0</v>
      </c>
      <c r="J216" t="str">
        <f t="shared" si="6"/>
        <v>Eid al-Fitr</v>
      </c>
      <c r="K216" t="str">
        <f t="shared" si="7"/>
        <v>Religious</v>
      </c>
    </row>
    <row r="217" spans="1:11" x14ac:dyDescent="0.2">
      <c r="A217" t="s">
        <v>217</v>
      </c>
      <c r="B217" s="1">
        <v>40787</v>
      </c>
      <c r="C217" t="s">
        <v>388</v>
      </c>
      <c r="D217">
        <v>6</v>
      </c>
      <c r="E217">
        <v>9</v>
      </c>
      <c r="F217">
        <v>2011</v>
      </c>
      <c r="I217">
        <v>1</v>
      </c>
      <c r="J217" t="str">
        <f t="shared" si="6"/>
        <v>No Event</v>
      </c>
      <c r="K217" t="str">
        <f t="shared" si="7"/>
        <v>No Event Type</v>
      </c>
    </row>
    <row r="218" spans="1:11" x14ac:dyDescent="0.2">
      <c r="A218" t="s">
        <v>218</v>
      </c>
      <c r="B218" s="1">
        <v>40788</v>
      </c>
      <c r="C218" t="s">
        <v>389</v>
      </c>
      <c r="D218">
        <v>7</v>
      </c>
      <c r="E218">
        <v>9</v>
      </c>
      <c r="F218">
        <v>2011</v>
      </c>
      <c r="I218">
        <v>1</v>
      </c>
      <c r="J218" t="str">
        <f t="shared" si="6"/>
        <v>No Event</v>
      </c>
      <c r="K218" t="str">
        <f t="shared" si="7"/>
        <v>No Event Type</v>
      </c>
    </row>
    <row r="219" spans="1:11" x14ac:dyDescent="0.2">
      <c r="A219" t="s">
        <v>219</v>
      </c>
      <c r="B219" s="1">
        <v>40789</v>
      </c>
      <c r="C219" t="s">
        <v>383</v>
      </c>
      <c r="D219">
        <v>1</v>
      </c>
      <c r="E219">
        <v>9</v>
      </c>
      <c r="F219">
        <v>2011</v>
      </c>
      <c r="I219">
        <v>1</v>
      </c>
      <c r="J219" t="str">
        <f t="shared" si="6"/>
        <v>No Event</v>
      </c>
      <c r="K219" t="str">
        <f t="shared" si="7"/>
        <v>No Event Type</v>
      </c>
    </row>
    <row r="220" spans="1:11" x14ac:dyDescent="0.2">
      <c r="A220" t="s">
        <v>220</v>
      </c>
      <c r="B220" s="1">
        <v>40790</v>
      </c>
      <c r="C220" t="s">
        <v>384</v>
      </c>
      <c r="D220">
        <v>2</v>
      </c>
      <c r="E220">
        <v>9</v>
      </c>
      <c r="F220">
        <v>2011</v>
      </c>
      <c r="I220">
        <v>1</v>
      </c>
      <c r="J220" t="str">
        <f t="shared" si="6"/>
        <v>No Event</v>
      </c>
      <c r="K220" t="str">
        <f t="shared" si="7"/>
        <v>No Event Type</v>
      </c>
    </row>
    <row r="221" spans="1:11" x14ac:dyDescent="0.2">
      <c r="A221" t="s">
        <v>221</v>
      </c>
      <c r="B221" s="1">
        <v>40791</v>
      </c>
      <c r="C221" t="s">
        <v>385</v>
      </c>
      <c r="D221">
        <v>3</v>
      </c>
      <c r="E221">
        <v>9</v>
      </c>
      <c r="F221">
        <v>2011</v>
      </c>
      <c r="G221" t="s">
        <v>412</v>
      </c>
      <c r="H221" t="s">
        <v>395</v>
      </c>
      <c r="I221">
        <v>1</v>
      </c>
      <c r="J221" t="str">
        <f t="shared" si="6"/>
        <v>LaborDay</v>
      </c>
      <c r="K221" t="str">
        <f t="shared" si="7"/>
        <v>National</v>
      </c>
    </row>
    <row r="222" spans="1:11" x14ac:dyDescent="0.2">
      <c r="A222" t="s">
        <v>222</v>
      </c>
      <c r="B222" s="1">
        <v>40792</v>
      </c>
      <c r="C222" t="s">
        <v>386</v>
      </c>
      <c r="D222">
        <v>4</v>
      </c>
      <c r="E222">
        <v>9</v>
      </c>
      <c r="F222">
        <v>2011</v>
      </c>
      <c r="I222">
        <v>1</v>
      </c>
      <c r="J222" t="str">
        <f t="shared" si="6"/>
        <v>No Event</v>
      </c>
      <c r="K222" t="str">
        <f t="shared" si="7"/>
        <v>No Event Type</v>
      </c>
    </row>
    <row r="223" spans="1:11" x14ac:dyDescent="0.2">
      <c r="A223" t="s">
        <v>223</v>
      </c>
      <c r="B223" s="1">
        <v>40793</v>
      </c>
      <c r="C223" t="s">
        <v>387</v>
      </c>
      <c r="D223">
        <v>5</v>
      </c>
      <c r="E223">
        <v>9</v>
      </c>
      <c r="F223">
        <v>2011</v>
      </c>
      <c r="I223">
        <v>1</v>
      </c>
      <c r="J223" t="str">
        <f t="shared" si="6"/>
        <v>No Event</v>
      </c>
      <c r="K223" t="str">
        <f t="shared" si="7"/>
        <v>No Event Type</v>
      </c>
    </row>
    <row r="224" spans="1:11" x14ac:dyDescent="0.2">
      <c r="A224" t="s">
        <v>224</v>
      </c>
      <c r="B224" s="1">
        <v>40794</v>
      </c>
      <c r="C224" t="s">
        <v>388</v>
      </c>
      <c r="D224">
        <v>6</v>
      </c>
      <c r="E224">
        <v>9</v>
      </c>
      <c r="F224">
        <v>2011</v>
      </c>
      <c r="I224">
        <v>1</v>
      </c>
      <c r="J224" t="str">
        <f t="shared" si="6"/>
        <v>No Event</v>
      </c>
      <c r="K224" t="str">
        <f t="shared" si="7"/>
        <v>No Event Type</v>
      </c>
    </row>
    <row r="225" spans="1:11" x14ac:dyDescent="0.2">
      <c r="A225" t="s">
        <v>225</v>
      </c>
      <c r="B225" s="1">
        <v>40795</v>
      </c>
      <c r="C225" t="s">
        <v>389</v>
      </c>
      <c r="D225">
        <v>7</v>
      </c>
      <c r="E225">
        <v>9</v>
      </c>
      <c r="F225">
        <v>2011</v>
      </c>
      <c r="I225">
        <v>1</v>
      </c>
      <c r="J225" t="str">
        <f t="shared" si="6"/>
        <v>No Event</v>
      </c>
      <c r="K225" t="str">
        <f t="shared" si="7"/>
        <v>No Event Type</v>
      </c>
    </row>
    <row r="226" spans="1:11" x14ac:dyDescent="0.2">
      <c r="A226" t="s">
        <v>226</v>
      </c>
      <c r="B226" s="1">
        <v>40796</v>
      </c>
      <c r="C226" t="s">
        <v>383</v>
      </c>
      <c r="D226">
        <v>1</v>
      </c>
      <c r="E226">
        <v>9</v>
      </c>
      <c r="F226">
        <v>2011</v>
      </c>
      <c r="I226">
        <v>1</v>
      </c>
      <c r="J226" t="str">
        <f t="shared" si="6"/>
        <v>No Event</v>
      </c>
      <c r="K226" t="str">
        <f t="shared" si="7"/>
        <v>No Event Type</v>
      </c>
    </row>
    <row r="227" spans="1:11" x14ac:dyDescent="0.2">
      <c r="A227" t="s">
        <v>227</v>
      </c>
      <c r="B227" s="1">
        <v>40797</v>
      </c>
      <c r="C227" t="s">
        <v>384</v>
      </c>
      <c r="D227">
        <v>2</v>
      </c>
      <c r="E227">
        <v>9</v>
      </c>
      <c r="F227">
        <v>2011</v>
      </c>
      <c r="I227">
        <v>0</v>
      </c>
      <c r="J227" t="str">
        <f t="shared" si="6"/>
        <v>No Event</v>
      </c>
      <c r="K227" t="str">
        <f t="shared" si="7"/>
        <v>No Event Type</v>
      </c>
    </row>
    <row r="228" spans="1:11" x14ac:dyDescent="0.2">
      <c r="A228" t="s">
        <v>228</v>
      </c>
      <c r="B228" s="1">
        <v>40798</v>
      </c>
      <c r="C228" t="s">
        <v>385</v>
      </c>
      <c r="D228">
        <v>3</v>
      </c>
      <c r="E228">
        <v>9</v>
      </c>
      <c r="F228">
        <v>2011</v>
      </c>
      <c r="I228">
        <v>0</v>
      </c>
      <c r="J228" t="str">
        <f t="shared" si="6"/>
        <v>No Event</v>
      </c>
      <c r="K228" t="str">
        <f t="shared" si="7"/>
        <v>No Event Type</v>
      </c>
    </row>
    <row r="229" spans="1:11" x14ac:dyDescent="0.2">
      <c r="A229" t="s">
        <v>229</v>
      </c>
      <c r="B229" s="1">
        <v>40799</v>
      </c>
      <c r="C229" t="s">
        <v>386</v>
      </c>
      <c r="D229">
        <v>4</v>
      </c>
      <c r="E229">
        <v>9</v>
      </c>
      <c r="F229">
        <v>2011</v>
      </c>
      <c r="I229">
        <v>0</v>
      </c>
      <c r="J229" t="str">
        <f t="shared" si="6"/>
        <v>No Event</v>
      </c>
      <c r="K229" t="str">
        <f t="shared" si="7"/>
        <v>No Event Type</v>
      </c>
    </row>
    <row r="230" spans="1:11" x14ac:dyDescent="0.2">
      <c r="A230" t="s">
        <v>230</v>
      </c>
      <c r="B230" s="1">
        <v>40800</v>
      </c>
      <c r="C230" t="s">
        <v>387</v>
      </c>
      <c r="D230">
        <v>5</v>
      </c>
      <c r="E230">
        <v>9</v>
      </c>
      <c r="F230">
        <v>2011</v>
      </c>
      <c r="I230">
        <v>0</v>
      </c>
      <c r="J230" t="str">
        <f t="shared" si="6"/>
        <v>No Event</v>
      </c>
      <c r="K230" t="str">
        <f t="shared" si="7"/>
        <v>No Event Type</v>
      </c>
    </row>
    <row r="231" spans="1:11" x14ac:dyDescent="0.2">
      <c r="A231" t="s">
        <v>231</v>
      </c>
      <c r="B231" s="1">
        <v>40801</v>
      </c>
      <c r="C231" t="s">
        <v>388</v>
      </c>
      <c r="D231">
        <v>6</v>
      </c>
      <c r="E231">
        <v>9</v>
      </c>
      <c r="F231">
        <v>2011</v>
      </c>
      <c r="I231">
        <v>0</v>
      </c>
      <c r="J231" t="str">
        <f t="shared" si="6"/>
        <v>No Event</v>
      </c>
      <c r="K231" t="str">
        <f t="shared" si="7"/>
        <v>No Event Type</v>
      </c>
    </row>
    <row r="232" spans="1:11" x14ac:dyDescent="0.2">
      <c r="A232" t="s">
        <v>232</v>
      </c>
      <c r="B232" s="1">
        <v>40802</v>
      </c>
      <c r="C232" t="s">
        <v>389</v>
      </c>
      <c r="D232">
        <v>7</v>
      </c>
      <c r="E232">
        <v>9</v>
      </c>
      <c r="F232">
        <v>2011</v>
      </c>
      <c r="I232">
        <v>0</v>
      </c>
      <c r="J232" t="str">
        <f t="shared" si="6"/>
        <v>No Event</v>
      </c>
      <c r="K232" t="str">
        <f t="shared" si="7"/>
        <v>No Event Type</v>
      </c>
    </row>
    <row r="233" spans="1:11" x14ac:dyDescent="0.2">
      <c r="A233" t="s">
        <v>233</v>
      </c>
      <c r="B233" s="1">
        <v>40803</v>
      </c>
      <c r="C233" t="s">
        <v>383</v>
      </c>
      <c r="D233">
        <v>1</v>
      </c>
      <c r="E233">
        <v>9</v>
      </c>
      <c r="F233">
        <v>2011</v>
      </c>
      <c r="I233">
        <v>0</v>
      </c>
      <c r="J233" t="str">
        <f t="shared" si="6"/>
        <v>No Event</v>
      </c>
      <c r="K233" t="str">
        <f t="shared" si="7"/>
        <v>No Event Type</v>
      </c>
    </row>
    <row r="234" spans="1:11" x14ac:dyDescent="0.2">
      <c r="A234" t="s">
        <v>234</v>
      </c>
      <c r="B234" s="1">
        <v>40804</v>
      </c>
      <c r="C234" t="s">
        <v>384</v>
      </c>
      <c r="D234">
        <v>2</v>
      </c>
      <c r="E234">
        <v>9</v>
      </c>
      <c r="F234">
        <v>2011</v>
      </c>
      <c r="I234">
        <v>0</v>
      </c>
      <c r="J234" t="str">
        <f t="shared" si="6"/>
        <v>No Event</v>
      </c>
      <c r="K234" t="str">
        <f t="shared" si="7"/>
        <v>No Event Type</v>
      </c>
    </row>
    <row r="235" spans="1:11" x14ac:dyDescent="0.2">
      <c r="A235" t="s">
        <v>235</v>
      </c>
      <c r="B235" s="1">
        <v>40805</v>
      </c>
      <c r="C235" t="s">
        <v>385</v>
      </c>
      <c r="D235">
        <v>3</v>
      </c>
      <c r="E235">
        <v>9</v>
      </c>
      <c r="F235">
        <v>2011</v>
      </c>
      <c r="I235">
        <v>0</v>
      </c>
      <c r="J235" t="str">
        <f t="shared" si="6"/>
        <v>No Event</v>
      </c>
      <c r="K235" t="str">
        <f t="shared" si="7"/>
        <v>No Event Type</v>
      </c>
    </row>
    <row r="236" spans="1:11" x14ac:dyDescent="0.2">
      <c r="A236" t="s">
        <v>236</v>
      </c>
      <c r="B236" s="1">
        <v>40806</v>
      </c>
      <c r="C236" t="s">
        <v>386</v>
      </c>
      <c r="D236">
        <v>4</v>
      </c>
      <c r="E236">
        <v>9</v>
      </c>
      <c r="F236">
        <v>2011</v>
      </c>
      <c r="I236">
        <v>0</v>
      </c>
      <c r="J236" t="str">
        <f t="shared" si="6"/>
        <v>No Event</v>
      </c>
      <c r="K236" t="str">
        <f t="shared" si="7"/>
        <v>No Event Type</v>
      </c>
    </row>
    <row r="237" spans="1:11" x14ac:dyDescent="0.2">
      <c r="A237" t="s">
        <v>237</v>
      </c>
      <c r="B237" s="1">
        <v>40807</v>
      </c>
      <c r="C237" t="s">
        <v>387</v>
      </c>
      <c r="D237">
        <v>5</v>
      </c>
      <c r="E237">
        <v>9</v>
      </c>
      <c r="F237">
        <v>2011</v>
      </c>
      <c r="I237">
        <v>0</v>
      </c>
      <c r="J237" t="str">
        <f t="shared" si="6"/>
        <v>No Event</v>
      </c>
      <c r="K237" t="str">
        <f t="shared" si="7"/>
        <v>No Event Type</v>
      </c>
    </row>
    <row r="238" spans="1:11" x14ac:dyDescent="0.2">
      <c r="A238" t="s">
        <v>238</v>
      </c>
      <c r="B238" s="1">
        <v>40808</v>
      </c>
      <c r="C238" t="s">
        <v>388</v>
      </c>
      <c r="D238">
        <v>6</v>
      </c>
      <c r="E238">
        <v>9</v>
      </c>
      <c r="F238">
        <v>2011</v>
      </c>
      <c r="I238">
        <v>0</v>
      </c>
      <c r="J238" t="str">
        <f t="shared" si="6"/>
        <v>No Event</v>
      </c>
      <c r="K238" t="str">
        <f t="shared" si="7"/>
        <v>No Event Type</v>
      </c>
    </row>
    <row r="239" spans="1:11" x14ac:dyDescent="0.2">
      <c r="A239" t="s">
        <v>239</v>
      </c>
      <c r="B239" s="1">
        <v>40809</v>
      </c>
      <c r="C239" t="s">
        <v>389</v>
      </c>
      <c r="D239">
        <v>7</v>
      </c>
      <c r="E239">
        <v>9</v>
      </c>
      <c r="F239">
        <v>2011</v>
      </c>
      <c r="I239">
        <v>0</v>
      </c>
      <c r="J239" t="str">
        <f t="shared" si="6"/>
        <v>No Event</v>
      </c>
      <c r="K239" t="str">
        <f t="shared" si="7"/>
        <v>No Event Type</v>
      </c>
    </row>
    <row r="240" spans="1:11" x14ac:dyDescent="0.2">
      <c r="A240" t="s">
        <v>240</v>
      </c>
      <c r="B240" s="1">
        <v>40810</v>
      </c>
      <c r="C240" t="s">
        <v>383</v>
      </c>
      <c r="D240">
        <v>1</v>
      </c>
      <c r="E240">
        <v>9</v>
      </c>
      <c r="F240">
        <v>2011</v>
      </c>
      <c r="I240">
        <v>0</v>
      </c>
      <c r="J240" t="str">
        <f t="shared" si="6"/>
        <v>No Event</v>
      </c>
      <c r="K240" t="str">
        <f t="shared" si="7"/>
        <v>No Event Type</v>
      </c>
    </row>
    <row r="241" spans="1:11" x14ac:dyDescent="0.2">
      <c r="A241" t="s">
        <v>241</v>
      </c>
      <c r="B241" s="1">
        <v>40811</v>
      </c>
      <c r="C241" t="s">
        <v>384</v>
      </c>
      <c r="D241">
        <v>2</v>
      </c>
      <c r="E241">
        <v>9</v>
      </c>
      <c r="F241">
        <v>2011</v>
      </c>
      <c r="I241">
        <v>0</v>
      </c>
      <c r="J241" t="str">
        <f t="shared" si="6"/>
        <v>No Event</v>
      </c>
      <c r="K241" t="str">
        <f t="shared" si="7"/>
        <v>No Event Type</v>
      </c>
    </row>
    <row r="242" spans="1:11" x14ac:dyDescent="0.2">
      <c r="A242" t="s">
        <v>242</v>
      </c>
      <c r="B242" s="1">
        <v>40812</v>
      </c>
      <c r="C242" t="s">
        <v>385</v>
      </c>
      <c r="D242">
        <v>3</v>
      </c>
      <c r="E242">
        <v>9</v>
      </c>
      <c r="F242">
        <v>2011</v>
      </c>
      <c r="I242">
        <v>0</v>
      </c>
      <c r="J242" t="str">
        <f t="shared" si="6"/>
        <v>No Event</v>
      </c>
      <c r="K242" t="str">
        <f t="shared" si="7"/>
        <v>No Event Type</v>
      </c>
    </row>
    <row r="243" spans="1:11" x14ac:dyDescent="0.2">
      <c r="A243" t="s">
        <v>243</v>
      </c>
      <c r="B243" s="1">
        <v>40813</v>
      </c>
      <c r="C243" t="s">
        <v>386</v>
      </c>
      <c r="D243">
        <v>4</v>
      </c>
      <c r="E243">
        <v>9</v>
      </c>
      <c r="F243">
        <v>2011</v>
      </c>
      <c r="I243">
        <v>0</v>
      </c>
      <c r="J243" t="str">
        <f t="shared" si="6"/>
        <v>No Event</v>
      </c>
      <c r="K243" t="str">
        <f t="shared" si="7"/>
        <v>No Event Type</v>
      </c>
    </row>
    <row r="244" spans="1:11" x14ac:dyDescent="0.2">
      <c r="A244" t="s">
        <v>244</v>
      </c>
      <c r="B244" s="1">
        <v>40814</v>
      </c>
      <c r="C244" t="s">
        <v>387</v>
      </c>
      <c r="D244">
        <v>5</v>
      </c>
      <c r="E244">
        <v>9</v>
      </c>
      <c r="F244">
        <v>2011</v>
      </c>
      <c r="I244">
        <v>0</v>
      </c>
      <c r="J244" t="str">
        <f t="shared" si="6"/>
        <v>No Event</v>
      </c>
      <c r="K244" t="str">
        <f t="shared" si="7"/>
        <v>No Event Type</v>
      </c>
    </row>
    <row r="245" spans="1:11" x14ac:dyDescent="0.2">
      <c r="A245" t="s">
        <v>245</v>
      </c>
      <c r="B245" s="1">
        <v>40815</v>
      </c>
      <c r="C245" t="s">
        <v>388</v>
      </c>
      <c r="D245">
        <v>6</v>
      </c>
      <c r="E245">
        <v>9</v>
      </c>
      <c r="F245">
        <v>2011</v>
      </c>
      <c r="I245">
        <v>0</v>
      </c>
      <c r="J245" t="str">
        <f t="shared" si="6"/>
        <v>No Event</v>
      </c>
      <c r="K245" t="str">
        <f t="shared" si="7"/>
        <v>No Event Type</v>
      </c>
    </row>
    <row r="246" spans="1:11" x14ac:dyDescent="0.2">
      <c r="A246" t="s">
        <v>246</v>
      </c>
      <c r="B246" s="1">
        <v>40816</v>
      </c>
      <c r="C246" t="s">
        <v>389</v>
      </c>
      <c r="D246">
        <v>7</v>
      </c>
      <c r="E246">
        <v>9</v>
      </c>
      <c r="F246">
        <v>2011</v>
      </c>
      <c r="I246">
        <v>0</v>
      </c>
      <c r="J246" t="str">
        <f t="shared" si="6"/>
        <v>No Event</v>
      </c>
      <c r="K246" t="str">
        <f t="shared" si="7"/>
        <v>No Event Type</v>
      </c>
    </row>
    <row r="247" spans="1:11" x14ac:dyDescent="0.2">
      <c r="A247" t="s">
        <v>247</v>
      </c>
      <c r="B247" s="1">
        <v>40817</v>
      </c>
      <c r="C247" t="s">
        <v>383</v>
      </c>
      <c r="D247">
        <v>1</v>
      </c>
      <c r="E247">
        <v>10</v>
      </c>
      <c r="F247">
        <v>2011</v>
      </c>
      <c r="I247">
        <v>1</v>
      </c>
      <c r="J247" t="str">
        <f t="shared" si="6"/>
        <v>No Event</v>
      </c>
      <c r="K247" t="str">
        <f t="shared" si="7"/>
        <v>No Event Type</v>
      </c>
    </row>
    <row r="248" spans="1:11" x14ac:dyDescent="0.2">
      <c r="A248" t="s">
        <v>248</v>
      </c>
      <c r="B248" s="1">
        <v>40818</v>
      </c>
      <c r="C248" t="s">
        <v>384</v>
      </c>
      <c r="D248">
        <v>2</v>
      </c>
      <c r="E248">
        <v>10</v>
      </c>
      <c r="F248">
        <v>2011</v>
      </c>
      <c r="I248">
        <v>1</v>
      </c>
      <c r="J248" t="str">
        <f t="shared" si="6"/>
        <v>No Event</v>
      </c>
      <c r="K248" t="str">
        <f t="shared" si="7"/>
        <v>No Event Type</v>
      </c>
    </row>
    <row r="249" spans="1:11" x14ac:dyDescent="0.2">
      <c r="A249" t="s">
        <v>249</v>
      </c>
      <c r="B249" s="1">
        <v>40819</v>
      </c>
      <c r="C249" t="s">
        <v>385</v>
      </c>
      <c r="D249">
        <v>3</v>
      </c>
      <c r="E249">
        <v>10</v>
      </c>
      <c r="F249">
        <v>2011</v>
      </c>
      <c r="I249">
        <v>1</v>
      </c>
      <c r="J249" t="str">
        <f t="shared" si="6"/>
        <v>No Event</v>
      </c>
      <c r="K249" t="str">
        <f t="shared" si="7"/>
        <v>No Event Type</v>
      </c>
    </row>
    <row r="250" spans="1:11" x14ac:dyDescent="0.2">
      <c r="A250" t="s">
        <v>250</v>
      </c>
      <c r="B250" s="1">
        <v>40820</v>
      </c>
      <c r="C250" t="s">
        <v>386</v>
      </c>
      <c r="D250">
        <v>4</v>
      </c>
      <c r="E250">
        <v>10</v>
      </c>
      <c r="F250">
        <v>2011</v>
      </c>
      <c r="I250">
        <v>1</v>
      </c>
      <c r="J250" t="str">
        <f t="shared" si="6"/>
        <v>No Event</v>
      </c>
      <c r="K250" t="str">
        <f t="shared" si="7"/>
        <v>No Event Type</v>
      </c>
    </row>
    <row r="251" spans="1:11" x14ac:dyDescent="0.2">
      <c r="A251" t="s">
        <v>251</v>
      </c>
      <c r="B251" s="1">
        <v>40821</v>
      </c>
      <c r="C251" t="s">
        <v>387</v>
      </c>
      <c r="D251">
        <v>5</v>
      </c>
      <c r="E251">
        <v>10</v>
      </c>
      <c r="F251">
        <v>2011</v>
      </c>
      <c r="I251">
        <v>1</v>
      </c>
      <c r="J251" t="str">
        <f t="shared" si="6"/>
        <v>No Event</v>
      </c>
      <c r="K251" t="str">
        <f t="shared" si="7"/>
        <v>No Event Type</v>
      </c>
    </row>
    <row r="252" spans="1:11" x14ac:dyDescent="0.2">
      <c r="A252" t="s">
        <v>252</v>
      </c>
      <c r="B252" s="1">
        <v>40822</v>
      </c>
      <c r="C252" t="s">
        <v>388</v>
      </c>
      <c r="D252">
        <v>6</v>
      </c>
      <c r="E252">
        <v>10</v>
      </c>
      <c r="F252">
        <v>2011</v>
      </c>
      <c r="I252">
        <v>1</v>
      </c>
      <c r="J252" t="str">
        <f t="shared" si="6"/>
        <v>No Event</v>
      </c>
      <c r="K252" t="str">
        <f t="shared" si="7"/>
        <v>No Event Type</v>
      </c>
    </row>
    <row r="253" spans="1:11" x14ac:dyDescent="0.2">
      <c r="A253" t="s">
        <v>253</v>
      </c>
      <c r="B253" s="1">
        <v>40823</v>
      </c>
      <c r="C253" t="s">
        <v>389</v>
      </c>
      <c r="D253">
        <v>7</v>
      </c>
      <c r="E253">
        <v>10</v>
      </c>
      <c r="F253">
        <v>2011</v>
      </c>
      <c r="I253">
        <v>1</v>
      </c>
      <c r="J253" t="str">
        <f t="shared" si="6"/>
        <v>No Event</v>
      </c>
      <c r="K253" t="str">
        <f t="shared" si="7"/>
        <v>No Event Type</v>
      </c>
    </row>
    <row r="254" spans="1:11" x14ac:dyDescent="0.2">
      <c r="A254" t="s">
        <v>254</v>
      </c>
      <c r="B254" s="1">
        <v>40824</v>
      </c>
      <c r="C254" t="s">
        <v>383</v>
      </c>
      <c r="D254">
        <v>1</v>
      </c>
      <c r="E254">
        <v>10</v>
      </c>
      <c r="F254">
        <v>2011</v>
      </c>
      <c r="I254">
        <v>1</v>
      </c>
      <c r="J254" t="str">
        <f t="shared" si="6"/>
        <v>No Event</v>
      </c>
      <c r="K254" t="str">
        <f t="shared" si="7"/>
        <v>No Event Type</v>
      </c>
    </row>
    <row r="255" spans="1:11" x14ac:dyDescent="0.2">
      <c r="A255" t="s">
        <v>255</v>
      </c>
      <c r="B255" s="1">
        <v>40825</v>
      </c>
      <c r="C255" t="s">
        <v>384</v>
      </c>
      <c r="D255">
        <v>2</v>
      </c>
      <c r="E255">
        <v>10</v>
      </c>
      <c r="F255">
        <v>2011</v>
      </c>
      <c r="I255">
        <v>1</v>
      </c>
      <c r="J255" t="str">
        <f t="shared" si="6"/>
        <v>No Event</v>
      </c>
      <c r="K255" t="str">
        <f t="shared" si="7"/>
        <v>No Event Type</v>
      </c>
    </row>
    <row r="256" spans="1:11" x14ac:dyDescent="0.2">
      <c r="A256" t="s">
        <v>256</v>
      </c>
      <c r="B256" s="1">
        <v>40826</v>
      </c>
      <c r="C256" t="s">
        <v>385</v>
      </c>
      <c r="D256">
        <v>3</v>
      </c>
      <c r="E256">
        <v>10</v>
      </c>
      <c r="F256">
        <v>2011</v>
      </c>
      <c r="G256" t="s">
        <v>413</v>
      </c>
      <c r="H256" t="s">
        <v>395</v>
      </c>
      <c r="I256">
        <v>1</v>
      </c>
      <c r="J256" t="str">
        <f t="shared" si="6"/>
        <v>ColumbusDay</v>
      </c>
      <c r="K256" t="str">
        <f t="shared" si="7"/>
        <v>National</v>
      </c>
    </row>
    <row r="257" spans="1:11" x14ac:dyDescent="0.2">
      <c r="A257" t="s">
        <v>257</v>
      </c>
      <c r="B257" s="1">
        <v>40827</v>
      </c>
      <c r="C257" t="s">
        <v>386</v>
      </c>
      <c r="D257">
        <v>4</v>
      </c>
      <c r="E257">
        <v>10</v>
      </c>
      <c r="F257">
        <v>2011</v>
      </c>
      <c r="I257">
        <v>0</v>
      </c>
      <c r="J257" t="str">
        <f t="shared" si="6"/>
        <v>No Event</v>
      </c>
      <c r="K257" t="str">
        <f t="shared" si="7"/>
        <v>No Event Type</v>
      </c>
    </row>
    <row r="258" spans="1:11" x14ac:dyDescent="0.2">
      <c r="A258" t="s">
        <v>258</v>
      </c>
      <c r="B258" s="1">
        <v>40828</v>
      </c>
      <c r="C258" t="s">
        <v>387</v>
      </c>
      <c r="D258">
        <v>5</v>
      </c>
      <c r="E258">
        <v>10</v>
      </c>
      <c r="F258">
        <v>2011</v>
      </c>
      <c r="I258">
        <v>0</v>
      </c>
      <c r="J258" t="str">
        <f t="shared" si="6"/>
        <v>No Event</v>
      </c>
      <c r="K258" t="str">
        <f t="shared" si="7"/>
        <v>No Event Type</v>
      </c>
    </row>
    <row r="259" spans="1:11" x14ac:dyDescent="0.2">
      <c r="A259" t="s">
        <v>259</v>
      </c>
      <c r="B259" s="1">
        <v>40829</v>
      </c>
      <c r="C259" t="s">
        <v>388</v>
      </c>
      <c r="D259">
        <v>6</v>
      </c>
      <c r="E259">
        <v>10</v>
      </c>
      <c r="F259">
        <v>2011</v>
      </c>
      <c r="I259">
        <v>0</v>
      </c>
      <c r="J259" t="str">
        <f t="shared" ref="J259:J322" si="8">IF(G259="", "No Event",G259)</f>
        <v>No Event</v>
      </c>
      <c r="K259" t="str">
        <f t="shared" ref="K259:K322" si="9">IF(H259="", "No Event Type",H259)</f>
        <v>No Event Type</v>
      </c>
    </row>
    <row r="260" spans="1:11" x14ac:dyDescent="0.2">
      <c r="A260" t="s">
        <v>260</v>
      </c>
      <c r="B260" s="1">
        <v>40830</v>
      </c>
      <c r="C260" t="s">
        <v>389</v>
      </c>
      <c r="D260">
        <v>7</v>
      </c>
      <c r="E260">
        <v>10</v>
      </c>
      <c r="F260">
        <v>2011</v>
      </c>
      <c r="I260">
        <v>0</v>
      </c>
      <c r="J260" t="str">
        <f t="shared" si="8"/>
        <v>No Event</v>
      </c>
      <c r="K260" t="str">
        <f t="shared" si="9"/>
        <v>No Event Type</v>
      </c>
    </row>
    <row r="261" spans="1:11" x14ac:dyDescent="0.2">
      <c r="A261" t="s">
        <v>261</v>
      </c>
      <c r="B261" s="1">
        <v>40831</v>
      </c>
      <c r="C261" t="s">
        <v>383</v>
      </c>
      <c r="D261">
        <v>1</v>
      </c>
      <c r="E261">
        <v>10</v>
      </c>
      <c r="F261">
        <v>2011</v>
      </c>
      <c r="I261">
        <v>0</v>
      </c>
      <c r="J261" t="str">
        <f t="shared" si="8"/>
        <v>No Event</v>
      </c>
      <c r="K261" t="str">
        <f t="shared" si="9"/>
        <v>No Event Type</v>
      </c>
    </row>
    <row r="262" spans="1:11" x14ac:dyDescent="0.2">
      <c r="A262" t="s">
        <v>262</v>
      </c>
      <c r="B262" s="1">
        <v>40832</v>
      </c>
      <c r="C262" t="s">
        <v>384</v>
      </c>
      <c r="D262">
        <v>2</v>
      </c>
      <c r="E262">
        <v>10</v>
      </c>
      <c r="F262">
        <v>2011</v>
      </c>
      <c r="I262">
        <v>0</v>
      </c>
      <c r="J262" t="str">
        <f t="shared" si="8"/>
        <v>No Event</v>
      </c>
      <c r="K262" t="str">
        <f t="shared" si="9"/>
        <v>No Event Type</v>
      </c>
    </row>
    <row r="263" spans="1:11" x14ac:dyDescent="0.2">
      <c r="A263" t="s">
        <v>263</v>
      </c>
      <c r="B263" s="1">
        <v>40833</v>
      </c>
      <c r="C263" t="s">
        <v>385</v>
      </c>
      <c r="D263">
        <v>3</v>
      </c>
      <c r="E263">
        <v>10</v>
      </c>
      <c r="F263">
        <v>2011</v>
      </c>
      <c r="I263">
        <v>0</v>
      </c>
      <c r="J263" t="str">
        <f t="shared" si="8"/>
        <v>No Event</v>
      </c>
      <c r="K263" t="str">
        <f t="shared" si="9"/>
        <v>No Event Type</v>
      </c>
    </row>
    <row r="264" spans="1:11" x14ac:dyDescent="0.2">
      <c r="A264" t="s">
        <v>264</v>
      </c>
      <c r="B264" s="1">
        <v>40834</v>
      </c>
      <c r="C264" t="s">
        <v>386</v>
      </c>
      <c r="D264">
        <v>4</v>
      </c>
      <c r="E264">
        <v>10</v>
      </c>
      <c r="F264">
        <v>2011</v>
      </c>
      <c r="I264">
        <v>0</v>
      </c>
      <c r="J264" t="str">
        <f t="shared" si="8"/>
        <v>No Event</v>
      </c>
      <c r="K264" t="str">
        <f t="shared" si="9"/>
        <v>No Event Type</v>
      </c>
    </row>
    <row r="265" spans="1:11" x14ac:dyDescent="0.2">
      <c r="A265" t="s">
        <v>265</v>
      </c>
      <c r="B265" s="1">
        <v>40835</v>
      </c>
      <c r="C265" t="s">
        <v>387</v>
      </c>
      <c r="D265">
        <v>5</v>
      </c>
      <c r="E265">
        <v>10</v>
      </c>
      <c r="F265">
        <v>2011</v>
      </c>
      <c r="I265">
        <v>0</v>
      </c>
      <c r="J265" t="str">
        <f t="shared" si="8"/>
        <v>No Event</v>
      </c>
      <c r="K265" t="str">
        <f t="shared" si="9"/>
        <v>No Event Type</v>
      </c>
    </row>
    <row r="266" spans="1:11" x14ac:dyDescent="0.2">
      <c r="A266" t="s">
        <v>266</v>
      </c>
      <c r="B266" s="1">
        <v>40836</v>
      </c>
      <c r="C266" t="s">
        <v>388</v>
      </c>
      <c r="D266">
        <v>6</v>
      </c>
      <c r="E266">
        <v>10</v>
      </c>
      <c r="F266">
        <v>2011</v>
      </c>
      <c r="I266">
        <v>0</v>
      </c>
      <c r="J266" t="str">
        <f t="shared" si="8"/>
        <v>No Event</v>
      </c>
      <c r="K266" t="str">
        <f t="shared" si="9"/>
        <v>No Event Type</v>
      </c>
    </row>
    <row r="267" spans="1:11" x14ac:dyDescent="0.2">
      <c r="A267" t="s">
        <v>267</v>
      </c>
      <c r="B267" s="1">
        <v>40837</v>
      </c>
      <c r="C267" t="s">
        <v>389</v>
      </c>
      <c r="D267">
        <v>7</v>
      </c>
      <c r="E267">
        <v>10</v>
      </c>
      <c r="F267">
        <v>2011</v>
      </c>
      <c r="I267">
        <v>0</v>
      </c>
      <c r="J267" t="str">
        <f t="shared" si="8"/>
        <v>No Event</v>
      </c>
      <c r="K267" t="str">
        <f t="shared" si="9"/>
        <v>No Event Type</v>
      </c>
    </row>
    <row r="268" spans="1:11" x14ac:dyDescent="0.2">
      <c r="A268" t="s">
        <v>268</v>
      </c>
      <c r="B268" s="1">
        <v>40838</v>
      </c>
      <c r="C268" t="s">
        <v>383</v>
      </c>
      <c r="D268">
        <v>1</v>
      </c>
      <c r="E268">
        <v>10</v>
      </c>
      <c r="F268">
        <v>2011</v>
      </c>
      <c r="I268">
        <v>0</v>
      </c>
      <c r="J268" t="str">
        <f t="shared" si="8"/>
        <v>No Event</v>
      </c>
      <c r="K268" t="str">
        <f t="shared" si="9"/>
        <v>No Event Type</v>
      </c>
    </row>
    <row r="269" spans="1:11" x14ac:dyDescent="0.2">
      <c r="A269" t="s">
        <v>269</v>
      </c>
      <c r="B269" s="1">
        <v>40839</v>
      </c>
      <c r="C269" t="s">
        <v>384</v>
      </c>
      <c r="D269">
        <v>2</v>
      </c>
      <c r="E269">
        <v>10</v>
      </c>
      <c r="F269">
        <v>2011</v>
      </c>
      <c r="I269">
        <v>0</v>
      </c>
      <c r="J269" t="str">
        <f t="shared" si="8"/>
        <v>No Event</v>
      </c>
      <c r="K269" t="str">
        <f t="shared" si="9"/>
        <v>No Event Type</v>
      </c>
    </row>
    <row r="270" spans="1:11" x14ac:dyDescent="0.2">
      <c r="A270" t="s">
        <v>270</v>
      </c>
      <c r="B270" s="1">
        <v>40840</v>
      </c>
      <c r="C270" t="s">
        <v>385</v>
      </c>
      <c r="D270">
        <v>3</v>
      </c>
      <c r="E270">
        <v>10</v>
      </c>
      <c r="F270">
        <v>2011</v>
      </c>
      <c r="I270">
        <v>0</v>
      </c>
      <c r="J270" t="str">
        <f t="shared" si="8"/>
        <v>No Event</v>
      </c>
      <c r="K270" t="str">
        <f t="shared" si="9"/>
        <v>No Event Type</v>
      </c>
    </row>
    <row r="271" spans="1:11" x14ac:dyDescent="0.2">
      <c r="A271" t="s">
        <v>271</v>
      </c>
      <c r="B271" s="1">
        <v>40841</v>
      </c>
      <c r="C271" t="s">
        <v>386</v>
      </c>
      <c r="D271">
        <v>4</v>
      </c>
      <c r="E271">
        <v>10</v>
      </c>
      <c r="F271">
        <v>2011</v>
      </c>
      <c r="I271">
        <v>0</v>
      </c>
      <c r="J271" t="str">
        <f t="shared" si="8"/>
        <v>No Event</v>
      </c>
      <c r="K271" t="str">
        <f t="shared" si="9"/>
        <v>No Event Type</v>
      </c>
    </row>
    <row r="272" spans="1:11" x14ac:dyDescent="0.2">
      <c r="A272" t="s">
        <v>272</v>
      </c>
      <c r="B272" s="1">
        <v>40842</v>
      </c>
      <c r="C272" t="s">
        <v>387</v>
      </c>
      <c r="D272">
        <v>5</v>
      </c>
      <c r="E272">
        <v>10</v>
      </c>
      <c r="F272">
        <v>2011</v>
      </c>
      <c r="I272">
        <v>0</v>
      </c>
      <c r="J272" t="str">
        <f t="shared" si="8"/>
        <v>No Event</v>
      </c>
      <c r="K272" t="str">
        <f t="shared" si="9"/>
        <v>No Event Type</v>
      </c>
    </row>
    <row r="273" spans="1:11" x14ac:dyDescent="0.2">
      <c r="A273" t="s">
        <v>273</v>
      </c>
      <c r="B273" s="1">
        <v>40843</v>
      </c>
      <c r="C273" t="s">
        <v>388</v>
      </c>
      <c r="D273">
        <v>6</v>
      </c>
      <c r="E273">
        <v>10</v>
      </c>
      <c r="F273">
        <v>2011</v>
      </c>
      <c r="I273">
        <v>0</v>
      </c>
      <c r="J273" t="str">
        <f t="shared" si="8"/>
        <v>No Event</v>
      </c>
      <c r="K273" t="str">
        <f t="shared" si="9"/>
        <v>No Event Type</v>
      </c>
    </row>
    <row r="274" spans="1:11" x14ac:dyDescent="0.2">
      <c r="A274" t="s">
        <v>274</v>
      </c>
      <c r="B274" s="1">
        <v>40844</v>
      </c>
      <c r="C274" t="s">
        <v>389</v>
      </c>
      <c r="D274">
        <v>7</v>
      </c>
      <c r="E274">
        <v>10</v>
      </c>
      <c r="F274">
        <v>2011</v>
      </c>
      <c r="I274">
        <v>0</v>
      </c>
      <c r="J274" t="str">
        <f t="shared" si="8"/>
        <v>No Event</v>
      </c>
      <c r="K274" t="str">
        <f t="shared" si="9"/>
        <v>No Event Type</v>
      </c>
    </row>
    <row r="275" spans="1:11" x14ac:dyDescent="0.2">
      <c r="A275" t="s">
        <v>275</v>
      </c>
      <c r="B275" s="1">
        <v>40845</v>
      </c>
      <c r="C275" t="s">
        <v>383</v>
      </c>
      <c r="D275">
        <v>1</v>
      </c>
      <c r="E275">
        <v>10</v>
      </c>
      <c r="F275">
        <v>2011</v>
      </c>
      <c r="I275">
        <v>0</v>
      </c>
      <c r="J275" t="str">
        <f t="shared" si="8"/>
        <v>No Event</v>
      </c>
      <c r="K275" t="str">
        <f t="shared" si="9"/>
        <v>No Event Type</v>
      </c>
    </row>
    <row r="276" spans="1:11" x14ac:dyDescent="0.2">
      <c r="A276" t="s">
        <v>276</v>
      </c>
      <c r="B276" s="1">
        <v>40846</v>
      </c>
      <c r="C276" t="s">
        <v>384</v>
      </c>
      <c r="D276">
        <v>2</v>
      </c>
      <c r="E276">
        <v>10</v>
      </c>
      <c r="F276">
        <v>2011</v>
      </c>
      <c r="I276">
        <v>0</v>
      </c>
      <c r="J276" t="str">
        <f t="shared" si="8"/>
        <v>No Event</v>
      </c>
      <c r="K276" t="str">
        <f t="shared" si="9"/>
        <v>No Event Type</v>
      </c>
    </row>
    <row r="277" spans="1:11" x14ac:dyDescent="0.2">
      <c r="A277" t="s">
        <v>277</v>
      </c>
      <c r="B277" s="1">
        <v>40847</v>
      </c>
      <c r="C277" t="s">
        <v>385</v>
      </c>
      <c r="D277">
        <v>3</v>
      </c>
      <c r="E277">
        <v>10</v>
      </c>
      <c r="F277">
        <v>2011</v>
      </c>
      <c r="G277" t="s">
        <v>414</v>
      </c>
      <c r="H277" t="s">
        <v>393</v>
      </c>
      <c r="I277">
        <v>0</v>
      </c>
      <c r="J277" t="str">
        <f t="shared" si="8"/>
        <v>Halloween</v>
      </c>
      <c r="K277" t="str">
        <f t="shared" si="9"/>
        <v>Cultural</v>
      </c>
    </row>
    <row r="278" spans="1:11" x14ac:dyDescent="0.2">
      <c r="A278" t="s">
        <v>278</v>
      </c>
      <c r="B278" s="1">
        <v>40848</v>
      </c>
      <c r="C278" t="s">
        <v>386</v>
      </c>
      <c r="D278">
        <v>4</v>
      </c>
      <c r="E278">
        <v>11</v>
      </c>
      <c r="F278">
        <v>2011</v>
      </c>
      <c r="I278">
        <v>1</v>
      </c>
      <c r="J278" t="str">
        <f t="shared" si="8"/>
        <v>No Event</v>
      </c>
      <c r="K278" t="str">
        <f t="shared" si="9"/>
        <v>No Event Type</v>
      </c>
    </row>
    <row r="279" spans="1:11" x14ac:dyDescent="0.2">
      <c r="A279" t="s">
        <v>279</v>
      </c>
      <c r="B279" s="1">
        <v>40849</v>
      </c>
      <c r="C279" t="s">
        <v>387</v>
      </c>
      <c r="D279">
        <v>5</v>
      </c>
      <c r="E279">
        <v>11</v>
      </c>
      <c r="F279">
        <v>2011</v>
      </c>
      <c r="I279">
        <v>1</v>
      </c>
      <c r="J279" t="str">
        <f t="shared" si="8"/>
        <v>No Event</v>
      </c>
      <c r="K279" t="str">
        <f t="shared" si="9"/>
        <v>No Event Type</v>
      </c>
    </row>
    <row r="280" spans="1:11" x14ac:dyDescent="0.2">
      <c r="A280" t="s">
        <v>280</v>
      </c>
      <c r="B280" s="1">
        <v>40850</v>
      </c>
      <c r="C280" t="s">
        <v>388</v>
      </c>
      <c r="D280">
        <v>6</v>
      </c>
      <c r="E280">
        <v>11</v>
      </c>
      <c r="F280">
        <v>2011</v>
      </c>
      <c r="I280">
        <v>1</v>
      </c>
      <c r="J280" t="str">
        <f t="shared" si="8"/>
        <v>No Event</v>
      </c>
      <c r="K280" t="str">
        <f t="shared" si="9"/>
        <v>No Event Type</v>
      </c>
    </row>
    <row r="281" spans="1:11" x14ac:dyDescent="0.2">
      <c r="A281" t="s">
        <v>281</v>
      </c>
      <c r="B281" s="1">
        <v>40851</v>
      </c>
      <c r="C281" t="s">
        <v>389</v>
      </c>
      <c r="D281">
        <v>7</v>
      </c>
      <c r="E281">
        <v>11</v>
      </c>
      <c r="F281">
        <v>2011</v>
      </c>
      <c r="I281">
        <v>1</v>
      </c>
      <c r="J281" t="str">
        <f t="shared" si="8"/>
        <v>No Event</v>
      </c>
      <c r="K281" t="str">
        <f t="shared" si="9"/>
        <v>No Event Type</v>
      </c>
    </row>
    <row r="282" spans="1:11" x14ac:dyDescent="0.2">
      <c r="A282" t="s">
        <v>282</v>
      </c>
      <c r="B282" s="1">
        <v>40852</v>
      </c>
      <c r="C282" t="s">
        <v>383</v>
      </c>
      <c r="D282">
        <v>1</v>
      </c>
      <c r="E282">
        <v>11</v>
      </c>
      <c r="F282">
        <v>2011</v>
      </c>
      <c r="I282">
        <v>1</v>
      </c>
      <c r="J282" t="str">
        <f t="shared" si="8"/>
        <v>No Event</v>
      </c>
      <c r="K282" t="str">
        <f t="shared" si="9"/>
        <v>No Event Type</v>
      </c>
    </row>
    <row r="283" spans="1:11" x14ac:dyDescent="0.2">
      <c r="A283" t="s">
        <v>283</v>
      </c>
      <c r="B283" s="1">
        <v>40853</v>
      </c>
      <c r="C283" t="s">
        <v>384</v>
      </c>
      <c r="D283">
        <v>2</v>
      </c>
      <c r="E283">
        <v>11</v>
      </c>
      <c r="F283">
        <v>2011</v>
      </c>
      <c r="I283">
        <v>1</v>
      </c>
      <c r="J283" t="str">
        <f t="shared" si="8"/>
        <v>No Event</v>
      </c>
      <c r="K283" t="str">
        <f t="shared" si="9"/>
        <v>No Event Type</v>
      </c>
    </row>
    <row r="284" spans="1:11" x14ac:dyDescent="0.2">
      <c r="A284" t="s">
        <v>284</v>
      </c>
      <c r="B284" s="1">
        <v>40854</v>
      </c>
      <c r="C284" t="s">
        <v>385</v>
      </c>
      <c r="D284">
        <v>3</v>
      </c>
      <c r="E284">
        <v>11</v>
      </c>
      <c r="F284">
        <v>2011</v>
      </c>
      <c r="G284" t="s">
        <v>415</v>
      </c>
      <c r="H284" t="s">
        <v>397</v>
      </c>
      <c r="I284">
        <v>1</v>
      </c>
      <c r="J284" t="str">
        <f t="shared" si="8"/>
        <v>EidAlAdha</v>
      </c>
      <c r="K284" t="str">
        <f t="shared" si="9"/>
        <v>Religious</v>
      </c>
    </row>
    <row r="285" spans="1:11" x14ac:dyDescent="0.2">
      <c r="A285" t="s">
        <v>285</v>
      </c>
      <c r="B285" s="1">
        <v>40855</v>
      </c>
      <c r="C285" t="s">
        <v>386</v>
      </c>
      <c r="D285">
        <v>4</v>
      </c>
      <c r="E285">
        <v>11</v>
      </c>
      <c r="F285">
        <v>2011</v>
      </c>
      <c r="I285">
        <v>1</v>
      </c>
      <c r="J285" t="str">
        <f t="shared" si="8"/>
        <v>No Event</v>
      </c>
      <c r="K285" t="str">
        <f t="shared" si="9"/>
        <v>No Event Type</v>
      </c>
    </row>
    <row r="286" spans="1:11" x14ac:dyDescent="0.2">
      <c r="A286" t="s">
        <v>286</v>
      </c>
      <c r="B286" s="1">
        <v>40856</v>
      </c>
      <c r="C286" t="s">
        <v>387</v>
      </c>
      <c r="D286">
        <v>5</v>
      </c>
      <c r="E286">
        <v>11</v>
      </c>
      <c r="F286">
        <v>2011</v>
      </c>
      <c r="I286">
        <v>1</v>
      </c>
      <c r="J286" t="str">
        <f t="shared" si="8"/>
        <v>No Event</v>
      </c>
      <c r="K286" t="str">
        <f t="shared" si="9"/>
        <v>No Event Type</v>
      </c>
    </row>
    <row r="287" spans="1:11" x14ac:dyDescent="0.2">
      <c r="A287" t="s">
        <v>287</v>
      </c>
      <c r="B287" s="1">
        <v>40857</v>
      </c>
      <c r="C287" t="s">
        <v>388</v>
      </c>
      <c r="D287">
        <v>6</v>
      </c>
      <c r="E287">
        <v>11</v>
      </c>
      <c r="F287">
        <v>2011</v>
      </c>
      <c r="I287">
        <v>1</v>
      </c>
      <c r="J287" t="str">
        <f t="shared" si="8"/>
        <v>No Event</v>
      </c>
      <c r="K287" t="str">
        <f t="shared" si="9"/>
        <v>No Event Type</v>
      </c>
    </row>
    <row r="288" spans="1:11" x14ac:dyDescent="0.2">
      <c r="A288" t="s">
        <v>288</v>
      </c>
      <c r="B288" s="1">
        <v>40858</v>
      </c>
      <c r="C288" t="s">
        <v>389</v>
      </c>
      <c r="D288">
        <v>7</v>
      </c>
      <c r="E288">
        <v>11</v>
      </c>
      <c r="F288">
        <v>2011</v>
      </c>
      <c r="G288" t="s">
        <v>416</v>
      </c>
      <c r="H288" t="s">
        <v>395</v>
      </c>
      <c r="I288">
        <v>0</v>
      </c>
      <c r="J288" t="str">
        <f t="shared" si="8"/>
        <v>VeteransDay</v>
      </c>
      <c r="K288" t="str">
        <f t="shared" si="9"/>
        <v>National</v>
      </c>
    </row>
    <row r="289" spans="1:11" x14ac:dyDescent="0.2">
      <c r="A289" t="s">
        <v>289</v>
      </c>
      <c r="B289" s="1">
        <v>40859</v>
      </c>
      <c r="C289" t="s">
        <v>383</v>
      </c>
      <c r="D289">
        <v>1</v>
      </c>
      <c r="E289">
        <v>11</v>
      </c>
      <c r="F289">
        <v>2011</v>
      </c>
      <c r="I289">
        <v>0</v>
      </c>
      <c r="J289" t="str">
        <f t="shared" si="8"/>
        <v>No Event</v>
      </c>
      <c r="K289" t="str">
        <f t="shared" si="9"/>
        <v>No Event Type</v>
      </c>
    </row>
    <row r="290" spans="1:11" x14ac:dyDescent="0.2">
      <c r="A290" t="s">
        <v>290</v>
      </c>
      <c r="B290" s="1">
        <v>40860</v>
      </c>
      <c r="C290" t="s">
        <v>384</v>
      </c>
      <c r="D290">
        <v>2</v>
      </c>
      <c r="E290">
        <v>11</v>
      </c>
      <c r="F290">
        <v>2011</v>
      </c>
      <c r="I290">
        <v>0</v>
      </c>
      <c r="J290" t="str">
        <f t="shared" si="8"/>
        <v>No Event</v>
      </c>
      <c r="K290" t="str">
        <f t="shared" si="9"/>
        <v>No Event Type</v>
      </c>
    </row>
    <row r="291" spans="1:11" x14ac:dyDescent="0.2">
      <c r="A291" t="s">
        <v>291</v>
      </c>
      <c r="B291" s="1">
        <v>40861</v>
      </c>
      <c r="C291" t="s">
        <v>385</v>
      </c>
      <c r="D291">
        <v>3</v>
      </c>
      <c r="E291">
        <v>11</v>
      </c>
      <c r="F291">
        <v>2011</v>
      </c>
      <c r="I291">
        <v>0</v>
      </c>
      <c r="J291" t="str">
        <f t="shared" si="8"/>
        <v>No Event</v>
      </c>
      <c r="K291" t="str">
        <f t="shared" si="9"/>
        <v>No Event Type</v>
      </c>
    </row>
    <row r="292" spans="1:11" x14ac:dyDescent="0.2">
      <c r="A292" t="s">
        <v>292</v>
      </c>
      <c r="B292" s="1">
        <v>40862</v>
      </c>
      <c r="C292" t="s">
        <v>386</v>
      </c>
      <c r="D292">
        <v>4</v>
      </c>
      <c r="E292">
        <v>11</v>
      </c>
      <c r="F292">
        <v>2011</v>
      </c>
      <c r="I292">
        <v>0</v>
      </c>
      <c r="J292" t="str">
        <f t="shared" si="8"/>
        <v>No Event</v>
      </c>
      <c r="K292" t="str">
        <f t="shared" si="9"/>
        <v>No Event Type</v>
      </c>
    </row>
    <row r="293" spans="1:11" x14ac:dyDescent="0.2">
      <c r="A293" t="s">
        <v>293</v>
      </c>
      <c r="B293" s="1">
        <v>40863</v>
      </c>
      <c r="C293" t="s">
        <v>387</v>
      </c>
      <c r="D293">
        <v>5</v>
      </c>
      <c r="E293">
        <v>11</v>
      </c>
      <c r="F293">
        <v>2011</v>
      </c>
      <c r="I293">
        <v>0</v>
      </c>
      <c r="J293" t="str">
        <f t="shared" si="8"/>
        <v>No Event</v>
      </c>
      <c r="K293" t="str">
        <f t="shared" si="9"/>
        <v>No Event Type</v>
      </c>
    </row>
    <row r="294" spans="1:11" x14ac:dyDescent="0.2">
      <c r="A294" t="s">
        <v>294</v>
      </c>
      <c r="B294" s="1">
        <v>40864</v>
      </c>
      <c r="C294" t="s">
        <v>388</v>
      </c>
      <c r="D294">
        <v>6</v>
      </c>
      <c r="E294">
        <v>11</v>
      </c>
      <c r="F294">
        <v>2011</v>
      </c>
      <c r="I294">
        <v>0</v>
      </c>
      <c r="J294" t="str">
        <f t="shared" si="8"/>
        <v>No Event</v>
      </c>
      <c r="K294" t="str">
        <f t="shared" si="9"/>
        <v>No Event Type</v>
      </c>
    </row>
    <row r="295" spans="1:11" x14ac:dyDescent="0.2">
      <c r="A295" t="s">
        <v>295</v>
      </c>
      <c r="B295" s="1">
        <v>40865</v>
      </c>
      <c r="C295" t="s">
        <v>389</v>
      </c>
      <c r="D295">
        <v>7</v>
      </c>
      <c r="E295">
        <v>11</v>
      </c>
      <c r="F295">
        <v>2011</v>
      </c>
      <c r="I295">
        <v>0</v>
      </c>
      <c r="J295" t="str">
        <f t="shared" si="8"/>
        <v>No Event</v>
      </c>
      <c r="K295" t="str">
        <f t="shared" si="9"/>
        <v>No Event Type</v>
      </c>
    </row>
    <row r="296" spans="1:11" x14ac:dyDescent="0.2">
      <c r="A296" t="s">
        <v>296</v>
      </c>
      <c r="B296" s="1">
        <v>40866</v>
      </c>
      <c r="C296" t="s">
        <v>383</v>
      </c>
      <c r="D296">
        <v>1</v>
      </c>
      <c r="E296">
        <v>11</v>
      </c>
      <c r="F296">
        <v>2011</v>
      </c>
      <c r="I296">
        <v>0</v>
      </c>
      <c r="J296" t="str">
        <f t="shared" si="8"/>
        <v>No Event</v>
      </c>
      <c r="K296" t="str">
        <f t="shared" si="9"/>
        <v>No Event Type</v>
      </c>
    </row>
    <row r="297" spans="1:11" x14ac:dyDescent="0.2">
      <c r="A297" t="s">
        <v>297</v>
      </c>
      <c r="B297" s="1">
        <v>40867</v>
      </c>
      <c r="C297" t="s">
        <v>384</v>
      </c>
      <c r="D297">
        <v>2</v>
      </c>
      <c r="E297">
        <v>11</v>
      </c>
      <c r="F297">
        <v>2011</v>
      </c>
      <c r="I297">
        <v>0</v>
      </c>
      <c r="J297" t="str">
        <f t="shared" si="8"/>
        <v>No Event</v>
      </c>
      <c r="K297" t="str">
        <f t="shared" si="9"/>
        <v>No Event Type</v>
      </c>
    </row>
    <row r="298" spans="1:11" x14ac:dyDescent="0.2">
      <c r="A298" t="s">
        <v>298</v>
      </c>
      <c r="B298" s="1">
        <v>40868</v>
      </c>
      <c r="C298" t="s">
        <v>385</v>
      </c>
      <c r="D298">
        <v>3</v>
      </c>
      <c r="E298">
        <v>11</v>
      </c>
      <c r="F298">
        <v>2011</v>
      </c>
      <c r="I298">
        <v>0</v>
      </c>
      <c r="J298" t="str">
        <f t="shared" si="8"/>
        <v>No Event</v>
      </c>
      <c r="K298" t="str">
        <f t="shared" si="9"/>
        <v>No Event Type</v>
      </c>
    </row>
    <row r="299" spans="1:11" x14ac:dyDescent="0.2">
      <c r="A299" t="s">
        <v>299</v>
      </c>
      <c r="B299" s="1">
        <v>40869</v>
      </c>
      <c r="C299" t="s">
        <v>386</v>
      </c>
      <c r="D299">
        <v>4</v>
      </c>
      <c r="E299">
        <v>11</v>
      </c>
      <c r="F299">
        <v>2011</v>
      </c>
      <c r="I299">
        <v>0</v>
      </c>
      <c r="J299" t="str">
        <f t="shared" si="8"/>
        <v>No Event</v>
      </c>
      <c r="K299" t="str">
        <f t="shared" si="9"/>
        <v>No Event Type</v>
      </c>
    </row>
    <row r="300" spans="1:11" x14ac:dyDescent="0.2">
      <c r="A300" t="s">
        <v>300</v>
      </c>
      <c r="B300" s="1">
        <v>40870</v>
      </c>
      <c r="C300" t="s">
        <v>387</v>
      </c>
      <c r="D300">
        <v>5</v>
      </c>
      <c r="E300">
        <v>11</v>
      </c>
      <c r="F300">
        <v>2011</v>
      </c>
      <c r="I300">
        <v>0</v>
      </c>
      <c r="J300" t="str">
        <f t="shared" si="8"/>
        <v>No Event</v>
      </c>
      <c r="K300" t="str">
        <f t="shared" si="9"/>
        <v>No Event Type</v>
      </c>
    </row>
    <row r="301" spans="1:11" x14ac:dyDescent="0.2">
      <c r="A301" t="s">
        <v>301</v>
      </c>
      <c r="B301" s="1">
        <v>40871</v>
      </c>
      <c r="C301" t="s">
        <v>388</v>
      </c>
      <c r="D301">
        <v>6</v>
      </c>
      <c r="E301">
        <v>11</v>
      </c>
      <c r="F301">
        <v>2011</v>
      </c>
      <c r="G301" t="s">
        <v>417</v>
      </c>
      <c r="H301" t="s">
        <v>395</v>
      </c>
      <c r="I301">
        <v>0</v>
      </c>
      <c r="J301" t="str">
        <f t="shared" si="8"/>
        <v>Thanksgiving</v>
      </c>
      <c r="K301" t="str">
        <f t="shared" si="9"/>
        <v>National</v>
      </c>
    </row>
    <row r="302" spans="1:11" x14ac:dyDescent="0.2">
      <c r="A302" t="s">
        <v>302</v>
      </c>
      <c r="B302" s="1">
        <v>40872</v>
      </c>
      <c r="C302" t="s">
        <v>389</v>
      </c>
      <c r="D302">
        <v>7</v>
      </c>
      <c r="E302">
        <v>11</v>
      </c>
      <c r="F302">
        <v>2011</v>
      </c>
      <c r="I302">
        <v>0</v>
      </c>
      <c r="J302" t="str">
        <f t="shared" si="8"/>
        <v>No Event</v>
      </c>
      <c r="K302" t="str">
        <f t="shared" si="9"/>
        <v>No Event Type</v>
      </c>
    </row>
    <row r="303" spans="1:11" x14ac:dyDescent="0.2">
      <c r="A303" t="s">
        <v>303</v>
      </c>
      <c r="B303" s="1">
        <v>40873</v>
      </c>
      <c r="C303" t="s">
        <v>383</v>
      </c>
      <c r="D303">
        <v>1</v>
      </c>
      <c r="E303">
        <v>11</v>
      </c>
      <c r="F303">
        <v>2011</v>
      </c>
      <c r="I303">
        <v>0</v>
      </c>
      <c r="J303" t="str">
        <f t="shared" si="8"/>
        <v>No Event</v>
      </c>
      <c r="K303" t="str">
        <f t="shared" si="9"/>
        <v>No Event Type</v>
      </c>
    </row>
    <row r="304" spans="1:11" x14ac:dyDescent="0.2">
      <c r="A304" t="s">
        <v>304</v>
      </c>
      <c r="B304" s="1">
        <v>40874</v>
      </c>
      <c r="C304" t="s">
        <v>384</v>
      </c>
      <c r="D304">
        <v>2</v>
      </c>
      <c r="E304">
        <v>11</v>
      </c>
      <c r="F304">
        <v>2011</v>
      </c>
      <c r="I304">
        <v>0</v>
      </c>
      <c r="J304" t="str">
        <f t="shared" si="8"/>
        <v>No Event</v>
      </c>
      <c r="K304" t="str">
        <f t="shared" si="9"/>
        <v>No Event Type</v>
      </c>
    </row>
    <row r="305" spans="1:11" x14ac:dyDescent="0.2">
      <c r="A305" t="s">
        <v>305</v>
      </c>
      <c r="B305" s="1">
        <v>40875</v>
      </c>
      <c r="C305" t="s">
        <v>385</v>
      </c>
      <c r="D305">
        <v>3</v>
      </c>
      <c r="E305">
        <v>11</v>
      </c>
      <c r="F305">
        <v>2011</v>
      </c>
      <c r="I305">
        <v>0</v>
      </c>
      <c r="J305" t="str">
        <f t="shared" si="8"/>
        <v>No Event</v>
      </c>
      <c r="K305" t="str">
        <f t="shared" si="9"/>
        <v>No Event Type</v>
      </c>
    </row>
    <row r="306" spans="1:11" x14ac:dyDescent="0.2">
      <c r="A306" t="s">
        <v>306</v>
      </c>
      <c r="B306" s="1">
        <v>40876</v>
      </c>
      <c r="C306" t="s">
        <v>386</v>
      </c>
      <c r="D306">
        <v>4</v>
      </c>
      <c r="E306">
        <v>11</v>
      </c>
      <c r="F306">
        <v>2011</v>
      </c>
      <c r="I306">
        <v>0</v>
      </c>
      <c r="J306" t="str">
        <f t="shared" si="8"/>
        <v>No Event</v>
      </c>
      <c r="K306" t="str">
        <f t="shared" si="9"/>
        <v>No Event Type</v>
      </c>
    </row>
    <row r="307" spans="1:11" x14ac:dyDescent="0.2">
      <c r="A307" t="s">
        <v>307</v>
      </c>
      <c r="B307" s="1">
        <v>40877</v>
      </c>
      <c r="C307" t="s">
        <v>387</v>
      </c>
      <c r="D307">
        <v>5</v>
      </c>
      <c r="E307">
        <v>11</v>
      </c>
      <c r="F307">
        <v>2011</v>
      </c>
      <c r="I307">
        <v>0</v>
      </c>
      <c r="J307" t="str">
        <f t="shared" si="8"/>
        <v>No Event</v>
      </c>
      <c r="K307" t="str">
        <f t="shared" si="9"/>
        <v>No Event Type</v>
      </c>
    </row>
    <row r="308" spans="1:11" x14ac:dyDescent="0.2">
      <c r="A308" t="s">
        <v>308</v>
      </c>
      <c r="B308" s="1">
        <v>40878</v>
      </c>
      <c r="C308" t="s">
        <v>388</v>
      </c>
      <c r="D308">
        <v>6</v>
      </c>
      <c r="E308">
        <v>12</v>
      </c>
      <c r="F308">
        <v>2011</v>
      </c>
      <c r="I308">
        <v>1</v>
      </c>
      <c r="J308" t="str">
        <f t="shared" si="8"/>
        <v>No Event</v>
      </c>
      <c r="K308" t="str">
        <f t="shared" si="9"/>
        <v>No Event Type</v>
      </c>
    </row>
    <row r="309" spans="1:11" x14ac:dyDescent="0.2">
      <c r="A309" t="s">
        <v>309</v>
      </c>
      <c r="B309" s="1">
        <v>40879</v>
      </c>
      <c r="C309" t="s">
        <v>389</v>
      </c>
      <c r="D309">
        <v>7</v>
      </c>
      <c r="E309">
        <v>12</v>
      </c>
      <c r="F309">
        <v>2011</v>
      </c>
      <c r="I309">
        <v>1</v>
      </c>
      <c r="J309" t="str">
        <f t="shared" si="8"/>
        <v>No Event</v>
      </c>
      <c r="K309" t="str">
        <f t="shared" si="9"/>
        <v>No Event Type</v>
      </c>
    </row>
    <row r="310" spans="1:11" x14ac:dyDescent="0.2">
      <c r="A310" t="s">
        <v>310</v>
      </c>
      <c r="B310" s="1">
        <v>40880</v>
      </c>
      <c r="C310" t="s">
        <v>383</v>
      </c>
      <c r="D310">
        <v>1</v>
      </c>
      <c r="E310">
        <v>12</v>
      </c>
      <c r="F310">
        <v>2011</v>
      </c>
      <c r="I310">
        <v>1</v>
      </c>
      <c r="J310" t="str">
        <f t="shared" si="8"/>
        <v>No Event</v>
      </c>
      <c r="K310" t="str">
        <f t="shared" si="9"/>
        <v>No Event Type</v>
      </c>
    </row>
    <row r="311" spans="1:11" x14ac:dyDescent="0.2">
      <c r="A311" t="s">
        <v>311</v>
      </c>
      <c r="B311" s="1">
        <v>40881</v>
      </c>
      <c r="C311" t="s">
        <v>384</v>
      </c>
      <c r="D311">
        <v>2</v>
      </c>
      <c r="E311">
        <v>12</v>
      </c>
      <c r="F311">
        <v>2011</v>
      </c>
      <c r="I311">
        <v>1</v>
      </c>
      <c r="J311" t="str">
        <f t="shared" si="8"/>
        <v>No Event</v>
      </c>
      <c r="K311" t="str">
        <f t="shared" si="9"/>
        <v>No Event Type</v>
      </c>
    </row>
    <row r="312" spans="1:11" x14ac:dyDescent="0.2">
      <c r="A312" t="s">
        <v>312</v>
      </c>
      <c r="B312" s="1">
        <v>40882</v>
      </c>
      <c r="C312" t="s">
        <v>385</v>
      </c>
      <c r="D312">
        <v>3</v>
      </c>
      <c r="E312">
        <v>12</v>
      </c>
      <c r="F312">
        <v>2011</v>
      </c>
      <c r="I312">
        <v>1</v>
      </c>
      <c r="J312" t="str">
        <f t="shared" si="8"/>
        <v>No Event</v>
      </c>
      <c r="K312" t="str">
        <f t="shared" si="9"/>
        <v>No Event Type</v>
      </c>
    </row>
    <row r="313" spans="1:11" x14ac:dyDescent="0.2">
      <c r="A313" t="s">
        <v>313</v>
      </c>
      <c r="B313" s="1">
        <v>40883</v>
      </c>
      <c r="C313" t="s">
        <v>386</v>
      </c>
      <c r="D313">
        <v>4</v>
      </c>
      <c r="E313">
        <v>12</v>
      </c>
      <c r="F313">
        <v>2011</v>
      </c>
      <c r="I313">
        <v>1</v>
      </c>
      <c r="J313" t="str">
        <f t="shared" si="8"/>
        <v>No Event</v>
      </c>
      <c r="K313" t="str">
        <f t="shared" si="9"/>
        <v>No Event Type</v>
      </c>
    </row>
    <row r="314" spans="1:11" x14ac:dyDescent="0.2">
      <c r="A314" t="s">
        <v>314</v>
      </c>
      <c r="B314" s="1">
        <v>40884</v>
      </c>
      <c r="C314" t="s">
        <v>387</v>
      </c>
      <c r="D314">
        <v>5</v>
      </c>
      <c r="E314">
        <v>12</v>
      </c>
      <c r="F314">
        <v>2011</v>
      </c>
      <c r="I314">
        <v>1</v>
      </c>
      <c r="J314" t="str">
        <f t="shared" si="8"/>
        <v>No Event</v>
      </c>
      <c r="K314" t="str">
        <f t="shared" si="9"/>
        <v>No Event Type</v>
      </c>
    </row>
    <row r="315" spans="1:11" x14ac:dyDescent="0.2">
      <c r="A315" t="s">
        <v>315</v>
      </c>
      <c r="B315" s="1">
        <v>40885</v>
      </c>
      <c r="C315" t="s">
        <v>388</v>
      </c>
      <c r="D315">
        <v>6</v>
      </c>
      <c r="E315">
        <v>12</v>
      </c>
      <c r="F315">
        <v>2011</v>
      </c>
      <c r="I315">
        <v>1</v>
      </c>
      <c r="J315" t="str">
        <f t="shared" si="8"/>
        <v>No Event</v>
      </c>
      <c r="K315" t="str">
        <f t="shared" si="9"/>
        <v>No Event Type</v>
      </c>
    </row>
    <row r="316" spans="1:11" x14ac:dyDescent="0.2">
      <c r="A316" t="s">
        <v>316</v>
      </c>
      <c r="B316" s="1">
        <v>40886</v>
      </c>
      <c r="C316" t="s">
        <v>389</v>
      </c>
      <c r="D316">
        <v>7</v>
      </c>
      <c r="E316">
        <v>12</v>
      </c>
      <c r="F316">
        <v>2011</v>
      </c>
      <c r="I316">
        <v>1</v>
      </c>
      <c r="J316" t="str">
        <f t="shared" si="8"/>
        <v>No Event</v>
      </c>
      <c r="K316" t="str">
        <f t="shared" si="9"/>
        <v>No Event Type</v>
      </c>
    </row>
    <row r="317" spans="1:11" x14ac:dyDescent="0.2">
      <c r="A317" t="s">
        <v>317</v>
      </c>
      <c r="B317" s="1">
        <v>40887</v>
      </c>
      <c r="C317" t="s">
        <v>383</v>
      </c>
      <c r="D317">
        <v>1</v>
      </c>
      <c r="E317">
        <v>12</v>
      </c>
      <c r="F317">
        <v>2011</v>
      </c>
      <c r="I317">
        <v>1</v>
      </c>
      <c r="J317" t="str">
        <f t="shared" si="8"/>
        <v>No Event</v>
      </c>
      <c r="K317" t="str">
        <f t="shared" si="9"/>
        <v>No Event Type</v>
      </c>
    </row>
    <row r="318" spans="1:11" x14ac:dyDescent="0.2">
      <c r="A318" t="s">
        <v>318</v>
      </c>
      <c r="B318" s="1">
        <v>40888</v>
      </c>
      <c r="C318" t="s">
        <v>384</v>
      </c>
      <c r="D318">
        <v>2</v>
      </c>
      <c r="E318">
        <v>12</v>
      </c>
      <c r="F318">
        <v>2011</v>
      </c>
      <c r="I318">
        <v>0</v>
      </c>
      <c r="J318" t="str">
        <f t="shared" si="8"/>
        <v>No Event</v>
      </c>
      <c r="K318" t="str">
        <f t="shared" si="9"/>
        <v>No Event Type</v>
      </c>
    </row>
    <row r="319" spans="1:11" x14ac:dyDescent="0.2">
      <c r="A319" t="s">
        <v>319</v>
      </c>
      <c r="B319" s="1">
        <v>40889</v>
      </c>
      <c r="C319" t="s">
        <v>385</v>
      </c>
      <c r="D319">
        <v>3</v>
      </c>
      <c r="E319">
        <v>12</v>
      </c>
      <c r="F319">
        <v>2011</v>
      </c>
      <c r="I319">
        <v>0</v>
      </c>
      <c r="J319" t="str">
        <f t="shared" si="8"/>
        <v>No Event</v>
      </c>
      <c r="K319" t="str">
        <f t="shared" si="9"/>
        <v>No Event Type</v>
      </c>
    </row>
    <row r="320" spans="1:11" x14ac:dyDescent="0.2">
      <c r="A320" t="s">
        <v>320</v>
      </c>
      <c r="B320" s="1">
        <v>40890</v>
      </c>
      <c r="C320" t="s">
        <v>386</v>
      </c>
      <c r="D320">
        <v>4</v>
      </c>
      <c r="E320">
        <v>12</v>
      </c>
      <c r="F320">
        <v>2011</v>
      </c>
      <c r="I320">
        <v>0</v>
      </c>
      <c r="J320" t="str">
        <f t="shared" si="8"/>
        <v>No Event</v>
      </c>
      <c r="K320" t="str">
        <f t="shared" si="9"/>
        <v>No Event Type</v>
      </c>
    </row>
    <row r="321" spans="1:11" x14ac:dyDescent="0.2">
      <c r="A321" t="s">
        <v>321</v>
      </c>
      <c r="B321" s="1">
        <v>40891</v>
      </c>
      <c r="C321" t="s">
        <v>387</v>
      </c>
      <c r="D321">
        <v>5</v>
      </c>
      <c r="E321">
        <v>12</v>
      </c>
      <c r="F321">
        <v>2011</v>
      </c>
      <c r="I321">
        <v>0</v>
      </c>
      <c r="J321" t="str">
        <f t="shared" si="8"/>
        <v>No Event</v>
      </c>
      <c r="K321" t="str">
        <f t="shared" si="9"/>
        <v>No Event Type</v>
      </c>
    </row>
    <row r="322" spans="1:11" x14ac:dyDescent="0.2">
      <c r="A322" t="s">
        <v>322</v>
      </c>
      <c r="B322" s="1">
        <v>40892</v>
      </c>
      <c r="C322" t="s">
        <v>388</v>
      </c>
      <c r="D322">
        <v>6</v>
      </c>
      <c r="E322">
        <v>12</v>
      </c>
      <c r="F322">
        <v>2011</v>
      </c>
      <c r="I322">
        <v>0</v>
      </c>
      <c r="J322" t="str">
        <f t="shared" si="8"/>
        <v>No Event</v>
      </c>
      <c r="K322" t="str">
        <f t="shared" si="9"/>
        <v>No Event Type</v>
      </c>
    </row>
    <row r="323" spans="1:11" x14ac:dyDescent="0.2">
      <c r="A323" t="s">
        <v>323</v>
      </c>
      <c r="B323" s="1">
        <v>40893</v>
      </c>
      <c r="C323" t="s">
        <v>389</v>
      </c>
      <c r="D323">
        <v>7</v>
      </c>
      <c r="E323">
        <v>12</v>
      </c>
      <c r="F323">
        <v>2011</v>
      </c>
      <c r="I323">
        <v>0</v>
      </c>
      <c r="J323" t="str">
        <f t="shared" ref="J323:J366" si="10">IF(G323="", "No Event",G323)</f>
        <v>No Event</v>
      </c>
      <c r="K323" t="str">
        <f t="shared" ref="K323:K366" si="11">IF(H323="", "No Event Type",H323)</f>
        <v>No Event Type</v>
      </c>
    </row>
    <row r="324" spans="1:11" x14ac:dyDescent="0.2">
      <c r="A324" t="s">
        <v>324</v>
      </c>
      <c r="B324" s="1">
        <v>40894</v>
      </c>
      <c r="C324" t="s">
        <v>383</v>
      </c>
      <c r="D324">
        <v>1</v>
      </c>
      <c r="E324">
        <v>12</v>
      </c>
      <c r="F324">
        <v>2011</v>
      </c>
      <c r="I324">
        <v>0</v>
      </c>
      <c r="J324" t="str">
        <f t="shared" si="10"/>
        <v>No Event</v>
      </c>
      <c r="K324" t="str">
        <f t="shared" si="11"/>
        <v>No Event Type</v>
      </c>
    </row>
    <row r="325" spans="1:11" x14ac:dyDescent="0.2">
      <c r="A325" t="s">
        <v>325</v>
      </c>
      <c r="B325" s="1">
        <v>40895</v>
      </c>
      <c r="C325" t="s">
        <v>384</v>
      </c>
      <c r="D325">
        <v>2</v>
      </c>
      <c r="E325">
        <v>12</v>
      </c>
      <c r="F325">
        <v>2011</v>
      </c>
      <c r="I325">
        <v>0</v>
      </c>
      <c r="J325" t="str">
        <f t="shared" si="10"/>
        <v>No Event</v>
      </c>
      <c r="K325" t="str">
        <f t="shared" si="11"/>
        <v>No Event Type</v>
      </c>
    </row>
    <row r="326" spans="1:11" x14ac:dyDescent="0.2">
      <c r="A326" t="s">
        <v>326</v>
      </c>
      <c r="B326" s="1">
        <v>40896</v>
      </c>
      <c r="C326" t="s">
        <v>385</v>
      </c>
      <c r="D326">
        <v>3</v>
      </c>
      <c r="E326">
        <v>12</v>
      </c>
      <c r="F326">
        <v>2011</v>
      </c>
      <c r="I326">
        <v>0</v>
      </c>
      <c r="J326" t="str">
        <f t="shared" si="10"/>
        <v>No Event</v>
      </c>
      <c r="K326" t="str">
        <f t="shared" si="11"/>
        <v>No Event Type</v>
      </c>
    </row>
    <row r="327" spans="1:11" x14ac:dyDescent="0.2">
      <c r="A327" t="s">
        <v>327</v>
      </c>
      <c r="B327" s="1">
        <v>40897</v>
      </c>
      <c r="C327" t="s">
        <v>386</v>
      </c>
      <c r="D327">
        <v>4</v>
      </c>
      <c r="E327">
        <v>12</v>
      </c>
      <c r="F327">
        <v>2011</v>
      </c>
      <c r="I327">
        <v>0</v>
      </c>
      <c r="J327" t="str">
        <f t="shared" si="10"/>
        <v>No Event</v>
      </c>
      <c r="K327" t="str">
        <f t="shared" si="11"/>
        <v>No Event Type</v>
      </c>
    </row>
    <row r="328" spans="1:11" x14ac:dyDescent="0.2">
      <c r="A328" t="s">
        <v>328</v>
      </c>
      <c r="B328" s="1">
        <v>40898</v>
      </c>
      <c r="C328" t="s">
        <v>387</v>
      </c>
      <c r="D328">
        <v>5</v>
      </c>
      <c r="E328">
        <v>12</v>
      </c>
      <c r="F328">
        <v>2011</v>
      </c>
      <c r="I328">
        <v>0</v>
      </c>
      <c r="J328" t="str">
        <f t="shared" si="10"/>
        <v>No Event</v>
      </c>
      <c r="K328" t="str">
        <f t="shared" si="11"/>
        <v>No Event Type</v>
      </c>
    </row>
    <row r="329" spans="1:11" x14ac:dyDescent="0.2">
      <c r="A329" t="s">
        <v>329</v>
      </c>
      <c r="B329" s="1">
        <v>40899</v>
      </c>
      <c r="C329" t="s">
        <v>388</v>
      </c>
      <c r="D329">
        <v>6</v>
      </c>
      <c r="E329">
        <v>12</v>
      </c>
      <c r="F329">
        <v>2011</v>
      </c>
      <c r="I329">
        <v>0</v>
      </c>
      <c r="J329" t="str">
        <f t="shared" si="10"/>
        <v>No Event</v>
      </c>
      <c r="K329" t="str">
        <f t="shared" si="11"/>
        <v>No Event Type</v>
      </c>
    </row>
    <row r="330" spans="1:11" x14ac:dyDescent="0.2">
      <c r="A330" t="s">
        <v>330</v>
      </c>
      <c r="B330" s="1">
        <v>40900</v>
      </c>
      <c r="C330" t="s">
        <v>389</v>
      </c>
      <c r="D330">
        <v>7</v>
      </c>
      <c r="E330">
        <v>12</v>
      </c>
      <c r="F330">
        <v>2011</v>
      </c>
      <c r="I330">
        <v>0</v>
      </c>
      <c r="J330" t="str">
        <f t="shared" si="10"/>
        <v>No Event</v>
      </c>
      <c r="K330" t="str">
        <f t="shared" si="11"/>
        <v>No Event Type</v>
      </c>
    </row>
    <row r="331" spans="1:11" x14ac:dyDescent="0.2">
      <c r="A331" t="s">
        <v>331</v>
      </c>
      <c r="B331" s="1">
        <v>40901</v>
      </c>
      <c r="C331" t="s">
        <v>383</v>
      </c>
      <c r="D331">
        <v>1</v>
      </c>
      <c r="E331">
        <v>12</v>
      </c>
      <c r="F331">
        <v>2011</v>
      </c>
      <c r="I331">
        <v>0</v>
      </c>
      <c r="J331" t="str">
        <f t="shared" si="10"/>
        <v>No Event</v>
      </c>
      <c r="K331" t="str">
        <f t="shared" si="11"/>
        <v>No Event Type</v>
      </c>
    </row>
    <row r="332" spans="1:11" x14ac:dyDescent="0.2">
      <c r="A332" t="s">
        <v>332</v>
      </c>
      <c r="B332" s="1">
        <v>40902</v>
      </c>
      <c r="C332" t="s">
        <v>384</v>
      </c>
      <c r="D332">
        <v>2</v>
      </c>
      <c r="E332">
        <v>12</v>
      </c>
      <c r="F332">
        <v>2011</v>
      </c>
      <c r="G332" t="s">
        <v>418</v>
      </c>
      <c r="H332" t="s">
        <v>395</v>
      </c>
      <c r="I332">
        <v>0</v>
      </c>
      <c r="J332" t="str">
        <f t="shared" si="10"/>
        <v>Christmas</v>
      </c>
      <c r="K332" t="str">
        <f t="shared" si="11"/>
        <v>National</v>
      </c>
    </row>
    <row r="333" spans="1:11" x14ac:dyDescent="0.2">
      <c r="A333" t="s">
        <v>333</v>
      </c>
      <c r="B333" s="1">
        <v>40903</v>
      </c>
      <c r="C333" t="s">
        <v>385</v>
      </c>
      <c r="D333">
        <v>3</v>
      </c>
      <c r="E333">
        <v>12</v>
      </c>
      <c r="F333">
        <v>2011</v>
      </c>
      <c r="I333">
        <v>0</v>
      </c>
      <c r="J333" t="str">
        <f t="shared" si="10"/>
        <v>No Event</v>
      </c>
      <c r="K333" t="str">
        <f t="shared" si="11"/>
        <v>No Event Type</v>
      </c>
    </row>
    <row r="334" spans="1:11" x14ac:dyDescent="0.2">
      <c r="A334" t="s">
        <v>334</v>
      </c>
      <c r="B334" s="1">
        <v>40904</v>
      </c>
      <c r="C334" t="s">
        <v>386</v>
      </c>
      <c r="D334">
        <v>4</v>
      </c>
      <c r="E334">
        <v>12</v>
      </c>
      <c r="F334">
        <v>2011</v>
      </c>
      <c r="I334">
        <v>0</v>
      </c>
      <c r="J334" t="str">
        <f t="shared" si="10"/>
        <v>No Event</v>
      </c>
      <c r="K334" t="str">
        <f t="shared" si="11"/>
        <v>No Event Type</v>
      </c>
    </row>
    <row r="335" spans="1:11" x14ac:dyDescent="0.2">
      <c r="A335" t="s">
        <v>335</v>
      </c>
      <c r="B335" s="1">
        <v>40905</v>
      </c>
      <c r="C335" t="s">
        <v>387</v>
      </c>
      <c r="D335">
        <v>5</v>
      </c>
      <c r="E335">
        <v>12</v>
      </c>
      <c r="F335">
        <v>2011</v>
      </c>
      <c r="G335" t="s">
        <v>419</v>
      </c>
      <c r="H335" t="s">
        <v>397</v>
      </c>
      <c r="I335">
        <v>0</v>
      </c>
      <c r="J335" t="str">
        <f t="shared" si="10"/>
        <v>Chanukah End</v>
      </c>
      <c r="K335" t="str">
        <f t="shared" si="11"/>
        <v>Religious</v>
      </c>
    </row>
    <row r="336" spans="1:11" x14ac:dyDescent="0.2">
      <c r="A336" t="s">
        <v>336</v>
      </c>
      <c r="B336" s="1">
        <v>40906</v>
      </c>
      <c r="C336" t="s">
        <v>388</v>
      </c>
      <c r="D336">
        <v>6</v>
      </c>
      <c r="E336">
        <v>12</v>
      </c>
      <c r="F336">
        <v>2011</v>
      </c>
      <c r="I336">
        <v>0</v>
      </c>
      <c r="J336" t="str">
        <f t="shared" si="10"/>
        <v>No Event</v>
      </c>
      <c r="K336" t="str">
        <f t="shared" si="11"/>
        <v>No Event Type</v>
      </c>
    </row>
    <row r="337" spans="1:11" x14ac:dyDescent="0.2">
      <c r="A337" t="s">
        <v>337</v>
      </c>
      <c r="B337" s="1">
        <v>40907</v>
      </c>
      <c r="C337" t="s">
        <v>389</v>
      </c>
      <c r="D337">
        <v>7</v>
      </c>
      <c r="E337">
        <v>12</v>
      </c>
      <c r="F337">
        <v>2011</v>
      </c>
      <c r="I337">
        <v>0</v>
      </c>
      <c r="J337" t="str">
        <f t="shared" si="10"/>
        <v>No Event</v>
      </c>
      <c r="K337" t="str">
        <f t="shared" si="11"/>
        <v>No Event Type</v>
      </c>
    </row>
    <row r="338" spans="1:11" x14ac:dyDescent="0.2">
      <c r="A338" t="s">
        <v>338</v>
      </c>
      <c r="B338" s="1">
        <v>40908</v>
      </c>
      <c r="C338" t="s">
        <v>383</v>
      </c>
      <c r="D338">
        <v>1</v>
      </c>
      <c r="E338">
        <v>12</v>
      </c>
      <c r="F338">
        <v>2011</v>
      </c>
      <c r="I338">
        <v>0</v>
      </c>
      <c r="J338" t="str">
        <f t="shared" si="10"/>
        <v>No Event</v>
      </c>
      <c r="K338" t="str">
        <f t="shared" si="11"/>
        <v>No Event Type</v>
      </c>
    </row>
    <row r="339" spans="1:11" x14ac:dyDescent="0.2">
      <c r="A339" t="s">
        <v>339</v>
      </c>
      <c r="B339" s="1">
        <v>40909</v>
      </c>
      <c r="C339" t="s">
        <v>384</v>
      </c>
      <c r="D339">
        <v>2</v>
      </c>
      <c r="E339">
        <v>1</v>
      </c>
      <c r="F339">
        <v>2012</v>
      </c>
      <c r="G339" t="s">
        <v>420</v>
      </c>
      <c r="H339" t="s">
        <v>395</v>
      </c>
      <c r="I339">
        <v>1</v>
      </c>
      <c r="J339" t="str">
        <f t="shared" si="10"/>
        <v>NewYear</v>
      </c>
      <c r="K339" t="str">
        <f t="shared" si="11"/>
        <v>National</v>
      </c>
    </row>
    <row r="340" spans="1:11" x14ac:dyDescent="0.2">
      <c r="A340" t="s">
        <v>340</v>
      </c>
      <c r="B340" s="1">
        <v>40910</v>
      </c>
      <c r="C340" t="s">
        <v>385</v>
      </c>
      <c r="D340">
        <v>3</v>
      </c>
      <c r="E340">
        <v>1</v>
      </c>
      <c r="F340">
        <v>2012</v>
      </c>
      <c r="I340">
        <v>1</v>
      </c>
      <c r="J340" t="str">
        <f t="shared" si="10"/>
        <v>No Event</v>
      </c>
      <c r="K340" t="str">
        <f t="shared" si="11"/>
        <v>No Event Type</v>
      </c>
    </row>
    <row r="341" spans="1:11" x14ac:dyDescent="0.2">
      <c r="A341" t="s">
        <v>341</v>
      </c>
      <c r="B341" s="1">
        <v>40911</v>
      </c>
      <c r="C341" t="s">
        <v>386</v>
      </c>
      <c r="D341">
        <v>4</v>
      </c>
      <c r="E341">
        <v>1</v>
      </c>
      <c r="F341">
        <v>2012</v>
      </c>
      <c r="I341">
        <v>1</v>
      </c>
      <c r="J341" t="str">
        <f t="shared" si="10"/>
        <v>No Event</v>
      </c>
      <c r="K341" t="str">
        <f t="shared" si="11"/>
        <v>No Event Type</v>
      </c>
    </row>
    <row r="342" spans="1:11" x14ac:dyDescent="0.2">
      <c r="A342" t="s">
        <v>342</v>
      </c>
      <c r="B342" s="1">
        <v>40912</v>
      </c>
      <c r="C342" t="s">
        <v>387</v>
      </c>
      <c r="D342">
        <v>5</v>
      </c>
      <c r="E342">
        <v>1</v>
      </c>
      <c r="F342">
        <v>2012</v>
      </c>
      <c r="I342">
        <v>1</v>
      </c>
      <c r="J342" t="str">
        <f t="shared" si="10"/>
        <v>No Event</v>
      </c>
      <c r="K342" t="str">
        <f t="shared" si="11"/>
        <v>No Event Type</v>
      </c>
    </row>
    <row r="343" spans="1:11" x14ac:dyDescent="0.2">
      <c r="A343" t="s">
        <v>343</v>
      </c>
      <c r="B343" s="1">
        <v>40913</v>
      </c>
      <c r="C343" t="s">
        <v>388</v>
      </c>
      <c r="D343">
        <v>6</v>
      </c>
      <c r="E343">
        <v>1</v>
      </c>
      <c r="F343">
        <v>2012</v>
      </c>
      <c r="I343">
        <v>1</v>
      </c>
      <c r="J343" t="str">
        <f t="shared" si="10"/>
        <v>No Event</v>
      </c>
      <c r="K343" t="str">
        <f t="shared" si="11"/>
        <v>No Event Type</v>
      </c>
    </row>
    <row r="344" spans="1:11" x14ac:dyDescent="0.2">
      <c r="A344" t="s">
        <v>344</v>
      </c>
      <c r="B344" s="1">
        <v>40914</v>
      </c>
      <c r="C344" t="s">
        <v>389</v>
      </c>
      <c r="D344">
        <v>7</v>
      </c>
      <c r="E344">
        <v>1</v>
      </c>
      <c r="F344">
        <v>2012</v>
      </c>
      <c r="I344">
        <v>1</v>
      </c>
      <c r="J344" t="str">
        <f t="shared" si="10"/>
        <v>No Event</v>
      </c>
      <c r="K344" t="str">
        <f t="shared" si="11"/>
        <v>No Event Type</v>
      </c>
    </row>
    <row r="345" spans="1:11" x14ac:dyDescent="0.2">
      <c r="A345" t="s">
        <v>345</v>
      </c>
      <c r="B345" s="1">
        <v>40915</v>
      </c>
      <c r="C345" t="s">
        <v>383</v>
      </c>
      <c r="D345">
        <v>1</v>
      </c>
      <c r="E345">
        <v>1</v>
      </c>
      <c r="F345">
        <v>2012</v>
      </c>
      <c r="G345" t="s">
        <v>421</v>
      </c>
      <c r="H345" t="s">
        <v>397</v>
      </c>
      <c r="I345">
        <v>1</v>
      </c>
      <c r="J345" t="str">
        <f t="shared" si="10"/>
        <v>OrthodoxChristmas</v>
      </c>
      <c r="K345" t="str">
        <f t="shared" si="11"/>
        <v>Religious</v>
      </c>
    </row>
    <row r="346" spans="1:11" x14ac:dyDescent="0.2">
      <c r="A346" t="s">
        <v>346</v>
      </c>
      <c r="B346" s="1">
        <v>40916</v>
      </c>
      <c r="C346" t="s">
        <v>384</v>
      </c>
      <c r="D346">
        <v>2</v>
      </c>
      <c r="E346">
        <v>1</v>
      </c>
      <c r="F346">
        <v>2012</v>
      </c>
      <c r="I346">
        <v>1</v>
      </c>
      <c r="J346" t="str">
        <f t="shared" si="10"/>
        <v>No Event</v>
      </c>
      <c r="K346" t="str">
        <f t="shared" si="11"/>
        <v>No Event Type</v>
      </c>
    </row>
    <row r="347" spans="1:11" x14ac:dyDescent="0.2">
      <c r="A347" t="s">
        <v>347</v>
      </c>
      <c r="B347" s="1">
        <v>40917</v>
      </c>
      <c r="C347" t="s">
        <v>385</v>
      </c>
      <c r="D347">
        <v>3</v>
      </c>
      <c r="E347">
        <v>1</v>
      </c>
      <c r="F347">
        <v>2012</v>
      </c>
      <c r="I347">
        <v>1</v>
      </c>
      <c r="J347" t="str">
        <f t="shared" si="10"/>
        <v>No Event</v>
      </c>
      <c r="K347" t="str">
        <f t="shared" si="11"/>
        <v>No Event Type</v>
      </c>
    </row>
    <row r="348" spans="1:11" x14ac:dyDescent="0.2">
      <c r="A348" t="s">
        <v>348</v>
      </c>
      <c r="B348" s="1">
        <v>40918</v>
      </c>
      <c r="C348" t="s">
        <v>386</v>
      </c>
      <c r="D348">
        <v>4</v>
      </c>
      <c r="E348">
        <v>1</v>
      </c>
      <c r="F348">
        <v>2012</v>
      </c>
      <c r="I348">
        <v>1</v>
      </c>
      <c r="J348" t="str">
        <f t="shared" si="10"/>
        <v>No Event</v>
      </c>
      <c r="K348" t="str">
        <f t="shared" si="11"/>
        <v>No Event Type</v>
      </c>
    </row>
    <row r="349" spans="1:11" x14ac:dyDescent="0.2">
      <c r="A349" t="s">
        <v>349</v>
      </c>
      <c r="B349" s="1">
        <v>40919</v>
      </c>
      <c r="C349" t="s">
        <v>387</v>
      </c>
      <c r="D349">
        <v>5</v>
      </c>
      <c r="E349">
        <v>1</v>
      </c>
      <c r="F349">
        <v>2012</v>
      </c>
      <c r="I349">
        <v>0</v>
      </c>
      <c r="J349" t="str">
        <f t="shared" si="10"/>
        <v>No Event</v>
      </c>
      <c r="K349" t="str">
        <f t="shared" si="11"/>
        <v>No Event Type</v>
      </c>
    </row>
    <row r="350" spans="1:11" x14ac:dyDescent="0.2">
      <c r="A350" t="s">
        <v>350</v>
      </c>
      <c r="B350" s="1">
        <v>40920</v>
      </c>
      <c r="C350" t="s">
        <v>388</v>
      </c>
      <c r="D350">
        <v>6</v>
      </c>
      <c r="E350">
        <v>1</v>
      </c>
      <c r="F350">
        <v>2012</v>
      </c>
      <c r="I350">
        <v>0</v>
      </c>
      <c r="J350" t="str">
        <f t="shared" si="10"/>
        <v>No Event</v>
      </c>
      <c r="K350" t="str">
        <f t="shared" si="11"/>
        <v>No Event Type</v>
      </c>
    </row>
    <row r="351" spans="1:11" x14ac:dyDescent="0.2">
      <c r="A351" t="s">
        <v>351</v>
      </c>
      <c r="B351" s="1">
        <v>40921</v>
      </c>
      <c r="C351" t="s">
        <v>389</v>
      </c>
      <c r="D351">
        <v>7</v>
      </c>
      <c r="E351">
        <v>1</v>
      </c>
      <c r="F351">
        <v>2012</v>
      </c>
      <c r="I351">
        <v>0</v>
      </c>
      <c r="J351" t="str">
        <f t="shared" si="10"/>
        <v>No Event</v>
      </c>
      <c r="K351" t="str">
        <f t="shared" si="11"/>
        <v>No Event Type</v>
      </c>
    </row>
    <row r="352" spans="1:11" x14ac:dyDescent="0.2">
      <c r="A352" t="s">
        <v>352</v>
      </c>
      <c r="B352" s="1">
        <v>40922</v>
      </c>
      <c r="C352" t="s">
        <v>383</v>
      </c>
      <c r="D352">
        <v>1</v>
      </c>
      <c r="E352">
        <v>1</v>
      </c>
      <c r="F352">
        <v>2012</v>
      </c>
      <c r="I352">
        <v>0</v>
      </c>
      <c r="J352" t="str">
        <f t="shared" si="10"/>
        <v>No Event</v>
      </c>
      <c r="K352" t="str">
        <f t="shared" si="11"/>
        <v>No Event Type</v>
      </c>
    </row>
    <row r="353" spans="1:11" x14ac:dyDescent="0.2">
      <c r="A353" t="s">
        <v>353</v>
      </c>
      <c r="B353" s="1">
        <v>40923</v>
      </c>
      <c r="C353" t="s">
        <v>384</v>
      </c>
      <c r="D353">
        <v>2</v>
      </c>
      <c r="E353">
        <v>1</v>
      </c>
      <c r="F353">
        <v>2012</v>
      </c>
      <c r="I353">
        <v>0</v>
      </c>
      <c r="J353" t="str">
        <f t="shared" si="10"/>
        <v>No Event</v>
      </c>
      <c r="K353" t="str">
        <f t="shared" si="11"/>
        <v>No Event Type</v>
      </c>
    </row>
    <row r="354" spans="1:11" x14ac:dyDescent="0.2">
      <c r="A354" t="s">
        <v>354</v>
      </c>
      <c r="B354" s="1">
        <v>40924</v>
      </c>
      <c r="C354" t="s">
        <v>385</v>
      </c>
      <c r="D354">
        <v>3</v>
      </c>
      <c r="E354">
        <v>1</v>
      </c>
      <c r="F354">
        <v>2012</v>
      </c>
      <c r="G354" t="s">
        <v>422</v>
      </c>
      <c r="H354" t="s">
        <v>395</v>
      </c>
      <c r="I354">
        <v>0</v>
      </c>
      <c r="J354" t="str">
        <f t="shared" si="10"/>
        <v>MartinLutherKingDay</v>
      </c>
      <c r="K354" t="str">
        <f t="shared" si="11"/>
        <v>National</v>
      </c>
    </row>
    <row r="355" spans="1:11" x14ac:dyDescent="0.2">
      <c r="A355" t="s">
        <v>355</v>
      </c>
      <c r="B355" s="1">
        <v>40925</v>
      </c>
      <c r="C355" t="s">
        <v>386</v>
      </c>
      <c r="D355">
        <v>4</v>
      </c>
      <c r="E355">
        <v>1</v>
      </c>
      <c r="F355">
        <v>2012</v>
      </c>
      <c r="I355">
        <v>0</v>
      </c>
      <c r="J355" t="str">
        <f t="shared" si="10"/>
        <v>No Event</v>
      </c>
      <c r="K355" t="str">
        <f t="shared" si="11"/>
        <v>No Event Type</v>
      </c>
    </row>
    <row r="356" spans="1:11" x14ac:dyDescent="0.2">
      <c r="A356" t="s">
        <v>356</v>
      </c>
      <c r="B356" s="1">
        <v>40926</v>
      </c>
      <c r="C356" t="s">
        <v>387</v>
      </c>
      <c r="D356">
        <v>5</v>
      </c>
      <c r="E356">
        <v>1</v>
      </c>
      <c r="F356">
        <v>2012</v>
      </c>
      <c r="I356">
        <v>0</v>
      </c>
      <c r="J356" t="str">
        <f t="shared" si="10"/>
        <v>No Event</v>
      </c>
      <c r="K356" t="str">
        <f t="shared" si="11"/>
        <v>No Event Type</v>
      </c>
    </row>
    <row r="357" spans="1:11" x14ac:dyDescent="0.2">
      <c r="A357" t="s">
        <v>357</v>
      </c>
      <c r="B357" s="1">
        <v>40927</v>
      </c>
      <c r="C357" t="s">
        <v>388</v>
      </c>
      <c r="D357">
        <v>6</v>
      </c>
      <c r="E357">
        <v>1</v>
      </c>
      <c r="F357">
        <v>2012</v>
      </c>
      <c r="I357">
        <v>0</v>
      </c>
      <c r="J357" t="str">
        <f t="shared" si="10"/>
        <v>No Event</v>
      </c>
      <c r="K357" t="str">
        <f t="shared" si="11"/>
        <v>No Event Type</v>
      </c>
    </row>
    <row r="358" spans="1:11" x14ac:dyDescent="0.2">
      <c r="A358" t="s">
        <v>358</v>
      </c>
      <c r="B358" s="1">
        <v>40928</v>
      </c>
      <c r="C358" t="s">
        <v>389</v>
      </c>
      <c r="D358">
        <v>7</v>
      </c>
      <c r="E358">
        <v>1</v>
      </c>
      <c r="F358">
        <v>2012</v>
      </c>
      <c r="I358">
        <v>0</v>
      </c>
      <c r="J358" t="str">
        <f t="shared" si="10"/>
        <v>No Event</v>
      </c>
      <c r="K358" t="str">
        <f t="shared" si="11"/>
        <v>No Event Type</v>
      </c>
    </row>
    <row r="359" spans="1:11" x14ac:dyDescent="0.2">
      <c r="A359" t="s">
        <v>359</v>
      </c>
      <c r="B359" s="1">
        <v>40929</v>
      </c>
      <c r="C359" t="s">
        <v>383</v>
      </c>
      <c r="D359">
        <v>1</v>
      </c>
      <c r="E359">
        <v>1</v>
      </c>
      <c r="F359">
        <v>2012</v>
      </c>
      <c r="I359">
        <v>0</v>
      </c>
      <c r="J359" t="str">
        <f t="shared" si="10"/>
        <v>No Event</v>
      </c>
      <c r="K359" t="str">
        <f t="shared" si="11"/>
        <v>No Event Type</v>
      </c>
    </row>
    <row r="360" spans="1:11" x14ac:dyDescent="0.2">
      <c r="A360" t="s">
        <v>360</v>
      </c>
      <c r="B360" s="1">
        <v>40930</v>
      </c>
      <c r="C360" t="s">
        <v>384</v>
      </c>
      <c r="D360">
        <v>2</v>
      </c>
      <c r="E360">
        <v>1</v>
      </c>
      <c r="F360">
        <v>2012</v>
      </c>
      <c r="I360">
        <v>0</v>
      </c>
      <c r="J360" t="str">
        <f t="shared" si="10"/>
        <v>No Event</v>
      </c>
      <c r="K360" t="str">
        <f t="shared" si="11"/>
        <v>No Event Type</v>
      </c>
    </row>
    <row r="361" spans="1:11" x14ac:dyDescent="0.2">
      <c r="A361" t="s">
        <v>361</v>
      </c>
      <c r="B361" s="1">
        <v>40931</v>
      </c>
      <c r="C361" t="s">
        <v>385</v>
      </c>
      <c r="D361">
        <v>3</v>
      </c>
      <c r="E361">
        <v>1</v>
      </c>
      <c r="F361">
        <v>2012</v>
      </c>
      <c r="I361">
        <v>0</v>
      </c>
      <c r="J361" t="str">
        <f t="shared" si="10"/>
        <v>No Event</v>
      </c>
      <c r="K361" t="str">
        <f t="shared" si="11"/>
        <v>No Event Type</v>
      </c>
    </row>
    <row r="362" spans="1:11" x14ac:dyDescent="0.2">
      <c r="A362" t="s">
        <v>362</v>
      </c>
      <c r="B362" s="1">
        <v>40932</v>
      </c>
      <c r="C362" t="s">
        <v>386</v>
      </c>
      <c r="D362">
        <v>4</v>
      </c>
      <c r="E362">
        <v>1</v>
      </c>
      <c r="F362">
        <v>2012</v>
      </c>
      <c r="I362">
        <v>0</v>
      </c>
      <c r="J362" t="str">
        <f t="shared" si="10"/>
        <v>No Event</v>
      </c>
      <c r="K362" t="str">
        <f t="shared" si="11"/>
        <v>No Event Type</v>
      </c>
    </row>
    <row r="363" spans="1:11" x14ac:dyDescent="0.2">
      <c r="A363" t="s">
        <v>363</v>
      </c>
      <c r="B363" s="1">
        <v>40933</v>
      </c>
      <c r="C363" t="s">
        <v>387</v>
      </c>
      <c r="D363">
        <v>5</v>
      </c>
      <c r="E363">
        <v>1</v>
      </c>
      <c r="F363">
        <v>2012</v>
      </c>
      <c r="I363">
        <v>0</v>
      </c>
      <c r="J363" t="str">
        <f t="shared" si="10"/>
        <v>No Event</v>
      </c>
      <c r="K363" t="str">
        <f t="shared" si="11"/>
        <v>No Event Type</v>
      </c>
    </row>
    <row r="364" spans="1:11" x14ac:dyDescent="0.2">
      <c r="A364" t="s">
        <v>364</v>
      </c>
      <c r="B364" s="1">
        <v>40934</v>
      </c>
      <c r="C364" t="s">
        <v>388</v>
      </c>
      <c r="D364">
        <v>6</v>
      </c>
      <c r="E364">
        <v>1</v>
      </c>
      <c r="F364">
        <v>2012</v>
      </c>
      <c r="I364">
        <v>0</v>
      </c>
      <c r="J364" t="str">
        <f t="shared" si="10"/>
        <v>No Event</v>
      </c>
      <c r="K364" t="str">
        <f t="shared" si="11"/>
        <v>No Event Type</v>
      </c>
    </row>
    <row r="365" spans="1:11" x14ac:dyDescent="0.2">
      <c r="A365" t="s">
        <v>365</v>
      </c>
      <c r="B365" s="1">
        <v>40935</v>
      </c>
      <c r="C365" t="s">
        <v>389</v>
      </c>
      <c r="D365">
        <v>7</v>
      </c>
      <c r="E365">
        <v>1</v>
      </c>
      <c r="F365">
        <v>2012</v>
      </c>
      <c r="I365">
        <v>0</v>
      </c>
      <c r="J365" t="str">
        <f t="shared" si="10"/>
        <v>No Event</v>
      </c>
      <c r="K365" t="str">
        <f t="shared" si="11"/>
        <v>No Event Type</v>
      </c>
    </row>
    <row r="366" spans="1:11" x14ac:dyDescent="0.2">
      <c r="A366" t="s">
        <v>366</v>
      </c>
      <c r="B366" s="1">
        <v>40936</v>
      </c>
      <c r="C366" t="s">
        <v>383</v>
      </c>
      <c r="D366">
        <v>1</v>
      </c>
      <c r="E366">
        <v>1</v>
      </c>
      <c r="F366">
        <v>2012</v>
      </c>
      <c r="I366">
        <v>0</v>
      </c>
      <c r="J366" t="str">
        <f t="shared" si="10"/>
        <v>No Event</v>
      </c>
      <c r="K366" t="str">
        <f t="shared" si="11"/>
        <v>No Event Type</v>
      </c>
    </row>
  </sheetData>
  <autoFilter ref="A1:I366" xr:uid="{844802DB-50AB-9D4D-AB35-65F6BBDEB7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9EA8-D175-CA47-A664-D094A4350F64}">
  <dimension ref="A2:H18"/>
  <sheetViews>
    <sheetView tabSelected="1" zoomScale="98" workbookViewId="0">
      <selection activeCell="E17" sqref="E17"/>
    </sheetView>
  </sheetViews>
  <sheetFormatPr baseColWidth="10" defaultRowHeight="16" x14ac:dyDescent="0.2"/>
  <cols>
    <col min="1" max="1" width="13" bestFit="1" customWidth="1"/>
    <col min="2" max="2" width="14.6640625" bestFit="1" customWidth="1"/>
  </cols>
  <sheetData>
    <row r="2" spans="1:8" x14ac:dyDescent="0.2">
      <c r="A2" s="3" t="s">
        <v>430</v>
      </c>
      <c r="B2" s="3"/>
      <c r="C2" s="3"/>
      <c r="D2" s="3"/>
      <c r="E2" s="3"/>
      <c r="F2" s="3"/>
      <c r="G2" s="3"/>
    </row>
    <row r="3" spans="1:8" x14ac:dyDescent="0.2">
      <c r="A3">
        <f>COUNTIF(Sheet1[unit_sold],"&lt;0")</f>
        <v>0</v>
      </c>
    </row>
    <row r="5" spans="1:8" x14ac:dyDescent="0.2">
      <c r="A5" s="3" t="s">
        <v>427</v>
      </c>
      <c r="B5" s="3"/>
      <c r="C5" s="3"/>
      <c r="D5" s="3"/>
      <c r="E5" s="3"/>
    </row>
    <row r="6" spans="1:8" x14ac:dyDescent="0.2">
      <c r="A6" s="2" t="s">
        <v>428</v>
      </c>
      <c r="B6" s="2" t="s">
        <v>429</v>
      </c>
    </row>
    <row r="7" spans="1:8" x14ac:dyDescent="0.2">
      <c r="A7" t="str" cm="1">
        <f t="array" ref="A7:A9">_xlfn.UNIQUE(Sheet1[item_id])</f>
        <v>FOODS_1_218</v>
      </c>
      <c r="B7">
        <f>COUNTIFS(Sheet1[item_id],transformed_sales!A2,Sheet1[unit_sold],"=0")</f>
        <v>88</v>
      </c>
      <c r="C7">
        <f>AVERAGEIF(Sheet1[item_id],transformed_sales!A2,Sheet1[unit_sold])</f>
        <v>8.8054794520547937</v>
      </c>
    </row>
    <row r="8" spans="1:8" x14ac:dyDescent="0.2">
      <c r="A8" t="str">
        <v>FOODS_1_085</v>
      </c>
      <c r="B8">
        <f>COUNTIFS(Sheet1[item_id],transformed_sales!A403,Sheet1[unit_sold],"=0")</f>
        <v>17</v>
      </c>
    </row>
    <row r="9" spans="1:8" x14ac:dyDescent="0.2">
      <c r="A9" t="str">
        <v>FOODS_1_018</v>
      </c>
      <c r="B9">
        <f>COUNTIFS(Sheet1[item_id],transformed_sales!A1071,Sheet1[unit_sold],"=0")</f>
        <v>38</v>
      </c>
    </row>
    <row r="10" spans="1:8" x14ac:dyDescent="0.2">
      <c r="A10" s="2" t="s">
        <v>367</v>
      </c>
      <c r="B10" s="2">
        <f>SUM(B7:B9)</f>
        <v>143</v>
      </c>
    </row>
    <row r="13" spans="1:8" x14ac:dyDescent="0.2">
      <c r="A13" s="4" t="s">
        <v>431</v>
      </c>
      <c r="B13" s="3"/>
      <c r="C13" s="3"/>
      <c r="D13" s="3"/>
      <c r="E13" s="3"/>
      <c r="F13" s="3"/>
      <c r="G13" s="3"/>
      <c r="H13" s="3"/>
    </row>
    <row r="15" spans="1:8" x14ac:dyDescent="0.2">
      <c r="A15" t="s">
        <v>436</v>
      </c>
      <c r="B15" t="s">
        <v>432</v>
      </c>
      <c r="C15" t="s">
        <v>433</v>
      </c>
      <c r="D15" t="s">
        <v>434</v>
      </c>
      <c r="E15" t="s">
        <v>435</v>
      </c>
    </row>
    <row r="16" spans="1:8" x14ac:dyDescent="0.2">
      <c r="A16" t="str" cm="1">
        <f t="array" ref="A16:A18">_xlfn.UNIQUE(Sheet1[item_id])</f>
        <v>FOODS_1_218</v>
      </c>
      <c r="B16">
        <f>_xlfn.MINIFS(Sheet1[unit_sold],Sheet1[item_id],transformed_sales!A2)</f>
        <v>0</v>
      </c>
      <c r="C16">
        <f>_xlfn.MAXIFS(Sheet1[unit_sold],Sheet1[item_id],transformed_sales!A2)</f>
        <v>68</v>
      </c>
      <c r="D16">
        <f>AVERAGEIF(Sheet1[item_id],transformed_sales!A2,Sheet1[unit_sold])</f>
        <v>8.8054794520547937</v>
      </c>
      <c r="E16" cm="1">
        <f t="array" ref="E16">_xlfn.STDEV.S(_xlfn._xlws.FILTER(Sheet1[unit_sold],Sheet1[item_id]=transformed_sales!A2))</f>
        <v>10.392726355577336</v>
      </c>
    </row>
    <row r="17" spans="1:5" x14ac:dyDescent="0.2">
      <c r="A17" t="str">
        <v>FOODS_1_085</v>
      </c>
      <c r="B17">
        <f>_xlfn.MINIFS(Sheet1[unit_sold],Sheet1[item_id],transformed_sales!A369)</f>
        <v>0</v>
      </c>
      <c r="C17">
        <f>_xlfn.MAXIFS(Sheet1[unit_sold],Sheet1[item_id],transformed_sales!A417)</f>
        <v>46</v>
      </c>
      <c r="E17" t="str">
        <f>calendar!A1</f>
        <v>d</v>
      </c>
    </row>
    <row r="18" spans="1:5" x14ac:dyDescent="0.2">
      <c r="A18" t="str">
        <v>FOODS_1_018</v>
      </c>
      <c r="B18">
        <f>_xlfn.MINIFS(Sheet1[unit_sold],Sheet1[item_id],transformed_sales!A1087)</f>
        <v>0</v>
      </c>
      <c r="C18">
        <f>_xlfn.MAXIFS(Sheet1[unit_sold],Sheet1[item_id],transformed_sales!A1093)</f>
        <v>33</v>
      </c>
    </row>
  </sheetData>
  <mergeCells count="3">
    <mergeCell ref="A2:G2"/>
    <mergeCell ref="A5:E5"/>
    <mergeCell ref="A13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F16C3C-BD04-944D-9B76-238163C786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raw_sales</vt:lpstr>
      <vt:lpstr>transformed_sales</vt:lpstr>
      <vt:lpstr>calendar</vt:lpstr>
      <vt:lpstr>data_quality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Chudali</dc:creator>
  <cp:lastModifiedBy>Niraj Chudali</cp:lastModifiedBy>
  <dcterms:created xsi:type="dcterms:W3CDTF">2026-05-27T02:02:00Z</dcterms:created>
  <dcterms:modified xsi:type="dcterms:W3CDTF">2026-05-27T14:51:33Z</dcterms:modified>
</cp:coreProperties>
</file>
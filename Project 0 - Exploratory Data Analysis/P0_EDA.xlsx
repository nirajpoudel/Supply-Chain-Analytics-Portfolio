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j/Desktop/Supply Chain Analytics Portfolio/Project 0 - Exploratory Data Analysis/"/>
    </mc:Choice>
  </mc:AlternateContent>
  <xr:revisionPtr revIDLastSave="0" documentId="13_ncr:1_{75D015EF-27FF-5943-90DB-A3534BCA022F}" xr6:coauthVersionLast="47" xr6:coauthVersionMax="47" xr10:uidLastSave="{00000000-0000-0000-0000-000000000000}"/>
  <bookViews>
    <workbookView minimized="1" xWindow="0" yWindow="740" windowWidth="29400" windowHeight="17160" xr2:uid="{C3EEE9E7-C4CC-B34A-858D-AAF02BA14B6F}"/>
  </bookViews>
  <sheets>
    <sheet name="RawData" sheetId="1" r:id="rId1"/>
    <sheet name="SummaryStats" sheetId="2" r:id="rId2"/>
    <sheet name="WeekdayPattern" sheetId="3" r:id="rId3"/>
    <sheet name="MonthlyPattern" sheetId="4" r:id="rId4"/>
    <sheet name="EventAnalysis" sheetId="5" r:id="rId5"/>
    <sheet name="SnapAnalysis" sheetId="6" r:id="rId6"/>
    <sheet name="Rolling Trend" sheetId="7" r:id="rId7"/>
    <sheet name="CorrelationMatrix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8" l="1"/>
  <c r="B5" i="8"/>
  <c r="B4" i="8"/>
  <c r="C3" i="8"/>
  <c r="D4" i="8"/>
  <c r="D3" i="8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29" i="7"/>
  <c r="E30" i="7"/>
  <c r="E31" i="7"/>
  <c r="E32" i="7"/>
  <c r="E33" i="7"/>
  <c r="E34" i="7"/>
  <c r="E35" i="7"/>
  <c r="E36" i="7"/>
  <c r="E37" i="7"/>
  <c r="E38" i="7"/>
  <c r="E39" i="7"/>
  <c r="E40" i="7"/>
  <c r="A2" i="7" a="1"/>
  <c r="D2" i="7" a="1"/>
  <c r="C2" i="7" a="1"/>
  <c r="B2" i="7" a="1"/>
  <c r="D3" i="6"/>
  <c r="D2" i="6"/>
  <c r="C3" i="6"/>
  <c r="C2" i="6"/>
  <c r="B3" i="6"/>
  <c r="B2" i="6"/>
  <c r="A20" i="5" a="1"/>
  <c r="B6" i="5"/>
  <c r="B5" i="5"/>
  <c r="B4" i="5"/>
  <c r="B3" i="5"/>
  <c r="E6" i="5"/>
  <c r="E5" i="5"/>
  <c r="E4" i="5"/>
  <c r="E3" i="5"/>
  <c r="E2" i="5"/>
  <c r="D6" i="5"/>
  <c r="D5" i="5"/>
  <c r="D4" i="5"/>
  <c r="D3" i="5"/>
  <c r="D2" i="5"/>
  <c r="C5" i="5"/>
  <c r="C4" i="5"/>
  <c r="C3" i="5"/>
  <c r="C2" i="5"/>
  <c r="C6" i="5"/>
  <c r="B2" i="5"/>
  <c r="C2" i="4"/>
  <c r="E3" i="4"/>
  <c r="E4" i="4"/>
  <c r="E5" i="4"/>
  <c r="E6" i="4"/>
  <c r="E7" i="4"/>
  <c r="E8" i="4"/>
  <c r="E9" i="4"/>
  <c r="E10" i="4"/>
  <c r="E11" i="4"/>
  <c r="E12" i="4"/>
  <c r="E13" i="4"/>
  <c r="E2" i="4"/>
  <c r="D3" i="4"/>
  <c r="D4" i="4"/>
  <c r="D5" i="4"/>
  <c r="D6" i="4"/>
  <c r="D7" i="4"/>
  <c r="D8" i="4"/>
  <c r="D9" i="4"/>
  <c r="D10" i="4"/>
  <c r="D11" i="4"/>
  <c r="D12" i="4"/>
  <c r="D13" i="4"/>
  <c r="D2" i="4"/>
  <c r="C3" i="4"/>
  <c r="C4" i="4"/>
  <c r="C5" i="4"/>
  <c r="C6" i="4"/>
  <c r="C7" i="4"/>
  <c r="C8" i="4"/>
  <c r="C9" i="4"/>
  <c r="C10" i="4"/>
  <c r="C11" i="4"/>
  <c r="C12" i="4"/>
  <c r="C13" i="4"/>
  <c r="D18" i="3"/>
  <c r="D17" i="3"/>
  <c r="D16" i="3"/>
  <c r="D15" i="3"/>
  <c r="C14" i="3"/>
  <c r="C9" i="3"/>
  <c r="D9" i="3"/>
  <c r="B9" i="3"/>
  <c r="D3" i="3"/>
  <c r="D4" i="3"/>
  <c r="D5" i="3"/>
  <c r="D6" i="3"/>
  <c r="D7" i="3"/>
  <c r="D8" i="3"/>
  <c r="D2" i="3"/>
  <c r="C3" i="3"/>
  <c r="C4" i="3"/>
  <c r="C5" i="3"/>
  <c r="C6" i="3"/>
  <c r="C7" i="3"/>
  <c r="C8" i="3"/>
  <c r="C2" i="3"/>
  <c r="B2" i="3"/>
  <c r="B3" i="3"/>
  <c r="B4" i="3"/>
  <c r="B5" i="3"/>
  <c r="B6" i="3"/>
  <c r="B7" i="3"/>
  <c r="B8" i="3"/>
  <c r="C15" i="2"/>
  <c r="D15" i="2"/>
  <c r="B15" i="2"/>
  <c r="D14" i="2"/>
  <c r="C14" i="2"/>
  <c r="B14" i="2"/>
  <c r="D13" i="2"/>
  <c r="C13" i="2"/>
  <c r="B13" i="2"/>
  <c r="B12" i="2"/>
  <c r="D12" i="2"/>
  <c r="C12" i="2"/>
  <c r="D10" i="2"/>
  <c r="C10" i="2"/>
  <c r="B10" i="2"/>
  <c r="C9" i="2"/>
  <c r="D9" i="2"/>
  <c r="B9" i="2"/>
  <c r="D8" i="2"/>
  <c r="C8" i="2"/>
  <c r="B8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C11" i="2" l="1"/>
  <c r="D11" i="2"/>
  <c r="B11" i="2"/>
  <c r="C32" i="5"/>
  <c r="C16" i="2"/>
  <c r="D16" i="2"/>
  <c r="B16" i="2"/>
  <c r="D7" i="2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B4" i="6"/>
  <c r="H3" i="4"/>
  <c r="H2" i="4"/>
  <c r="H4" i="4"/>
  <c r="H5" i="4"/>
  <c r="H6" i="4"/>
  <c r="H7" i="4"/>
  <c r="H8" i="4"/>
  <c r="H9" i="4"/>
  <c r="H10" i="4"/>
  <c r="H11" i="4"/>
  <c r="H12" i="4"/>
  <c r="H13" i="4"/>
  <c r="C18" i="3"/>
  <c r="C17" i="3"/>
  <c r="C16" i="3"/>
  <c r="C15" i="3"/>
  <c r="C7" i="2"/>
  <c r="B7" i="2"/>
  <c r="E160" i="7"/>
  <c r="E275" i="7"/>
  <c r="E276" i="7"/>
  <c r="E277" i="7"/>
  <c r="E278" i="7"/>
  <c r="C4" i="6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29" i="7"/>
  <c r="B20" i="5"/>
  <c r="C47" i="5"/>
  <c r="C48" i="5"/>
  <c r="C21" i="5"/>
  <c r="C22" i="5"/>
  <c r="C23" i="5"/>
  <c r="C24" i="5"/>
  <c r="C25" i="5"/>
  <c r="C26" i="5"/>
  <c r="C27" i="5"/>
  <c r="C28" i="5"/>
  <c r="C29" i="5"/>
  <c r="C30" i="5"/>
  <c r="C31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D14" i="3"/>
  <c r="C13" i="3"/>
  <c r="D13" i="3"/>
  <c r="C12" i="3"/>
  <c r="D12" i="3"/>
  <c r="B18" i="3"/>
  <c r="B17" i="3"/>
  <c r="B16" i="3"/>
  <c r="B15" i="3"/>
  <c r="B14" i="3"/>
  <c r="B13" i="3"/>
  <c r="B12" i="3"/>
  <c r="D4" i="6"/>
  <c r="D13" i="5"/>
  <c r="E13" i="5"/>
  <c r="C13" i="5"/>
  <c r="D12" i="5"/>
  <c r="E12" i="5"/>
  <c r="C12" i="5"/>
  <c r="D11" i="5"/>
  <c r="E11" i="5"/>
  <c r="C11" i="5"/>
  <c r="D10" i="5"/>
  <c r="E10" i="5"/>
  <c r="C10" i="5"/>
  <c r="G2" i="4"/>
  <c r="G3" i="4"/>
  <c r="G4" i="4"/>
  <c r="G5" i="4"/>
  <c r="G6" i="4"/>
  <c r="G7" i="4"/>
  <c r="G8" i="4"/>
  <c r="G9" i="4"/>
  <c r="G10" i="4"/>
  <c r="G11" i="4"/>
  <c r="G12" i="4"/>
  <c r="G13" i="4"/>
  <c r="F2" i="4"/>
  <c r="F3" i="4"/>
  <c r="F4" i="4"/>
  <c r="F5" i="4"/>
  <c r="F6" i="4"/>
  <c r="F7" i="4"/>
  <c r="F8" i="4"/>
  <c r="F9" i="4"/>
  <c r="F10" i="4"/>
  <c r="F11" i="4"/>
  <c r="F12" i="4"/>
  <c r="F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<sst xmlns="http://schemas.openxmlformats.org/spreadsheetml/2006/main" count="2303" uniqueCount="484">
  <si>
    <t>d</t>
  </si>
  <si>
    <t>date</t>
  </si>
  <si>
    <t>wm_yr_wk</t>
  </si>
  <si>
    <t>weekday</t>
  </si>
  <si>
    <t>wday</t>
  </si>
  <si>
    <t>month</t>
  </si>
  <si>
    <t>year</t>
  </si>
  <si>
    <t>event_name_1</t>
  </si>
  <si>
    <t>event_type_1</t>
  </si>
  <si>
    <t>event_name_2</t>
  </si>
  <si>
    <t>event_type_2</t>
  </si>
  <si>
    <t>snap_CA</t>
  </si>
  <si>
    <t>SKU1_Sales</t>
  </si>
  <si>
    <t>SKU2_Sales</t>
  </si>
  <si>
    <t>SKU3_Sales</t>
  </si>
  <si>
    <t>d_1</t>
  </si>
  <si>
    <t>Saturday</t>
  </si>
  <si>
    <t/>
  </si>
  <si>
    <t>d_2</t>
  </si>
  <si>
    <t>Sunday</t>
  </si>
  <si>
    <t>d_3</t>
  </si>
  <si>
    <t>Monday</t>
  </si>
  <si>
    <t>d_4</t>
  </si>
  <si>
    <t>Tuesday</t>
  </si>
  <si>
    <t>d_5</t>
  </si>
  <si>
    <t>Wednesday</t>
  </si>
  <si>
    <t>d_6</t>
  </si>
  <si>
    <t>Thursday</t>
  </si>
  <si>
    <t>d_7</t>
  </si>
  <si>
    <t>Friday</t>
  </si>
  <si>
    <t>d_8</t>
  </si>
  <si>
    <t>d_9</t>
  </si>
  <si>
    <t>SuperBowl</t>
  </si>
  <si>
    <t>Sporting</t>
  </si>
  <si>
    <t>d_10</t>
  </si>
  <si>
    <t>d_11</t>
  </si>
  <si>
    <t>d_12</t>
  </si>
  <si>
    <t>d_13</t>
  </si>
  <si>
    <t>d_14</t>
  </si>
  <si>
    <t>d_15</t>
  </si>
  <si>
    <t>d_16</t>
  </si>
  <si>
    <t>d_17</t>
  </si>
  <si>
    <t>ValentinesDay</t>
  </si>
  <si>
    <t>Cultural</t>
  </si>
  <si>
    <t>d_18</t>
  </si>
  <si>
    <t>d_19</t>
  </si>
  <si>
    <t>d_20</t>
  </si>
  <si>
    <t>d_21</t>
  </si>
  <si>
    <t>d_22</t>
  </si>
  <si>
    <t>d_23</t>
  </si>
  <si>
    <t>d_24</t>
  </si>
  <si>
    <t>PresidentsDay</t>
  </si>
  <si>
    <t>National</t>
  </si>
  <si>
    <t>d_25</t>
  </si>
  <si>
    <t>d_26</t>
  </si>
  <si>
    <t>d_27</t>
  </si>
  <si>
    <t>d_28</t>
  </si>
  <si>
    <t>d_29</t>
  </si>
  <si>
    <t>d_30</t>
  </si>
  <si>
    <t>d_31</t>
  </si>
  <si>
    <t>d_32</t>
  </si>
  <si>
    <t>d_33</t>
  </si>
  <si>
    <t>d_34</t>
  </si>
  <si>
    <t>d_35</t>
  </si>
  <si>
    <t>d_36</t>
  </si>
  <si>
    <t>d_37</t>
  </si>
  <si>
    <t>d_38</t>
  </si>
  <si>
    <t>d_39</t>
  </si>
  <si>
    <t>d_40</t>
  </si>
  <si>
    <t>LentStart</t>
  </si>
  <si>
    <t>Religious</t>
  </si>
  <si>
    <t>d_41</t>
  </si>
  <si>
    <t>d_42</t>
  </si>
  <si>
    <t>d_43</t>
  </si>
  <si>
    <t>d_44</t>
  </si>
  <si>
    <t>d_45</t>
  </si>
  <si>
    <t>d_46</t>
  </si>
  <si>
    <t>d_47</t>
  </si>
  <si>
    <t>LentWeek2</t>
  </si>
  <si>
    <t>d_48</t>
  </si>
  <si>
    <t>StPatricksDay</t>
  </si>
  <si>
    <t>d_49</t>
  </si>
  <si>
    <t>d_50</t>
  </si>
  <si>
    <t>d_51</t>
  </si>
  <si>
    <t>Purim End</t>
  </si>
  <si>
    <t>d_52</t>
  </si>
  <si>
    <t>d_53</t>
  </si>
  <si>
    <t>d_54</t>
  </si>
  <si>
    <t>d_55</t>
  </si>
  <si>
    <t>d_56</t>
  </si>
  <si>
    <t>d_57</t>
  </si>
  <si>
    <t>d_58</t>
  </si>
  <si>
    <t>d_59</t>
  </si>
  <si>
    <t>d_60</t>
  </si>
  <si>
    <t>d_61</t>
  </si>
  <si>
    <t>d_62</t>
  </si>
  <si>
    <t>d_63</t>
  </si>
  <si>
    <t>d_64</t>
  </si>
  <si>
    <t>d_65</t>
  </si>
  <si>
    <t>d_66</t>
  </si>
  <si>
    <t>d_67</t>
  </si>
  <si>
    <t>d_68</t>
  </si>
  <si>
    <t>d_69</t>
  </si>
  <si>
    <t>d_70</t>
  </si>
  <si>
    <t>d_71</t>
  </si>
  <si>
    <t>d_72</t>
  </si>
  <si>
    <t>d_73</t>
  </si>
  <si>
    <t>d_74</t>
  </si>
  <si>
    <t>d_75</t>
  </si>
  <si>
    <t>d_76</t>
  </si>
  <si>
    <t>d_77</t>
  </si>
  <si>
    <t>d_78</t>
  </si>
  <si>
    <t>d_79</t>
  </si>
  <si>
    <t>d_80</t>
  </si>
  <si>
    <t>d_81</t>
  </si>
  <si>
    <t>d_82</t>
  </si>
  <si>
    <t>d_83</t>
  </si>
  <si>
    <t>d_84</t>
  </si>
  <si>
    <t>d_85</t>
  </si>
  <si>
    <t>d_86</t>
  </si>
  <si>
    <t>OrthodoxEaster</t>
  </si>
  <si>
    <t>Easter</t>
  </si>
  <si>
    <t>d_87</t>
  </si>
  <si>
    <t>d_88</t>
  </si>
  <si>
    <t>Pesach End</t>
  </si>
  <si>
    <t>d_89</t>
  </si>
  <si>
    <t>d_90</t>
  </si>
  <si>
    <t>d_91</t>
  </si>
  <si>
    <t>d_92</t>
  </si>
  <si>
    <t>d_93</t>
  </si>
  <si>
    <t>d_94</t>
  </si>
  <si>
    <t>d_95</t>
  </si>
  <si>
    <t>d_96</t>
  </si>
  <si>
    <t>d_97</t>
  </si>
  <si>
    <t>Cinco De Mayo</t>
  </si>
  <si>
    <t>d_98</t>
  </si>
  <si>
    <t>d_99</t>
  </si>
  <si>
    <t>d_100</t>
  </si>
  <si>
    <t>Mother's day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</si>
  <si>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</si>
  <si>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</si>
  <si>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</si>
  <si>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</si>
  <si>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</si>
  <si>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</si>
  <si>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</si>
  <si>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</si>
  <si>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</si>
  <si>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</si>
  <si>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</si>
  <si>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</si>
  <si>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</si>
  <si>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</si>
  <si>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</si>
  <si>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</si>
  <si>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</si>
  <si>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</si>
  <si>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</si>
  <si>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</si>
  <si>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</si>
  <si>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</si>
  <si>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MemorialDay</t>
  </si>
  <si>
    <t>d_123</t>
  </si>
  <si>
    <t>NBAFinalsStart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</si>
  <si>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</si>
  <si>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</si>
  <si>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</si>
  <si>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</si>
  <si>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</si>
  <si>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</si>
  <si>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</si>
  <si>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</si>
  <si>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</si>
  <si>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</si>
  <si>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</si>
  <si>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</si>
  <si>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NBAFinalsEnd</t>
  </si>
  <si>
    <t>d_136</t>
  </si>
  <si>
    <t>d_137</t>
  </si>
  <si>
    <t>d_138</t>
  </si>
  <si>
    <t>d_139</t>
  </si>
  <si>
    <t>d_140</t>
  </si>
  <si>
    <t>d_141</t>
  </si>
  <si>
    <t>d_142</t>
  </si>
  <si>
    <t>Father's day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</si>
  <si>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</si>
  <si>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</si>
  <si>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</si>
  <si>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</si>
  <si>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</si>
  <si>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</si>
  <si>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</si>
  <si>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</si>
  <si>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</si>
  <si>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</si>
  <si>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</si>
  <si>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</si>
  <si>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</si>
  <si>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</si>
  <si>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</si>
  <si>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IndependenceDay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</si>
  <si>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</si>
  <si>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</si>
  <si>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</si>
  <si>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</si>
  <si>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</si>
  <si>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</si>
  <si>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</si>
  <si>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</si>
  <si>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</si>
  <si>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</si>
  <si>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</si>
  <si>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</si>
  <si>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</si>
  <si>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</si>
  <si>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</si>
  <si>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</si>
  <si>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</si>
  <si>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</si>
  <si>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</si>
  <si>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</si>
  <si>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</si>
  <si>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</si>
  <si>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</si>
  <si>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</si>
  <si>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</si>
  <si>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</si>
  <si>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</si>
  <si>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</si>
  <si>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Ramadan starts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</si>
  <si>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</si>
  <si>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</si>
  <si>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</si>
  <si>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</si>
  <si>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</si>
  <si>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</si>
  <si>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</si>
  <si>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</si>
  <si>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</si>
  <si>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</si>
  <si>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</si>
  <si>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</si>
  <si>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</si>
  <si>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</si>
  <si>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</si>
  <si>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</si>
  <si>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</si>
  <si>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</si>
  <si>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</si>
  <si>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</si>
  <si>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</si>
  <si>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</si>
  <si>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</si>
  <si>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</si>
  <si>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</si>
  <si>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</si>
  <si>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</si>
  <si>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</si>
  <si>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</si>
  <si>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</si>
  <si>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Eid al-Fitr</t>
  </si>
  <si>
    <t>d_216</t>
  </si>
  <si>
    <t>d_217</t>
  </si>
  <si>
    <t>d_218</t>
  </si>
  <si>
    <t>d_219</t>
  </si>
  <si>
    <t>d_220</t>
  </si>
  <si>
    <t>LaborDay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</si>
  <si>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</si>
  <si>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</si>
  <si>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</si>
  <si>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</si>
  <si>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</si>
  <si>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</si>
  <si>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</si>
  <si>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</si>
  <si>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</si>
  <si>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</si>
  <si>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</si>
  <si>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</si>
  <si>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</si>
  <si>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</si>
  <si>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</si>
  <si>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</si>
  <si>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</si>
  <si>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</si>
  <si>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</si>
  <si>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</si>
  <si>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</si>
  <si>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</si>
  <si>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</si>
  <si>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</si>
  <si>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</si>
  <si>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</si>
  <si>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</si>
  <si>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</si>
  <si>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</si>
  <si>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</si>
  <si>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</si>
  <si>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</si>
  <si>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</si>
  <si>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</si>
  <si>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</si>
  <si>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ColumbusDay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</si>
  <si>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</si>
  <si>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</si>
  <si>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</si>
  <si>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</si>
  <si>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</si>
  <si>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</si>
  <si>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</si>
  <si>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</si>
  <si>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</si>
  <si>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</si>
  <si>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</si>
  <si>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</si>
  <si>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</si>
  <si>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</si>
  <si>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</si>
  <si>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</si>
  <si>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</si>
  <si>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</si>
  <si>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</si>
  <si>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</si>
  <si>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</si>
  <si>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Halloween</t>
  </si>
  <si>
    <t>d_277</t>
  </si>
  <si>
    <t>d_278</t>
  </si>
  <si>
    <t>d_279</t>
  </si>
  <si>
    <t>d_280</t>
  </si>
  <si>
    <t>d_281</t>
  </si>
  <si>
    <t>d_282</t>
  </si>
  <si>
    <t>d_283</t>
  </si>
  <si>
    <t>EidAlAdha</t>
  </si>
  <si>
    <t>d_284</t>
  </si>
  <si>
    <t>d_285</t>
  </si>
  <si>
    <t>d_286</t>
  </si>
  <si>
    <t>d_287</t>
  </si>
  <si>
    <t>VeteransDay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</si>
  <si>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</si>
  <si>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</si>
  <si>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</si>
  <si>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</si>
  <si>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</si>
  <si>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</si>
  <si>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</si>
  <si>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</si>
  <si>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</si>
  <si>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</si>
  <si>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</si>
  <si>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</si>
  <si>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</si>
  <si>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Thanksgiving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</si>
  <si>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</si>
  <si>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</si>
  <si>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</si>
  <si>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</si>
  <si>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</si>
  <si>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</si>
  <si>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</si>
  <si>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</si>
  <si>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</si>
  <si>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</si>
  <si>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</si>
  <si>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</si>
  <si>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</si>
  <si>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</si>
  <si>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</si>
  <si>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</si>
  <si>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</si>
  <si>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</si>
  <si>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</si>
  <si>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</si>
  <si>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</si>
  <si>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</si>
  <si>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</si>
  <si>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</si>
  <si>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</si>
  <si>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</si>
  <si>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</si>
  <si>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</si>
  <si>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</si>
  <si>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</si>
  <si>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</si>
  <si>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Christmas</t>
  </si>
  <si>
    <t>d_332</t>
  </si>
  <si>
    <t>d_333</t>
  </si>
  <si>
    <t>d_334</t>
  </si>
  <si>
    <t>Chanukah End</t>
  </si>
  <si>
    <t>d_335</t>
  </si>
  <si>
    <t>d_336</t>
  </si>
  <si>
    <t>d_337</t>
  </si>
  <si>
    <t>d_338</t>
  </si>
  <si>
    <t>NewYear</t>
  </si>
  <si>
    <t>d_339</t>
  </si>
  <si>
    <t>d_340</t>
  </si>
  <si>
    <t>d_341</t>
  </si>
  <si>
    <t>d_342</t>
  </si>
  <si>
    <t>d_343</t>
  </si>
  <si>
    <t>d_344</t>
  </si>
  <si>
    <t>OrthodoxChristmas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</si>
  <si>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</si>
  <si>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</si>
  <si>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</si>
  <si>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</si>
  <si>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</si>
  <si>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</si>
  <si>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</si>
  <si>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</si>
  <si>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</si>
  <si>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MartinLutherKingDay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</si>
  <si>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</si>
  <si>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</si>
  <si>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</si>
  <si>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</si>
  <si>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</si>
  <si>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</si>
  <si>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</si>
  <si>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</si>
  <si>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</si>
  <si>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</si>
  <si>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</si>
  <si>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</si>
  <si>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Food_1_001</t>
  </si>
  <si>
    <t>Food_1_002</t>
  </si>
  <si>
    <t>Food_1_003</t>
  </si>
  <si>
    <t>Total Days</t>
  </si>
  <si>
    <t>Total Units Sold</t>
  </si>
  <si>
    <t>Average Daily Sales</t>
  </si>
  <si>
    <t>Median Daily Sales</t>
  </si>
  <si>
    <t>Std Dev</t>
  </si>
  <si>
    <t>CV</t>
  </si>
  <si>
    <t>Minimum</t>
  </si>
  <si>
    <t>Maximum</t>
  </si>
  <si>
    <t>Zero Sales Days</t>
  </si>
  <si>
    <t>Zero Sales Rate</t>
  </si>
  <si>
    <t>Peak Day</t>
  </si>
  <si>
    <t>Peak Date</t>
  </si>
  <si>
    <t>75th Percentile</t>
  </si>
  <si>
    <t>25th Percentile</t>
  </si>
  <si>
    <t>IQR</t>
  </si>
  <si>
    <t>Labels</t>
  </si>
  <si>
    <t>Weekday</t>
  </si>
  <si>
    <t>SKU1_Avg</t>
  </si>
  <si>
    <t>SKU2_Avg</t>
  </si>
  <si>
    <t>SKU3_Avg</t>
  </si>
  <si>
    <t>Overall Average</t>
  </si>
  <si>
    <t>Seasonal Index</t>
  </si>
  <si>
    <t>Month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</si>
  <si>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</si>
  <si>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</si>
  <si>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</si>
  <si>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</si>
  <si>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</si>
  <si>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</si>
  <si>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</si>
  <si>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</si>
  <si>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</si>
  <si>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</si>
  <si>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</si>
  <si>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</si>
  <si>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</si>
  <si>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>SKU_1_seasonality_Index</t>
  </si>
  <si>
    <t>SKU_2_seasonality_index</t>
  </si>
  <si>
    <t>SKU_3_seasonality_index</t>
  </si>
  <si>
    <t>Condition</t>
  </si>
  <si>
    <t>Count</t>
  </si>
  <si>
    <t>No event</t>
  </si>
  <si>
    <t xml:space="preserve">Sporting </t>
  </si>
  <si>
    <t>Event lift %</t>
  </si>
  <si>
    <t>SKU_1</t>
  </si>
  <si>
    <t>SKU_2</t>
  </si>
  <si>
    <t>SKU_3</t>
  </si>
  <si>
    <t>Individual Event analysis</t>
  </si>
  <si>
    <t>Events</t>
  </si>
  <si>
    <t>Date</t>
  </si>
  <si>
    <t>Snap Status</t>
  </si>
  <si>
    <t>Snap Day (snap_CA=1)</t>
  </si>
  <si>
    <t>Non-Snap Day (snap_CA=0)</t>
  </si>
  <si>
    <t>Uplift%</t>
  </si>
  <si>
    <t>SKU1_28DayAvg</t>
  </si>
  <si>
    <t>SkU1_28DayTotal</t>
  </si>
  <si>
    <t>SKU1</t>
  </si>
  <si>
    <t>SKU2</t>
  </si>
  <si>
    <t>SKU3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</si>
</sst>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1" applyFont="1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2" fontId="0" fillId="0" borderId="0" xfId="0" applyNumberFormat="1"/>
    <xf numFmtId="2" fontId="4" fillId="0" borderId="0" xfId="0" applyNumberFormat="1" applyFont="1"/>
  </cellXfs>
  <cellStyles count="2"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 per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WeekdayPattern!$B$1</c:f>
              <c:strCache>
                <c:ptCount val="1"/>
                <c:pt idx="0">
                  <c:v>SKU1_Avg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WeekdayPattern!$A$2:$A$8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WeekdayPattern!$B$2:$B$8</c:f>
              <c:numCache>
                <c:formatCode>General</c:formatCode>
                <c:ptCount val="7"/>
                <c:pt idx="0">
                  <c:v>1.0392156862745099</c:v>
                </c:pt>
                <c:pt idx="1">
                  <c:v>1.1764705882352942</c:v>
                </c:pt>
                <c:pt idx="2">
                  <c:v>0.66666666666666663</c:v>
                </c:pt>
                <c:pt idx="3">
                  <c:v>0.6470588235294118</c:v>
                </c:pt>
                <c:pt idx="4">
                  <c:v>0.94117647058823528</c:v>
                </c:pt>
                <c:pt idx="5">
                  <c:v>0.76</c:v>
                </c:pt>
                <c:pt idx="6">
                  <c:v>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1-AD4C-8BE6-B8A71001DB95}"/>
            </c:ext>
          </c:extLst>
        </c:ser>
        <c:ser>
          <c:idx val="1"/>
          <c:order val="1"/>
          <c:tx>
            <c:strRef>
              <c:f>WeekdayPattern!$C$1</c:f>
              <c:strCache>
                <c:ptCount val="1"/>
                <c:pt idx="0">
                  <c:v>SKU2_Avg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WeekdayPattern!$A$2:$A$8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WeekdayPattern!$C$2:$C$8</c:f>
              <c:numCache>
                <c:formatCode>General</c:formatCode>
                <c:ptCount val="7"/>
                <c:pt idx="0">
                  <c:v>0.84313725490196079</c:v>
                </c:pt>
                <c:pt idx="1">
                  <c:v>0.88235294117647056</c:v>
                </c:pt>
                <c:pt idx="2">
                  <c:v>0.94117647058823528</c:v>
                </c:pt>
                <c:pt idx="3">
                  <c:v>0.70588235294117652</c:v>
                </c:pt>
                <c:pt idx="4">
                  <c:v>0.78431372549019607</c:v>
                </c:pt>
                <c:pt idx="5">
                  <c:v>0.56000000000000005</c:v>
                </c:pt>
                <c:pt idx="6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1-AD4C-8BE6-B8A71001DB95}"/>
            </c:ext>
          </c:extLst>
        </c:ser>
        <c:ser>
          <c:idx val="2"/>
          <c:order val="2"/>
          <c:tx>
            <c:strRef>
              <c:f>WeekdayPattern!$D$1</c:f>
              <c:strCache>
                <c:ptCount val="1"/>
                <c:pt idx="0">
                  <c:v>SKU3_Avg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WeekdayPattern!$A$2:$A$8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WeekdayPattern!$D$2:$D$8</c:f>
              <c:numCache>
                <c:formatCode>General</c:formatCode>
                <c:ptCount val="7"/>
                <c:pt idx="0">
                  <c:v>1.5294117647058822</c:v>
                </c:pt>
                <c:pt idx="1">
                  <c:v>0.88235294117647056</c:v>
                </c:pt>
                <c:pt idx="2">
                  <c:v>0.62745098039215685</c:v>
                </c:pt>
                <c:pt idx="3">
                  <c:v>0.78431372549019607</c:v>
                </c:pt>
                <c:pt idx="4">
                  <c:v>0.50980392156862742</c:v>
                </c:pt>
                <c:pt idx="5">
                  <c:v>0.94</c:v>
                </c:pt>
                <c:pt idx="6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B1-AD4C-8BE6-B8A71001D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735408"/>
        <c:axId val="864737136"/>
      </c:barChart>
      <c:catAx>
        <c:axId val="86473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37136"/>
        <c:crosses val="autoZero"/>
        <c:auto val="1"/>
        <c:lblAlgn val="ctr"/>
        <c:lblOffset val="100"/>
        <c:noMultiLvlLbl val="0"/>
      </c:catAx>
      <c:valAx>
        <c:axId val="8647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3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Average</a:t>
            </a:r>
            <a:r>
              <a:rPr lang="en-US" baseline="0"/>
              <a:t> Sales per SKU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MonthlyPattern!$C$1</c:f>
              <c:strCache>
                <c:ptCount val="1"/>
                <c:pt idx="0">
                  <c:v>SKU1_Avg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MonthlyPattern!$A$2:$B$13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 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MonthlyPattern!$C$2:$C$13</c:f>
              <c:numCache>
                <c:formatCode>General</c:formatCode>
                <c:ptCount val="12"/>
                <c:pt idx="0">
                  <c:v>0.70967741935483875</c:v>
                </c:pt>
                <c:pt idx="1">
                  <c:v>1.4285714285714286</c:v>
                </c:pt>
                <c:pt idx="2">
                  <c:v>1.2903225806451613</c:v>
                </c:pt>
                <c:pt idx="3">
                  <c:v>0.76666666666666672</c:v>
                </c:pt>
                <c:pt idx="4">
                  <c:v>1.6129032258064515</c:v>
                </c:pt>
                <c:pt idx="5">
                  <c:v>0.93333333333333335</c:v>
                </c:pt>
                <c:pt idx="6">
                  <c:v>0.87096774193548387</c:v>
                </c:pt>
                <c:pt idx="7">
                  <c:v>6.4516129032258063E-2</c:v>
                </c:pt>
                <c:pt idx="8">
                  <c:v>0</c:v>
                </c:pt>
                <c:pt idx="9">
                  <c:v>0</c:v>
                </c:pt>
                <c:pt idx="10">
                  <c:v>1.4</c:v>
                </c:pt>
                <c:pt idx="11">
                  <c:v>1.7419354838709677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1-C04C-AE2B-36A054F2BCB6}"/>
            </c:ext>
          </c:extLst>
        </c:ser>
        <c:ser>
          <c:idx val="1"/>
          <c:order val="1"/>
          <c:tx>
            <c:strRef>
              <c:f>MonthlyPattern!$D$1</c:f>
              <c:strCache>
                <c:ptCount val="1"/>
                <c:pt idx="0">
                  <c:v>SKU2_Avg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MonthlyPattern!$A$2:$B$13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 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MonthlyPattern!$D$2:$D$13</c:f>
              <c:numCache>
                <c:formatCode>General</c:formatCode>
                <c:ptCount val="12"/>
                <c:pt idx="0">
                  <c:v>0.77419354838709675</c:v>
                </c:pt>
                <c:pt idx="1">
                  <c:v>0.32142857142857145</c:v>
                </c:pt>
                <c:pt idx="2">
                  <c:v>0.45161290322580644</c:v>
                </c:pt>
                <c:pt idx="3">
                  <c:v>0.7</c:v>
                </c:pt>
                <c:pt idx="4">
                  <c:v>0.80645161290322576</c:v>
                </c:pt>
                <c:pt idx="5">
                  <c:v>1.3666666666666667</c:v>
                </c:pt>
                <c:pt idx="6">
                  <c:v>0.83870967741935487</c:v>
                </c:pt>
                <c:pt idx="7">
                  <c:v>1.096774193548387</c:v>
                </c:pt>
                <c:pt idx="8">
                  <c:v>0.6333333333333333</c:v>
                </c:pt>
                <c:pt idx="9">
                  <c:v>0.77419354838709675</c:v>
                </c:pt>
                <c:pt idx="10">
                  <c:v>0.8666666666666667</c:v>
                </c:pt>
                <c:pt idx="11">
                  <c:v>0.93548387096774188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1-C04C-AE2B-36A054F2BCB6}"/>
            </c:ext>
          </c:extLst>
        </c:ser>
        <c:ser>
          <c:idx val="2"/>
          <c:order val="2"/>
          <c:tx>
            <c:strRef>
              <c:f>MonthlyPattern!$E$1</c:f>
              <c:strCache>
                <c:ptCount val="1"/>
                <c:pt idx="0">
                  <c:v>SKU3_Avg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MonthlyPattern!$A$2:$B$13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 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MonthlyPattern!$E$2:$E$13</c:f>
              <c:numCache>
                <c:formatCode>General</c:formatCode>
                <c:ptCount val="12"/>
                <c:pt idx="0">
                  <c:v>0.45161290322580644</c:v>
                </c:pt>
                <c:pt idx="1">
                  <c:v>0.9642857142857143</c:v>
                </c:pt>
                <c:pt idx="2">
                  <c:v>0.93548387096774188</c:v>
                </c:pt>
                <c:pt idx="3">
                  <c:v>0.96666666666666667</c:v>
                </c:pt>
                <c:pt idx="4">
                  <c:v>1.2258064516129032</c:v>
                </c:pt>
                <c:pt idx="5">
                  <c:v>1.0666666666666667</c:v>
                </c:pt>
                <c:pt idx="6">
                  <c:v>0.45161290322580644</c:v>
                </c:pt>
                <c:pt idx="7">
                  <c:v>1.096774193548387</c:v>
                </c:pt>
                <c:pt idx="8">
                  <c:v>0.73333333333333328</c:v>
                </c:pt>
                <c:pt idx="9">
                  <c:v>1.064516129032258</c:v>
                </c:pt>
                <c:pt idx="10">
                  <c:v>0.73333333333333328</c:v>
                </c:pt>
                <c:pt idx="11">
                  <c:v>0.80645161290322576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91-C04C-AE2B-36A054F2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920112"/>
        <c:axId val="1122921824"/>
      </c:lineChart>
      <c:catAx>
        <c:axId val="112292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21824"/>
        <c:crosses val="autoZero"/>
        <c:auto val="1"/>
        <c:lblAlgn val="ctr"/>
        <c:lblOffset val="100"/>
        <c:noMultiLvlLbl val="0"/>
      </c:catAx>
      <c:valAx>
        <c:axId val="112292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28 days rolling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Trend'!$B$1</c:f>
              <c:strCache>
                <c:ptCount val="1"/>
                <c:pt idx="0">
                  <c:v>SKU1_Sales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Trend'!$A$2:$A$366</c:f>
              <c:numCache>
                <c:formatCode>m/d/yy</c:formatCode>
                <c:ptCount val="365"/>
                <c:pt idx="0">
                  <c:v>40572</c:v>
                </c:pt>
                <c:pt idx="1">
                  <c:v>40573</c:v>
                </c:pt>
                <c:pt idx="2">
                  <c:v>40574</c:v>
                </c:pt>
                <c:pt idx="3">
                  <c:v>40575</c:v>
                </c:pt>
                <c:pt idx="4">
                  <c:v>40576</c:v>
                </c:pt>
                <c:pt idx="5">
                  <c:v>40577</c:v>
                </c:pt>
                <c:pt idx="6">
                  <c:v>40578</c:v>
                </c:pt>
                <c:pt idx="7">
                  <c:v>40579</c:v>
                </c:pt>
                <c:pt idx="8">
                  <c:v>40580</c:v>
                </c:pt>
                <c:pt idx="9">
                  <c:v>40581</c:v>
                </c:pt>
                <c:pt idx="10">
                  <c:v>40582</c:v>
                </c:pt>
                <c:pt idx="11">
                  <c:v>40583</c:v>
                </c:pt>
                <c:pt idx="12">
                  <c:v>40584</c:v>
                </c:pt>
                <c:pt idx="13">
                  <c:v>40585</c:v>
                </c:pt>
                <c:pt idx="14">
                  <c:v>40586</c:v>
                </c:pt>
                <c:pt idx="15">
                  <c:v>40587</c:v>
                </c:pt>
                <c:pt idx="16">
                  <c:v>40588</c:v>
                </c:pt>
                <c:pt idx="17">
                  <c:v>40589</c:v>
                </c:pt>
                <c:pt idx="18">
                  <c:v>40590</c:v>
                </c:pt>
                <c:pt idx="19">
                  <c:v>40591</c:v>
                </c:pt>
                <c:pt idx="20">
                  <c:v>40592</c:v>
                </c:pt>
                <c:pt idx="21">
                  <c:v>40593</c:v>
                </c:pt>
                <c:pt idx="22">
                  <c:v>40594</c:v>
                </c:pt>
                <c:pt idx="23">
                  <c:v>40595</c:v>
                </c:pt>
                <c:pt idx="24">
                  <c:v>40596</c:v>
                </c:pt>
                <c:pt idx="25">
                  <c:v>40597</c:v>
                </c:pt>
                <c:pt idx="26">
                  <c:v>40598</c:v>
                </c:pt>
                <c:pt idx="27">
                  <c:v>40599</c:v>
                </c:pt>
                <c:pt idx="28">
                  <c:v>40600</c:v>
                </c:pt>
                <c:pt idx="29">
                  <c:v>40601</c:v>
                </c:pt>
                <c:pt idx="30">
                  <c:v>40602</c:v>
                </c:pt>
                <c:pt idx="31">
                  <c:v>40603</c:v>
                </c:pt>
                <c:pt idx="32">
                  <c:v>40604</c:v>
                </c:pt>
                <c:pt idx="33">
                  <c:v>40605</c:v>
                </c:pt>
                <c:pt idx="34">
                  <c:v>40606</c:v>
                </c:pt>
                <c:pt idx="35">
                  <c:v>40607</c:v>
                </c:pt>
                <c:pt idx="36">
                  <c:v>40608</c:v>
                </c:pt>
                <c:pt idx="37">
                  <c:v>40609</c:v>
                </c:pt>
                <c:pt idx="38">
                  <c:v>40610</c:v>
                </c:pt>
                <c:pt idx="39">
                  <c:v>40611</c:v>
                </c:pt>
                <c:pt idx="40">
                  <c:v>40612</c:v>
                </c:pt>
                <c:pt idx="41">
                  <c:v>40613</c:v>
                </c:pt>
                <c:pt idx="42">
                  <c:v>40614</c:v>
                </c:pt>
                <c:pt idx="43">
                  <c:v>40615</c:v>
                </c:pt>
                <c:pt idx="44">
                  <c:v>40616</c:v>
                </c:pt>
                <c:pt idx="45">
                  <c:v>40617</c:v>
                </c:pt>
                <c:pt idx="46">
                  <c:v>40618</c:v>
                </c:pt>
                <c:pt idx="47">
                  <c:v>40619</c:v>
                </c:pt>
                <c:pt idx="48">
                  <c:v>40620</c:v>
                </c:pt>
                <c:pt idx="49">
                  <c:v>40621</c:v>
                </c:pt>
                <c:pt idx="50">
                  <c:v>40622</c:v>
                </c:pt>
                <c:pt idx="51">
                  <c:v>40623</c:v>
                </c:pt>
                <c:pt idx="52">
                  <c:v>40624</c:v>
                </c:pt>
                <c:pt idx="53">
                  <c:v>40625</c:v>
                </c:pt>
                <c:pt idx="54">
                  <c:v>40626</c:v>
                </c:pt>
                <c:pt idx="55">
                  <c:v>40627</c:v>
                </c:pt>
                <c:pt idx="56">
                  <c:v>40628</c:v>
                </c:pt>
                <c:pt idx="57">
                  <c:v>40629</c:v>
                </c:pt>
                <c:pt idx="58">
                  <c:v>40630</c:v>
                </c:pt>
                <c:pt idx="59">
                  <c:v>40631</c:v>
                </c:pt>
                <c:pt idx="60">
                  <c:v>40632</c:v>
                </c:pt>
                <c:pt idx="61">
                  <c:v>40633</c:v>
                </c:pt>
                <c:pt idx="62">
                  <c:v>40634</c:v>
                </c:pt>
                <c:pt idx="63">
                  <c:v>40635</c:v>
                </c:pt>
                <c:pt idx="64">
                  <c:v>40636</c:v>
                </c:pt>
                <c:pt idx="65">
                  <c:v>40637</c:v>
                </c:pt>
                <c:pt idx="66">
                  <c:v>40638</c:v>
                </c:pt>
                <c:pt idx="67">
                  <c:v>40639</c:v>
                </c:pt>
                <c:pt idx="68">
                  <c:v>40640</c:v>
                </c:pt>
                <c:pt idx="69">
                  <c:v>40641</c:v>
                </c:pt>
                <c:pt idx="70">
                  <c:v>40642</c:v>
                </c:pt>
                <c:pt idx="71">
                  <c:v>40643</c:v>
                </c:pt>
                <c:pt idx="72">
                  <c:v>40644</c:v>
                </c:pt>
                <c:pt idx="73">
                  <c:v>40645</c:v>
                </c:pt>
                <c:pt idx="74">
                  <c:v>40646</c:v>
                </c:pt>
                <c:pt idx="75">
                  <c:v>40647</c:v>
                </c:pt>
                <c:pt idx="76">
                  <c:v>40648</c:v>
                </c:pt>
                <c:pt idx="77">
                  <c:v>40649</c:v>
                </c:pt>
                <c:pt idx="78">
                  <c:v>40650</c:v>
                </c:pt>
                <c:pt idx="79">
                  <c:v>40651</c:v>
                </c:pt>
                <c:pt idx="80">
                  <c:v>40652</c:v>
                </c:pt>
                <c:pt idx="81">
                  <c:v>40653</c:v>
                </c:pt>
                <c:pt idx="82">
                  <c:v>40654</c:v>
                </c:pt>
                <c:pt idx="83">
                  <c:v>40655</c:v>
                </c:pt>
                <c:pt idx="84">
                  <c:v>40656</c:v>
                </c:pt>
                <c:pt idx="85">
                  <c:v>40657</c:v>
                </c:pt>
                <c:pt idx="86">
                  <c:v>40658</c:v>
                </c:pt>
                <c:pt idx="87">
                  <c:v>40659</c:v>
                </c:pt>
                <c:pt idx="88">
                  <c:v>40660</c:v>
                </c:pt>
                <c:pt idx="89">
                  <c:v>40661</c:v>
                </c:pt>
                <c:pt idx="90">
                  <c:v>40662</c:v>
                </c:pt>
                <c:pt idx="91">
                  <c:v>40663</c:v>
                </c:pt>
                <c:pt idx="92">
                  <c:v>40664</c:v>
                </c:pt>
                <c:pt idx="93">
                  <c:v>40665</c:v>
                </c:pt>
                <c:pt idx="94">
                  <c:v>40666</c:v>
                </c:pt>
                <c:pt idx="95">
                  <c:v>40667</c:v>
                </c:pt>
                <c:pt idx="96">
                  <c:v>40668</c:v>
                </c:pt>
                <c:pt idx="97">
                  <c:v>40669</c:v>
                </c:pt>
                <c:pt idx="98">
                  <c:v>40670</c:v>
                </c:pt>
                <c:pt idx="99">
                  <c:v>40671</c:v>
                </c:pt>
                <c:pt idx="100">
                  <c:v>40672</c:v>
                </c:pt>
                <c:pt idx="101">
                  <c:v>40673</c:v>
                </c:pt>
                <c:pt idx="102">
                  <c:v>40674</c:v>
                </c:pt>
                <c:pt idx="103">
                  <c:v>40675</c:v>
                </c:pt>
                <c:pt idx="104">
                  <c:v>40676</c:v>
                </c:pt>
                <c:pt idx="105">
                  <c:v>40677</c:v>
                </c:pt>
                <c:pt idx="106">
                  <c:v>40678</c:v>
                </c:pt>
                <c:pt idx="107">
                  <c:v>40679</c:v>
                </c:pt>
                <c:pt idx="108">
                  <c:v>40680</c:v>
                </c:pt>
                <c:pt idx="109">
                  <c:v>40681</c:v>
                </c:pt>
                <c:pt idx="110">
                  <c:v>40682</c:v>
                </c:pt>
                <c:pt idx="111">
                  <c:v>40683</c:v>
                </c:pt>
                <c:pt idx="112">
                  <c:v>40684</c:v>
                </c:pt>
                <c:pt idx="113">
                  <c:v>40685</c:v>
                </c:pt>
                <c:pt idx="114">
                  <c:v>40686</c:v>
                </c:pt>
                <c:pt idx="115">
                  <c:v>40687</c:v>
                </c:pt>
                <c:pt idx="116">
                  <c:v>40688</c:v>
                </c:pt>
                <c:pt idx="117">
                  <c:v>40689</c:v>
                </c:pt>
                <c:pt idx="118">
                  <c:v>40690</c:v>
                </c:pt>
                <c:pt idx="119">
                  <c:v>40691</c:v>
                </c:pt>
                <c:pt idx="120">
                  <c:v>40692</c:v>
                </c:pt>
                <c:pt idx="121">
                  <c:v>40693</c:v>
                </c:pt>
                <c:pt idx="122">
                  <c:v>40694</c:v>
                </c:pt>
                <c:pt idx="123">
                  <c:v>40695</c:v>
                </c:pt>
                <c:pt idx="124">
                  <c:v>40696</c:v>
                </c:pt>
                <c:pt idx="125">
                  <c:v>40697</c:v>
                </c:pt>
                <c:pt idx="126">
                  <c:v>40698</c:v>
                </c:pt>
                <c:pt idx="127">
                  <c:v>40699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40705</c:v>
                </c:pt>
                <c:pt idx="134">
                  <c:v>40706</c:v>
                </c:pt>
                <c:pt idx="135">
                  <c:v>40707</c:v>
                </c:pt>
                <c:pt idx="136">
                  <c:v>40708</c:v>
                </c:pt>
                <c:pt idx="137">
                  <c:v>40709</c:v>
                </c:pt>
                <c:pt idx="138">
                  <c:v>40710</c:v>
                </c:pt>
                <c:pt idx="139">
                  <c:v>40711</c:v>
                </c:pt>
                <c:pt idx="140">
                  <c:v>40712</c:v>
                </c:pt>
                <c:pt idx="141">
                  <c:v>40713</c:v>
                </c:pt>
                <c:pt idx="142">
                  <c:v>40714</c:v>
                </c:pt>
                <c:pt idx="143">
                  <c:v>40715</c:v>
                </c:pt>
                <c:pt idx="144">
                  <c:v>40716</c:v>
                </c:pt>
                <c:pt idx="145">
                  <c:v>40717</c:v>
                </c:pt>
                <c:pt idx="146">
                  <c:v>40718</c:v>
                </c:pt>
                <c:pt idx="147">
                  <c:v>40719</c:v>
                </c:pt>
                <c:pt idx="148">
                  <c:v>40720</c:v>
                </c:pt>
                <c:pt idx="149">
                  <c:v>40721</c:v>
                </c:pt>
                <c:pt idx="150">
                  <c:v>40722</c:v>
                </c:pt>
                <c:pt idx="151">
                  <c:v>40723</c:v>
                </c:pt>
                <c:pt idx="152">
                  <c:v>40724</c:v>
                </c:pt>
                <c:pt idx="153">
                  <c:v>40725</c:v>
                </c:pt>
                <c:pt idx="154">
                  <c:v>40726</c:v>
                </c:pt>
                <c:pt idx="155">
                  <c:v>40727</c:v>
                </c:pt>
                <c:pt idx="156">
                  <c:v>40728</c:v>
                </c:pt>
                <c:pt idx="157">
                  <c:v>40729</c:v>
                </c:pt>
                <c:pt idx="158">
                  <c:v>40730</c:v>
                </c:pt>
                <c:pt idx="159">
                  <c:v>40731</c:v>
                </c:pt>
                <c:pt idx="160">
                  <c:v>40732</c:v>
                </c:pt>
                <c:pt idx="161">
                  <c:v>40733</c:v>
                </c:pt>
                <c:pt idx="162">
                  <c:v>40734</c:v>
                </c:pt>
                <c:pt idx="163">
                  <c:v>40735</c:v>
                </c:pt>
                <c:pt idx="164">
                  <c:v>40736</c:v>
                </c:pt>
                <c:pt idx="165">
                  <c:v>40737</c:v>
                </c:pt>
                <c:pt idx="166">
                  <c:v>40738</c:v>
                </c:pt>
                <c:pt idx="167">
                  <c:v>40739</c:v>
                </c:pt>
                <c:pt idx="168">
                  <c:v>40740</c:v>
                </c:pt>
                <c:pt idx="169">
                  <c:v>40741</c:v>
                </c:pt>
                <c:pt idx="170">
                  <c:v>40742</c:v>
                </c:pt>
                <c:pt idx="171">
                  <c:v>40743</c:v>
                </c:pt>
                <c:pt idx="172">
                  <c:v>40744</c:v>
                </c:pt>
                <c:pt idx="173">
                  <c:v>40745</c:v>
                </c:pt>
                <c:pt idx="174">
                  <c:v>40746</c:v>
                </c:pt>
                <c:pt idx="175">
                  <c:v>40747</c:v>
                </c:pt>
                <c:pt idx="176">
                  <c:v>40748</c:v>
                </c:pt>
                <c:pt idx="177">
                  <c:v>40749</c:v>
                </c:pt>
                <c:pt idx="178">
                  <c:v>40750</c:v>
                </c:pt>
                <c:pt idx="179">
                  <c:v>40751</c:v>
                </c:pt>
                <c:pt idx="180">
                  <c:v>40752</c:v>
                </c:pt>
                <c:pt idx="181">
                  <c:v>40753</c:v>
                </c:pt>
                <c:pt idx="182">
                  <c:v>40754</c:v>
                </c:pt>
                <c:pt idx="183">
                  <c:v>40755</c:v>
                </c:pt>
                <c:pt idx="184">
                  <c:v>40756</c:v>
                </c:pt>
                <c:pt idx="185">
                  <c:v>40757</c:v>
                </c:pt>
                <c:pt idx="186">
                  <c:v>40758</c:v>
                </c:pt>
                <c:pt idx="187">
                  <c:v>40759</c:v>
                </c:pt>
                <c:pt idx="188">
                  <c:v>40760</c:v>
                </c:pt>
                <c:pt idx="189">
                  <c:v>40761</c:v>
                </c:pt>
                <c:pt idx="190">
                  <c:v>40762</c:v>
                </c:pt>
                <c:pt idx="191">
                  <c:v>40763</c:v>
                </c:pt>
                <c:pt idx="192">
                  <c:v>40764</c:v>
                </c:pt>
                <c:pt idx="193">
                  <c:v>40765</c:v>
                </c:pt>
                <c:pt idx="194">
                  <c:v>40766</c:v>
                </c:pt>
                <c:pt idx="195">
                  <c:v>40767</c:v>
                </c:pt>
                <c:pt idx="196">
                  <c:v>40768</c:v>
                </c:pt>
                <c:pt idx="197">
                  <c:v>40769</c:v>
                </c:pt>
                <c:pt idx="198">
                  <c:v>40770</c:v>
                </c:pt>
                <c:pt idx="199">
                  <c:v>40771</c:v>
                </c:pt>
                <c:pt idx="200">
                  <c:v>40772</c:v>
                </c:pt>
                <c:pt idx="201">
                  <c:v>40773</c:v>
                </c:pt>
                <c:pt idx="202">
                  <c:v>40774</c:v>
                </c:pt>
                <c:pt idx="203">
                  <c:v>40775</c:v>
                </c:pt>
                <c:pt idx="204">
                  <c:v>40776</c:v>
                </c:pt>
                <c:pt idx="205">
                  <c:v>40777</c:v>
                </c:pt>
                <c:pt idx="206">
                  <c:v>40778</c:v>
                </c:pt>
                <c:pt idx="207">
                  <c:v>40779</c:v>
                </c:pt>
                <c:pt idx="208">
                  <c:v>40780</c:v>
                </c:pt>
                <c:pt idx="209">
                  <c:v>40781</c:v>
                </c:pt>
                <c:pt idx="210">
                  <c:v>40782</c:v>
                </c:pt>
                <c:pt idx="211">
                  <c:v>40783</c:v>
                </c:pt>
                <c:pt idx="212">
                  <c:v>40784</c:v>
                </c:pt>
                <c:pt idx="213">
                  <c:v>40785</c:v>
                </c:pt>
                <c:pt idx="214">
                  <c:v>40786</c:v>
                </c:pt>
                <c:pt idx="215">
                  <c:v>40787</c:v>
                </c:pt>
                <c:pt idx="216">
                  <c:v>40788</c:v>
                </c:pt>
                <c:pt idx="217">
                  <c:v>40789</c:v>
                </c:pt>
                <c:pt idx="218">
                  <c:v>40790</c:v>
                </c:pt>
                <c:pt idx="219">
                  <c:v>40791</c:v>
                </c:pt>
                <c:pt idx="220">
                  <c:v>40792</c:v>
                </c:pt>
                <c:pt idx="221">
                  <c:v>40793</c:v>
                </c:pt>
                <c:pt idx="222">
                  <c:v>40794</c:v>
                </c:pt>
                <c:pt idx="223">
                  <c:v>40795</c:v>
                </c:pt>
                <c:pt idx="224">
                  <c:v>40796</c:v>
                </c:pt>
                <c:pt idx="225">
                  <c:v>40797</c:v>
                </c:pt>
                <c:pt idx="226">
                  <c:v>40798</c:v>
                </c:pt>
                <c:pt idx="227">
                  <c:v>40799</c:v>
                </c:pt>
                <c:pt idx="228">
                  <c:v>40800</c:v>
                </c:pt>
                <c:pt idx="229">
                  <c:v>40801</c:v>
                </c:pt>
                <c:pt idx="230">
                  <c:v>40802</c:v>
                </c:pt>
                <c:pt idx="231">
                  <c:v>40803</c:v>
                </c:pt>
                <c:pt idx="232">
                  <c:v>40804</c:v>
                </c:pt>
                <c:pt idx="233">
                  <c:v>40805</c:v>
                </c:pt>
                <c:pt idx="234">
                  <c:v>40806</c:v>
                </c:pt>
                <c:pt idx="235">
                  <c:v>40807</c:v>
                </c:pt>
                <c:pt idx="236">
                  <c:v>40808</c:v>
                </c:pt>
                <c:pt idx="237">
                  <c:v>40809</c:v>
                </c:pt>
                <c:pt idx="238">
                  <c:v>40810</c:v>
                </c:pt>
                <c:pt idx="239">
                  <c:v>40811</c:v>
                </c:pt>
                <c:pt idx="240">
                  <c:v>40812</c:v>
                </c:pt>
                <c:pt idx="241">
                  <c:v>40813</c:v>
                </c:pt>
                <c:pt idx="242">
                  <c:v>40814</c:v>
                </c:pt>
                <c:pt idx="243">
                  <c:v>40815</c:v>
                </c:pt>
                <c:pt idx="244">
                  <c:v>40816</c:v>
                </c:pt>
                <c:pt idx="245">
                  <c:v>40817</c:v>
                </c:pt>
                <c:pt idx="246">
                  <c:v>40818</c:v>
                </c:pt>
                <c:pt idx="247">
                  <c:v>40819</c:v>
                </c:pt>
                <c:pt idx="248">
                  <c:v>40820</c:v>
                </c:pt>
                <c:pt idx="249">
                  <c:v>40821</c:v>
                </c:pt>
                <c:pt idx="250">
                  <c:v>40822</c:v>
                </c:pt>
                <c:pt idx="251">
                  <c:v>40823</c:v>
                </c:pt>
                <c:pt idx="252">
                  <c:v>40824</c:v>
                </c:pt>
                <c:pt idx="253">
                  <c:v>40825</c:v>
                </c:pt>
                <c:pt idx="254">
                  <c:v>40826</c:v>
                </c:pt>
                <c:pt idx="255">
                  <c:v>40827</c:v>
                </c:pt>
                <c:pt idx="256">
                  <c:v>40828</c:v>
                </c:pt>
                <c:pt idx="257">
                  <c:v>40829</c:v>
                </c:pt>
                <c:pt idx="258">
                  <c:v>40830</c:v>
                </c:pt>
                <c:pt idx="259">
                  <c:v>40831</c:v>
                </c:pt>
                <c:pt idx="260">
                  <c:v>40832</c:v>
                </c:pt>
                <c:pt idx="261">
                  <c:v>40833</c:v>
                </c:pt>
                <c:pt idx="262">
                  <c:v>40834</c:v>
                </c:pt>
                <c:pt idx="263">
                  <c:v>40835</c:v>
                </c:pt>
                <c:pt idx="264">
                  <c:v>40836</c:v>
                </c:pt>
                <c:pt idx="265">
                  <c:v>40837</c:v>
                </c:pt>
                <c:pt idx="266">
                  <c:v>40838</c:v>
                </c:pt>
                <c:pt idx="267">
                  <c:v>40839</c:v>
                </c:pt>
                <c:pt idx="268">
                  <c:v>40840</c:v>
                </c:pt>
                <c:pt idx="269">
                  <c:v>40841</c:v>
                </c:pt>
                <c:pt idx="270">
                  <c:v>40842</c:v>
                </c:pt>
                <c:pt idx="271">
                  <c:v>40843</c:v>
                </c:pt>
                <c:pt idx="272">
                  <c:v>40844</c:v>
                </c:pt>
                <c:pt idx="273">
                  <c:v>40845</c:v>
                </c:pt>
                <c:pt idx="274">
                  <c:v>40846</c:v>
                </c:pt>
                <c:pt idx="275">
                  <c:v>40847</c:v>
                </c:pt>
                <c:pt idx="276">
                  <c:v>40848</c:v>
                </c:pt>
                <c:pt idx="277">
                  <c:v>40849</c:v>
                </c:pt>
                <c:pt idx="278">
                  <c:v>40850</c:v>
                </c:pt>
                <c:pt idx="279">
                  <c:v>40851</c:v>
                </c:pt>
                <c:pt idx="280">
                  <c:v>40852</c:v>
                </c:pt>
                <c:pt idx="281">
                  <c:v>40853</c:v>
                </c:pt>
                <c:pt idx="282">
                  <c:v>40854</c:v>
                </c:pt>
                <c:pt idx="283">
                  <c:v>40855</c:v>
                </c:pt>
                <c:pt idx="284">
                  <c:v>40856</c:v>
                </c:pt>
                <c:pt idx="285">
                  <c:v>40857</c:v>
                </c:pt>
                <c:pt idx="286">
                  <c:v>40858</c:v>
                </c:pt>
                <c:pt idx="287">
                  <c:v>40859</c:v>
                </c:pt>
                <c:pt idx="288">
                  <c:v>40860</c:v>
                </c:pt>
                <c:pt idx="289">
                  <c:v>40861</c:v>
                </c:pt>
                <c:pt idx="290">
                  <c:v>40862</c:v>
                </c:pt>
                <c:pt idx="291">
                  <c:v>40863</c:v>
                </c:pt>
                <c:pt idx="292">
                  <c:v>40864</c:v>
                </c:pt>
                <c:pt idx="293">
                  <c:v>40865</c:v>
                </c:pt>
                <c:pt idx="294">
                  <c:v>40866</c:v>
                </c:pt>
                <c:pt idx="295">
                  <c:v>40867</c:v>
                </c:pt>
                <c:pt idx="296">
                  <c:v>40868</c:v>
                </c:pt>
                <c:pt idx="297">
                  <c:v>40869</c:v>
                </c:pt>
                <c:pt idx="298">
                  <c:v>40870</c:v>
                </c:pt>
                <c:pt idx="299">
                  <c:v>40871</c:v>
                </c:pt>
                <c:pt idx="300">
                  <c:v>40872</c:v>
                </c:pt>
                <c:pt idx="301">
                  <c:v>40873</c:v>
                </c:pt>
                <c:pt idx="302">
                  <c:v>40874</c:v>
                </c:pt>
                <c:pt idx="303">
                  <c:v>40875</c:v>
                </c:pt>
                <c:pt idx="304">
                  <c:v>40876</c:v>
                </c:pt>
                <c:pt idx="305">
                  <c:v>40877</c:v>
                </c:pt>
                <c:pt idx="306">
                  <c:v>40878</c:v>
                </c:pt>
                <c:pt idx="307">
                  <c:v>40879</c:v>
                </c:pt>
                <c:pt idx="308">
                  <c:v>40880</c:v>
                </c:pt>
                <c:pt idx="309">
                  <c:v>40881</c:v>
                </c:pt>
                <c:pt idx="310">
                  <c:v>40882</c:v>
                </c:pt>
                <c:pt idx="311">
                  <c:v>40883</c:v>
                </c:pt>
                <c:pt idx="312">
                  <c:v>40884</c:v>
                </c:pt>
                <c:pt idx="313">
                  <c:v>40885</c:v>
                </c:pt>
                <c:pt idx="314">
                  <c:v>40886</c:v>
                </c:pt>
                <c:pt idx="315">
                  <c:v>40887</c:v>
                </c:pt>
                <c:pt idx="316">
                  <c:v>40888</c:v>
                </c:pt>
                <c:pt idx="317">
                  <c:v>40889</c:v>
                </c:pt>
                <c:pt idx="318">
                  <c:v>40890</c:v>
                </c:pt>
                <c:pt idx="319">
                  <c:v>40891</c:v>
                </c:pt>
                <c:pt idx="320">
                  <c:v>40892</c:v>
                </c:pt>
                <c:pt idx="321">
                  <c:v>40893</c:v>
                </c:pt>
                <c:pt idx="322">
                  <c:v>40894</c:v>
                </c:pt>
                <c:pt idx="323">
                  <c:v>40895</c:v>
                </c:pt>
                <c:pt idx="324">
                  <c:v>40896</c:v>
                </c:pt>
                <c:pt idx="325">
                  <c:v>40897</c:v>
                </c:pt>
                <c:pt idx="326">
                  <c:v>40898</c:v>
                </c:pt>
                <c:pt idx="327">
                  <c:v>40899</c:v>
                </c:pt>
                <c:pt idx="328">
                  <c:v>40900</c:v>
                </c:pt>
                <c:pt idx="329">
                  <c:v>40901</c:v>
                </c:pt>
                <c:pt idx="330">
                  <c:v>40902</c:v>
                </c:pt>
                <c:pt idx="331">
                  <c:v>40903</c:v>
                </c:pt>
                <c:pt idx="332">
                  <c:v>40904</c:v>
                </c:pt>
                <c:pt idx="333">
                  <c:v>40905</c:v>
                </c:pt>
                <c:pt idx="334">
                  <c:v>40906</c:v>
                </c:pt>
                <c:pt idx="335">
                  <c:v>40907</c:v>
                </c:pt>
                <c:pt idx="336">
                  <c:v>40908</c:v>
                </c:pt>
                <c:pt idx="337">
                  <c:v>40909</c:v>
                </c:pt>
                <c:pt idx="338">
                  <c:v>40910</c:v>
                </c:pt>
                <c:pt idx="339">
                  <c:v>40911</c:v>
                </c:pt>
                <c:pt idx="340">
                  <c:v>40912</c:v>
                </c:pt>
                <c:pt idx="341">
                  <c:v>40913</c:v>
                </c:pt>
                <c:pt idx="342">
                  <c:v>40914</c:v>
                </c:pt>
                <c:pt idx="343">
                  <c:v>40915</c:v>
                </c:pt>
                <c:pt idx="344">
                  <c:v>40916</c:v>
                </c:pt>
                <c:pt idx="345">
                  <c:v>40917</c:v>
                </c:pt>
                <c:pt idx="346">
                  <c:v>40918</c:v>
                </c:pt>
                <c:pt idx="347">
                  <c:v>40919</c:v>
                </c:pt>
                <c:pt idx="348">
                  <c:v>40920</c:v>
                </c:pt>
                <c:pt idx="349">
                  <c:v>40921</c:v>
                </c:pt>
                <c:pt idx="350">
                  <c:v>40922</c:v>
                </c:pt>
                <c:pt idx="351">
                  <c:v>40923</c:v>
                </c:pt>
                <c:pt idx="352">
                  <c:v>40924</c:v>
                </c:pt>
                <c:pt idx="353">
                  <c:v>40925</c:v>
                </c:pt>
                <c:pt idx="354">
                  <c:v>40926</c:v>
                </c:pt>
                <c:pt idx="355">
                  <c:v>40927</c:v>
                </c:pt>
                <c:pt idx="356">
                  <c:v>40928</c:v>
                </c:pt>
                <c:pt idx="357">
                  <c:v>40929</c:v>
                </c:pt>
                <c:pt idx="358">
                  <c:v>40930</c:v>
                </c:pt>
                <c:pt idx="359">
                  <c:v>40931</c:v>
                </c:pt>
                <c:pt idx="360">
                  <c:v>40932</c:v>
                </c:pt>
                <c:pt idx="361">
                  <c:v>40933</c:v>
                </c:pt>
                <c:pt idx="362">
                  <c:v>40934</c:v>
                </c:pt>
                <c:pt idx="363">
                  <c:v>40935</c:v>
                </c:pt>
                <c:pt idx="364">
                  <c:v>40936</c:v>
                </c:pt>
              </c:numCache>
            </c:numRef>
          </c:cat>
          <c:val>
            <c:numRef>
              <c:f>'Rolling Trend'!$B$2:$B$366</c:f>
              <c:numCache>
                <c:formatCode>General</c:formatCode>
                <c:ptCount val="36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7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5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2</c:v>
                </c:pt>
                <c:pt idx="93">
                  <c:v>7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0</c:v>
                </c:pt>
                <c:pt idx="104">
                  <c:v>1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3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0</c:v>
                </c:pt>
                <c:pt idx="118">
                  <c:v>6</c:v>
                </c:pt>
                <c:pt idx="119">
                  <c:v>3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4</c:v>
                </c:pt>
                <c:pt idx="132">
                  <c:v>0</c:v>
                </c:pt>
                <c:pt idx="133">
                  <c:v>0</c:v>
                </c:pt>
                <c:pt idx="134">
                  <c:v>3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2</c:v>
                </c:pt>
                <c:pt idx="140">
                  <c:v>3</c:v>
                </c:pt>
                <c:pt idx="141">
                  <c:v>2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2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2</c:v>
                </c:pt>
                <c:pt idx="162">
                  <c:v>0</c:v>
                </c:pt>
                <c:pt idx="163">
                  <c:v>0</c:v>
                </c:pt>
                <c:pt idx="164">
                  <c:v>4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</c:v>
                </c:pt>
                <c:pt idx="278">
                  <c:v>1</c:v>
                </c:pt>
                <c:pt idx="279">
                  <c:v>4</c:v>
                </c:pt>
                <c:pt idx="280">
                  <c:v>2</c:v>
                </c:pt>
                <c:pt idx="281">
                  <c:v>1</c:v>
                </c:pt>
                <c:pt idx="282">
                  <c:v>0</c:v>
                </c:pt>
                <c:pt idx="283">
                  <c:v>2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6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3</c:v>
                </c:pt>
                <c:pt idx="295">
                  <c:v>4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2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8</c:v>
                </c:pt>
                <c:pt idx="306">
                  <c:v>3</c:v>
                </c:pt>
                <c:pt idx="307">
                  <c:v>1</c:v>
                </c:pt>
                <c:pt idx="308">
                  <c:v>1</c:v>
                </c:pt>
                <c:pt idx="309">
                  <c:v>5</c:v>
                </c:pt>
                <c:pt idx="310">
                  <c:v>3</c:v>
                </c:pt>
                <c:pt idx="311">
                  <c:v>2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2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2</c:v>
                </c:pt>
                <c:pt idx="322">
                  <c:v>2</c:v>
                </c:pt>
                <c:pt idx="323">
                  <c:v>6</c:v>
                </c:pt>
                <c:pt idx="324">
                  <c:v>2</c:v>
                </c:pt>
                <c:pt idx="325">
                  <c:v>3</c:v>
                </c:pt>
                <c:pt idx="326">
                  <c:v>5</c:v>
                </c:pt>
                <c:pt idx="327">
                  <c:v>3</c:v>
                </c:pt>
                <c:pt idx="328">
                  <c:v>5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2</c:v>
                </c:pt>
                <c:pt idx="337">
                  <c:v>2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2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4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6-A442-B2A2-82CF0860E8F4}"/>
            </c:ext>
          </c:extLst>
        </c:ser>
        <c:ser>
          <c:idx val="1"/>
          <c:order val="1"/>
          <c:tx>
            <c:strRef>
              <c:f>'Rolling Trend'!$E$1</c:f>
              <c:strCache>
                <c:ptCount val="1"/>
                <c:pt idx="0">
                  <c:v>SKU1_28DayAvg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'Rolling Trend'!$A$2:$A$366</c:f>
              <c:numCache>
                <c:formatCode>m/d/yy</c:formatCode>
                <c:ptCount val="365"/>
                <c:pt idx="0">
                  <c:v>40572</c:v>
                </c:pt>
                <c:pt idx="1">
                  <c:v>40573</c:v>
                </c:pt>
                <c:pt idx="2">
                  <c:v>40574</c:v>
                </c:pt>
                <c:pt idx="3">
                  <c:v>40575</c:v>
                </c:pt>
                <c:pt idx="4">
                  <c:v>40576</c:v>
                </c:pt>
                <c:pt idx="5">
                  <c:v>40577</c:v>
                </c:pt>
                <c:pt idx="6">
                  <c:v>40578</c:v>
                </c:pt>
                <c:pt idx="7">
                  <c:v>40579</c:v>
                </c:pt>
                <c:pt idx="8">
                  <c:v>40580</c:v>
                </c:pt>
                <c:pt idx="9">
                  <c:v>40581</c:v>
                </c:pt>
                <c:pt idx="10">
                  <c:v>40582</c:v>
                </c:pt>
                <c:pt idx="11">
                  <c:v>40583</c:v>
                </c:pt>
                <c:pt idx="12">
                  <c:v>40584</c:v>
                </c:pt>
                <c:pt idx="13">
                  <c:v>40585</c:v>
                </c:pt>
                <c:pt idx="14">
                  <c:v>40586</c:v>
                </c:pt>
                <c:pt idx="15">
                  <c:v>40587</c:v>
                </c:pt>
                <c:pt idx="16">
                  <c:v>40588</c:v>
                </c:pt>
                <c:pt idx="17">
                  <c:v>40589</c:v>
                </c:pt>
                <c:pt idx="18">
                  <c:v>40590</c:v>
                </c:pt>
                <c:pt idx="19">
                  <c:v>40591</c:v>
                </c:pt>
                <c:pt idx="20">
                  <c:v>40592</c:v>
                </c:pt>
                <c:pt idx="21">
                  <c:v>40593</c:v>
                </c:pt>
                <c:pt idx="22">
                  <c:v>40594</c:v>
                </c:pt>
                <c:pt idx="23">
                  <c:v>40595</c:v>
                </c:pt>
                <c:pt idx="24">
                  <c:v>40596</c:v>
                </c:pt>
                <c:pt idx="25">
                  <c:v>40597</c:v>
                </c:pt>
                <c:pt idx="26">
                  <c:v>40598</c:v>
                </c:pt>
                <c:pt idx="27">
                  <c:v>40599</c:v>
                </c:pt>
                <c:pt idx="28">
                  <c:v>40600</c:v>
                </c:pt>
                <c:pt idx="29">
                  <c:v>40601</c:v>
                </c:pt>
                <c:pt idx="30">
                  <c:v>40602</c:v>
                </c:pt>
                <c:pt idx="31">
                  <c:v>40603</c:v>
                </c:pt>
                <c:pt idx="32">
                  <c:v>40604</c:v>
                </c:pt>
                <c:pt idx="33">
                  <c:v>40605</c:v>
                </c:pt>
                <c:pt idx="34">
                  <c:v>40606</c:v>
                </c:pt>
                <c:pt idx="35">
                  <c:v>40607</c:v>
                </c:pt>
                <c:pt idx="36">
                  <c:v>40608</c:v>
                </c:pt>
                <c:pt idx="37">
                  <c:v>40609</c:v>
                </c:pt>
                <c:pt idx="38">
                  <c:v>40610</c:v>
                </c:pt>
                <c:pt idx="39">
                  <c:v>40611</c:v>
                </c:pt>
                <c:pt idx="40">
                  <c:v>40612</c:v>
                </c:pt>
                <c:pt idx="41">
                  <c:v>40613</c:v>
                </c:pt>
                <c:pt idx="42">
                  <c:v>40614</c:v>
                </c:pt>
                <c:pt idx="43">
                  <c:v>40615</c:v>
                </c:pt>
                <c:pt idx="44">
                  <c:v>40616</c:v>
                </c:pt>
                <c:pt idx="45">
                  <c:v>40617</c:v>
                </c:pt>
                <c:pt idx="46">
                  <c:v>40618</c:v>
                </c:pt>
                <c:pt idx="47">
                  <c:v>40619</c:v>
                </c:pt>
                <c:pt idx="48">
                  <c:v>40620</c:v>
                </c:pt>
                <c:pt idx="49">
                  <c:v>40621</c:v>
                </c:pt>
                <c:pt idx="50">
                  <c:v>40622</c:v>
                </c:pt>
                <c:pt idx="51">
                  <c:v>40623</c:v>
                </c:pt>
                <c:pt idx="52">
                  <c:v>40624</c:v>
                </c:pt>
                <c:pt idx="53">
                  <c:v>40625</c:v>
                </c:pt>
                <c:pt idx="54">
                  <c:v>40626</c:v>
                </c:pt>
                <c:pt idx="55">
                  <c:v>40627</c:v>
                </c:pt>
                <c:pt idx="56">
                  <c:v>40628</c:v>
                </c:pt>
                <c:pt idx="57">
                  <c:v>40629</c:v>
                </c:pt>
                <c:pt idx="58">
                  <c:v>40630</c:v>
                </c:pt>
                <c:pt idx="59">
                  <c:v>40631</c:v>
                </c:pt>
                <c:pt idx="60">
                  <c:v>40632</c:v>
                </c:pt>
                <c:pt idx="61">
                  <c:v>40633</c:v>
                </c:pt>
                <c:pt idx="62">
                  <c:v>40634</c:v>
                </c:pt>
                <c:pt idx="63">
                  <c:v>40635</c:v>
                </c:pt>
                <c:pt idx="64">
                  <c:v>40636</c:v>
                </c:pt>
                <c:pt idx="65">
                  <c:v>40637</c:v>
                </c:pt>
                <c:pt idx="66">
                  <c:v>40638</c:v>
                </c:pt>
                <c:pt idx="67">
                  <c:v>40639</c:v>
                </c:pt>
                <c:pt idx="68">
                  <c:v>40640</c:v>
                </c:pt>
                <c:pt idx="69">
                  <c:v>40641</c:v>
                </c:pt>
                <c:pt idx="70">
                  <c:v>40642</c:v>
                </c:pt>
                <c:pt idx="71">
                  <c:v>40643</c:v>
                </c:pt>
                <c:pt idx="72">
                  <c:v>40644</c:v>
                </c:pt>
                <c:pt idx="73">
                  <c:v>40645</c:v>
                </c:pt>
                <c:pt idx="74">
                  <c:v>40646</c:v>
                </c:pt>
                <c:pt idx="75">
                  <c:v>40647</c:v>
                </c:pt>
                <c:pt idx="76">
                  <c:v>40648</c:v>
                </c:pt>
                <c:pt idx="77">
                  <c:v>40649</c:v>
                </c:pt>
                <c:pt idx="78">
                  <c:v>40650</c:v>
                </c:pt>
                <c:pt idx="79">
                  <c:v>40651</c:v>
                </c:pt>
                <c:pt idx="80">
                  <c:v>40652</c:v>
                </c:pt>
                <c:pt idx="81">
                  <c:v>40653</c:v>
                </c:pt>
                <c:pt idx="82">
                  <c:v>40654</c:v>
                </c:pt>
                <c:pt idx="83">
                  <c:v>40655</c:v>
                </c:pt>
                <c:pt idx="84">
                  <c:v>40656</c:v>
                </c:pt>
                <c:pt idx="85">
                  <c:v>40657</c:v>
                </c:pt>
                <c:pt idx="86">
                  <c:v>40658</c:v>
                </c:pt>
                <c:pt idx="87">
                  <c:v>40659</c:v>
                </c:pt>
                <c:pt idx="88">
                  <c:v>40660</c:v>
                </c:pt>
                <c:pt idx="89">
                  <c:v>40661</c:v>
                </c:pt>
                <c:pt idx="90">
                  <c:v>40662</c:v>
                </c:pt>
                <c:pt idx="91">
                  <c:v>40663</c:v>
                </c:pt>
                <c:pt idx="92">
                  <c:v>40664</c:v>
                </c:pt>
                <c:pt idx="93">
                  <c:v>40665</c:v>
                </c:pt>
                <c:pt idx="94">
                  <c:v>40666</c:v>
                </c:pt>
                <c:pt idx="95">
                  <c:v>40667</c:v>
                </c:pt>
                <c:pt idx="96">
                  <c:v>40668</c:v>
                </c:pt>
                <c:pt idx="97">
                  <c:v>40669</c:v>
                </c:pt>
                <c:pt idx="98">
                  <c:v>40670</c:v>
                </c:pt>
                <c:pt idx="99">
                  <c:v>40671</c:v>
                </c:pt>
                <c:pt idx="100">
                  <c:v>40672</c:v>
                </c:pt>
                <c:pt idx="101">
                  <c:v>40673</c:v>
                </c:pt>
                <c:pt idx="102">
                  <c:v>40674</c:v>
                </c:pt>
                <c:pt idx="103">
                  <c:v>40675</c:v>
                </c:pt>
                <c:pt idx="104">
                  <c:v>40676</c:v>
                </c:pt>
                <c:pt idx="105">
                  <c:v>40677</c:v>
                </c:pt>
                <c:pt idx="106">
                  <c:v>40678</c:v>
                </c:pt>
                <c:pt idx="107">
                  <c:v>40679</c:v>
                </c:pt>
                <c:pt idx="108">
                  <c:v>40680</c:v>
                </c:pt>
                <c:pt idx="109">
                  <c:v>40681</c:v>
                </c:pt>
                <c:pt idx="110">
                  <c:v>40682</c:v>
                </c:pt>
                <c:pt idx="111">
                  <c:v>40683</c:v>
                </c:pt>
                <c:pt idx="112">
                  <c:v>40684</c:v>
                </c:pt>
                <c:pt idx="113">
                  <c:v>40685</c:v>
                </c:pt>
                <c:pt idx="114">
                  <c:v>40686</c:v>
                </c:pt>
                <c:pt idx="115">
                  <c:v>40687</c:v>
                </c:pt>
                <c:pt idx="116">
                  <c:v>40688</c:v>
                </c:pt>
                <c:pt idx="117">
                  <c:v>40689</c:v>
                </c:pt>
                <c:pt idx="118">
                  <c:v>40690</c:v>
                </c:pt>
                <c:pt idx="119">
                  <c:v>40691</c:v>
                </c:pt>
                <c:pt idx="120">
                  <c:v>40692</c:v>
                </c:pt>
                <c:pt idx="121">
                  <c:v>40693</c:v>
                </c:pt>
                <c:pt idx="122">
                  <c:v>40694</c:v>
                </c:pt>
                <c:pt idx="123">
                  <c:v>40695</c:v>
                </c:pt>
                <c:pt idx="124">
                  <c:v>40696</c:v>
                </c:pt>
                <c:pt idx="125">
                  <c:v>40697</c:v>
                </c:pt>
                <c:pt idx="126">
                  <c:v>40698</c:v>
                </c:pt>
                <c:pt idx="127">
                  <c:v>40699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40705</c:v>
                </c:pt>
                <c:pt idx="134">
                  <c:v>40706</c:v>
                </c:pt>
                <c:pt idx="135">
                  <c:v>40707</c:v>
                </c:pt>
                <c:pt idx="136">
                  <c:v>40708</c:v>
                </c:pt>
                <c:pt idx="137">
                  <c:v>40709</c:v>
                </c:pt>
                <c:pt idx="138">
                  <c:v>40710</c:v>
                </c:pt>
                <c:pt idx="139">
                  <c:v>40711</c:v>
                </c:pt>
                <c:pt idx="140">
                  <c:v>40712</c:v>
                </c:pt>
                <c:pt idx="141">
                  <c:v>40713</c:v>
                </c:pt>
                <c:pt idx="142">
                  <c:v>40714</c:v>
                </c:pt>
                <c:pt idx="143">
                  <c:v>40715</c:v>
                </c:pt>
                <c:pt idx="144">
                  <c:v>40716</c:v>
                </c:pt>
                <c:pt idx="145">
                  <c:v>40717</c:v>
                </c:pt>
                <c:pt idx="146">
                  <c:v>40718</c:v>
                </c:pt>
                <c:pt idx="147">
                  <c:v>40719</c:v>
                </c:pt>
                <c:pt idx="148">
                  <c:v>40720</c:v>
                </c:pt>
                <c:pt idx="149">
                  <c:v>40721</c:v>
                </c:pt>
                <c:pt idx="150">
                  <c:v>40722</c:v>
                </c:pt>
                <c:pt idx="151">
                  <c:v>40723</c:v>
                </c:pt>
                <c:pt idx="152">
                  <c:v>40724</c:v>
                </c:pt>
                <c:pt idx="153">
                  <c:v>40725</c:v>
                </c:pt>
                <c:pt idx="154">
                  <c:v>40726</c:v>
                </c:pt>
                <c:pt idx="155">
                  <c:v>40727</c:v>
                </c:pt>
                <c:pt idx="156">
                  <c:v>40728</c:v>
                </c:pt>
                <c:pt idx="157">
                  <c:v>40729</c:v>
                </c:pt>
                <c:pt idx="158">
                  <c:v>40730</c:v>
                </c:pt>
                <c:pt idx="159">
                  <c:v>40731</c:v>
                </c:pt>
                <c:pt idx="160">
                  <c:v>40732</c:v>
                </c:pt>
                <c:pt idx="161">
                  <c:v>40733</c:v>
                </c:pt>
                <c:pt idx="162">
                  <c:v>40734</c:v>
                </c:pt>
                <c:pt idx="163">
                  <c:v>40735</c:v>
                </c:pt>
                <c:pt idx="164">
                  <c:v>40736</c:v>
                </c:pt>
                <c:pt idx="165">
                  <c:v>40737</c:v>
                </c:pt>
                <c:pt idx="166">
                  <c:v>40738</c:v>
                </c:pt>
                <c:pt idx="167">
                  <c:v>40739</c:v>
                </c:pt>
                <c:pt idx="168">
                  <c:v>40740</c:v>
                </c:pt>
                <c:pt idx="169">
                  <c:v>40741</c:v>
                </c:pt>
                <c:pt idx="170">
                  <c:v>40742</c:v>
                </c:pt>
                <c:pt idx="171">
                  <c:v>40743</c:v>
                </c:pt>
                <c:pt idx="172">
                  <c:v>40744</c:v>
                </c:pt>
                <c:pt idx="173">
                  <c:v>40745</c:v>
                </c:pt>
                <c:pt idx="174">
                  <c:v>40746</c:v>
                </c:pt>
                <c:pt idx="175">
                  <c:v>40747</c:v>
                </c:pt>
                <c:pt idx="176">
                  <c:v>40748</c:v>
                </c:pt>
                <c:pt idx="177">
                  <c:v>40749</c:v>
                </c:pt>
                <c:pt idx="178">
                  <c:v>40750</c:v>
                </c:pt>
                <c:pt idx="179">
                  <c:v>40751</c:v>
                </c:pt>
                <c:pt idx="180">
                  <c:v>40752</c:v>
                </c:pt>
                <c:pt idx="181">
                  <c:v>40753</c:v>
                </c:pt>
                <c:pt idx="182">
                  <c:v>40754</c:v>
                </c:pt>
                <c:pt idx="183">
                  <c:v>40755</c:v>
                </c:pt>
                <c:pt idx="184">
                  <c:v>40756</c:v>
                </c:pt>
                <c:pt idx="185">
                  <c:v>40757</c:v>
                </c:pt>
                <c:pt idx="186">
                  <c:v>40758</c:v>
                </c:pt>
                <c:pt idx="187">
                  <c:v>40759</c:v>
                </c:pt>
                <c:pt idx="188">
                  <c:v>40760</c:v>
                </c:pt>
                <c:pt idx="189">
                  <c:v>40761</c:v>
                </c:pt>
                <c:pt idx="190">
                  <c:v>40762</c:v>
                </c:pt>
                <c:pt idx="191">
                  <c:v>40763</c:v>
                </c:pt>
                <c:pt idx="192">
                  <c:v>40764</c:v>
                </c:pt>
                <c:pt idx="193">
                  <c:v>40765</c:v>
                </c:pt>
                <c:pt idx="194">
                  <c:v>40766</c:v>
                </c:pt>
                <c:pt idx="195">
                  <c:v>40767</c:v>
                </c:pt>
                <c:pt idx="196">
                  <c:v>40768</c:v>
                </c:pt>
                <c:pt idx="197">
                  <c:v>40769</c:v>
                </c:pt>
                <c:pt idx="198">
                  <c:v>40770</c:v>
                </c:pt>
                <c:pt idx="199">
                  <c:v>40771</c:v>
                </c:pt>
                <c:pt idx="200">
                  <c:v>40772</c:v>
                </c:pt>
                <c:pt idx="201">
                  <c:v>40773</c:v>
                </c:pt>
                <c:pt idx="202">
                  <c:v>40774</c:v>
                </c:pt>
                <c:pt idx="203">
                  <c:v>40775</c:v>
                </c:pt>
                <c:pt idx="204">
                  <c:v>40776</c:v>
                </c:pt>
                <c:pt idx="205">
                  <c:v>40777</c:v>
                </c:pt>
                <c:pt idx="206">
                  <c:v>40778</c:v>
                </c:pt>
                <c:pt idx="207">
                  <c:v>40779</c:v>
                </c:pt>
                <c:pt idx="208">
                  <c:v>40780</c:v>
                </c:pt>
                <c:pt idx="209">
                  <c:v>40781</c:v>
                </c:pt>
                <c:pt idx="210">
                  <c:v>40782</c:v>
                </c:pt>
                <c:pt idx="211">
                  <c:v>40783</c:v>
                </c:pt>
                <c:pt idx="212">
                  <c:v>40784</c:v>
                </c:pt>
                <c:pt idx="213">
                  <c:v>40785</c:v>
                </c:pt>
                <c:pt idx="214">
                  <c:v>40786</c:v>
                </c:pt>
                <c:pt idx="215">
                  <c:v>40787</c:v>
                </c:pt>
                <c:pt idx="216">
                  <c:v>40788</c:v>
                </c:pt>
                <c:pt idx="217">
                  <c:v>40789</c:v>
                </c:pt>
                <c:pt idx="218">
                  <c:v>40790</c:v>
                </c:pt>
                <c:pt idx="219">
                  <c:v>40791</c:v>
                </c:pt>
                <c:pt idx="220">
                  <c:v>40792</c:v>
                </c:pt>
                <c:pt idx="221">
                  <c:v>40793</c:v>
                </c:pt>
                <c:pt idx="222">
                  <c:v>40794</c:v>
                </c:pt>
                <c:pt idx="223">
                  <c:v>40795</c:v>
                </c:pt>
                <c:pt idx="224">
                  <c:v>40796</c:v>
                </c:pt>
                <c:pt idx="225">
                  <c:v>40797</c:v>
                </c:pt>
                <c:pt idx="226">
                  <c:v>40798</c:v>
                </c:pt>
                <c:pt idx="227">
                  <c:v>40799</c:v>
                </c:pt>
                <c:pt idx="228">
                  <c:v>40800</c:v>
                </c:pt>
                <c:pt idx="229">
                  <c:v>40801</c:v>
                </c:pt>
                <c:pt idx="230">
                  <c:v>40802</c:v>
                </c:pt>
                <c:pt idx="231">
                  <c:v>40803</c:v>
                </c:pt>
                <c:pt idx="232">
                  <c:v>40804</c:v>
                </c:pt>
                <c:pt idx="233">
                  <c:v>40805</c:v>
                </c:pt>
                <c:pt idx="234">
                  <c:v>40806</c:v>
                </c:pt>
                <c:pt idx="235">
                  <c:v>40807</c:v>
                </c:pt>
                <c:pt idx="236">
                  <c:v>40808</c:v>
                </c:pt>
                <c:pt idx="237">
                  <c:v>40809</c:v>
                </c:pt>
                <c:pt idx="238">
                  <c:v>40810</c:v>
                </c:pt>
                <c:pt idx="239">
                  <c:v>40811</c:v>
                </c:pt>
                <c:pt idx="240">
                  <c:v>40812</c:v>
                </c:pt>
                <c:pt idx="241">
                  <c:v>40813</c:v>
                </c:pt>
                <c:pt idx="242">
                  <c:v>40814</c:v>
                </c:pt>
                <c:pt idx="243">
                  <c:v>40815</c:v>
                </c:pt>
                <c:pt idx="244">
                  <c:v>40816</c:v>
                </c:pt>
                <c:pt idx="245">
                  <c:v>40817</c:v>
                </c:pt>
                <c:pt idx="246">
                  <c:v>40818</c:v>
                </c:pt>
                <c:pt idx="247">
                  <c:v>40819</c:v>
                </c:pt>
                <c:pt idx="248">
                  <c:v>40820</c:v>
                </c:pt>
                <c:pt idx="249">
                  <c:v>40821</c:v>
                </c:pt>
                <c:pt idx="250">
                  <c:v>40822</c:v>
                </c:pt>
                <c:pt idx="251">
                  <c:v>40823</c:v>
                </c:pt>
                <c:pt idx="252">
                  <c:v>40824</c:v>
                </c:pt>
                <c:pt idx="253">
                  <c:v>40825</c:v>
                </c:pt>
                <c:pt idx="254">
                  <c:v>40826</c:v>
                </c:pt>
                <c:pt idx="255">
                  <c:v>40827</c:v>
                </c:pt>
                <c:pt idx="256">
                  <c:v>40828</c:v>
                </c:pt>
                <c:pt idx="257">
                  <c:v>40829</c:v>
                </c:pt>
                <c:pt idx="258">
                  <c:v>40830</c:v>
                </c:pt>
                <c:pt idx="259">
                  <c:v>40831</c:v>
                </c:pt>
                <c:pt idx="260">
                  <c:v>40832</c:v>
                </c:pt>
                <c:pt idx="261">
                  <c:v>40833</c:v>
                </c:pt>
                <c:pt idx="262">
                  <c:v>40834</c:v>
                </c:pt>
                <c:pt idx="263">
                  <c:v>40835</c:v>
                </c:pt>
                <c:pt idx="264">
                  <c:v>40836</c:v>
                </c:pt>
                <c:pt idx="265">
                  <c:v>40837</c:v>
                </c:pt>
                <c:pt idx="266">
                  <c:v>40838</c:v>
                </c:pt>
                <c:pt idx="267">
                  <c:v>40839</c:v>
                </c:pt>
                <c:pt idx="268">
                  <c:v>40840</c:v>
                </c:pt>
                <c:pt idx="269">
                  <c:v>40841</c:v>
                </c:pt>
                <c:pt idx="270">
                  <c:v>40842</c:v>
                </c:pt>
                <c:pt idx="271">
                  <c:v>40843</c:v>
                </c:pt>
                <c:pt idx="272">
                  <c:v>40844</c:v>
                </c:pt>
                <c:pt idx="273">
                  <c:v>40845</c:v>
                </c:pt>
                <c:pt idx="274">
                  <c:v>40846</c:v>
                </c:pt>
                <c:pt idx="275">
                  <c:v>40847</c:v>
                </c:pt>
                <c:pt idx="276">
                  <c:v>40848</c:v>
                </c:pt>
                <c:pt idx="277">
                  <c:v>40849</c:v>
                </c:pt>
                <c:pt idx="278">
                  <c:v>40850</c:v>
                </c:pt>
                <c:pt idx="279">
                  <c:v>40851</c:v>
                </c:pt>
                <c:pt idx="280">
                  <c:v>40852</c:v>
                </c:pt>
                <c:pt idx="281">
                  <c:v>40853</c:v>
                </c:pt>
                <c:pt idx="282">
                  <c:v>40854</c:v>
                </c:pt>
                <c:pt idx="283">
                  <c:v>40855</c:v>
                </c:pt>
                <c:pt idx="284">
                  <c:v>40856</c:v>
                </c:pt>
                <c:pt idx="285">
                  <c:v>40857</c:v>
                </c:pt>
                <c:pt idx="286">
                  <c:v>40858</c:v>
                </c:pt>
                <c:pt idx="287">
                  <c:v>40859</c:v>
                </c:pt>
                <c:pt idx="288">
                  <c:v>40860</c:v>
                </c:pt>
                <c:pt idx="289">
                  <c:v>40861</c:v>
                </c:pt>
                <c:pt idx="290">
                  <c:v>40862</c:v>
                </c:pt>
                <c:pt idx="291">
                  <c:v>40863</c:v>
                </c:pt>
                <c:pt idx="292">
                  <c:v>40864</c:v>
                </c:pt>
                <c:pt idx="293">
                  <c:v>40865</c:v>
                </c:pt>
                <c:pt idx="294">
                  <c:v>40866</c:v>
                </c:pt>
                <c:pt idx="295">
                  <c:v>40867</c:v>
                </c:pt>
                <c:pt idx="296">
                  <c:v>40868</c:v>
                </c:pt>
                <c:pt idx="297">
                  <c:v>40869</c:v>
                </c:pt>
                <c:pt idx="298">
                  <c:v>40870</c:v>
                </c:pt>
                <c:pt idx="299">
                  <c:v>40871</c:v>
                </c:pt>
                <c:pt idx="300">
                  <c:v>40872</c:v>
                </c:pt>
                <c:pt idx="301">
                  <c:v>40873</c:v>
                </c:pt>
                <c:pt idx="302">
                  <c:v>40874</c:v>
                </c:pt>
                <c:pt idx="303">
                  <c:v>40875</c:v>
                </c:pt>
                <c:pt idx="304">
                  <c:v>40876</c:v>
                </c:pt>
                <c:pt idx="305">
                  <c:v>40877</c:v>
                </c:pt>
                <c:pt idx="306">
                  <c:v>40878</c:v>
                </c:pt>
                <c:pt idx="307">
                  <c:v>40879</c:v>
                </c:pt>
                <c:pt idx="308">
                  <c:v>40880</c:v>
                </c:pt>
                <c:pt idx="309">
                  <c:v>40881</c:v>
                </c:pt>
                <c:pt idx="310">
                  <c:v>40882</c:v>
                </c:pt>
                <c:pt idx="311">
                  <c:v>40883</c:v>
                </c:pt>
                <c:pt idx="312">
                  <c:v>40884</c:v>
                </c:pt>
                <c:pt idx="313">
                  <c:v>40885</c:v>
                </c:pt>
                <c:pt idx="314">
                  <c:v>40886</c:v>
                </c:pt>
                <c:pt idx="315">
                  <c:v>40887</c:v>
                </c:pt>
                <c:pt idx="316">
                  <c:v>40888</c:v>
                </c:pt>
                <c:pt idx="317">
                  <c:v>40889</c:v>
                </c:pt>
                <c:pt idx="318">
                  <c:v>40890</c:v>
                </c:pt>
                <c:pt idx="319">
                  <c:v>40891</c:v>
                </c:pt>
                <c:pt idx="320">
                  <c:v>40892</c:v>
                </c:pt>
                <c:pt idx="321">
                  <c:v>40893</c:v>
                </c:pt>
                <c:pt idx="322">
                  <c:v>40894</c:v>
                </c:pt>
                <c:pt idx="323">
                  <c:v>40895</c:v>
                </c:pt>
                <c:pt idx="324">
                  <c:v>40896</c:v>
                </c:pt>
                <c:pt idx="325">
                  <c:v>40897</c:v>
                </c:pt>
                <c:pt idx="326">
                  <c:v>40898</c:v>
                </c:pt>
                <c:pt idx="327">
                  <c:v>40899</c:v>
                </c:pt>
                <c:pt idx="328">
                  <c:v>40900</c:v>
                </c:pt>
                <c:pt idx="329">
                  <c:v>40901</c:v>
                </c:pt>
                <c:pt idx="330">
                  <c:v>40902</c:v>
                </c:pt>
                <c:pt idx="331">
                  <c:v>40903</c:v>
                </c:pt>
                <c:pt idx="332">
                  <c:v>40904</c:v>
                </c:pt>
                <c:pt idx="333">
                  <c:v>40905</c:v>
                </c:pt>
                <c:pt idx="334">
                  <c:v>40906</c:v>
                </c:pt>
                <c:pt idx="335">
                  <c:v>40907</c:v>
                </c:pt>
                <c:pt idx="336">
                  <c:v>40908</c:v>
                </c:pt>
                <c:pt idx="337">
                  <c:v>40909</c:v>
                </c:pt>
                <c:pt idx="338">
                  <c:v>40910</c:v>
                </c:pt>
                <c:pt idx="339">
                  <c:v>40911</c:v>
                </c:pt>
                <c:pt idx="340">
                  <c:v>40912</c:v>
                </c:pt>
                <c:pt idx="341">
                  <c:v>40913</c:v>
                </c:pt>
                <c:pt idx="342">
                  <c:v>40914</c:v>
                </c:pt>
                <c:pt idx="343">
                  <c:v>40915</c:v>
                </c:pt>
                <c:pt idx="344">
                  <c:v>40916</c:v>
                </c:pt>
                <c:pt idx="345">
                  <c:v>40917</c:v>
                </c:pt>
                <c:pt idx="346">
                  <c:v>40918</c:v>
                </c:pt>
                <c:pt idx="347">
                  <c:v>40919</c:v>
                </c:pt>
                <c:pt idx="348">
                  <c:v>40920</c:v>
                </c:pt>
                <c:pt idx="349">
                  <c:v>40921</c:v>
                </c:pt>
                <c:pt idx="350">
                  <c:v>40922</c:v>
                </c:pt>
                <c:pt idx="351">
                  <c:v>40923</c:v>
                </c:pt>
                <c:pt idx="352">
                  <c:v>40924</c:v>
                </c:pt>
                <c:pt idx="353">
                  <c:v>40925</c:v>
                </c:pt>
                <c:pt idx="354">
                  <c:v>40926</c:v>
                </c:pt>
                <c:pt idx="355">
                  <c:v>40927</c:v>
                </c:pt>
                <c:pt idx="356">
                  <c:v>40928</c:v>
                </c:pt>
                <c:pt idx="357">
                  <c:v>40929</c:v>
                </c:pt>
                <c:pt idx="358">
                  <c:v>40930</c:v>
                </c:pt>
                <c:pt idx="359">
                  <c:v>40931</c:v>
                </c:pt>
                <c:pt idx="360">
                  <c:v>40932</c:v>
                </c:pt>
                <c:pt idx="361">
                  <c:v>40933</c:v>
                </c:pt>
                <c:pt idx="362">
                  <c:v>40934</c:v>
                </c:pt>
                <c:pt idx="363">
                  <c:v>40935</c:v>
                </c:pt>
                <c:pt idx="364">
                  <c:v>40936</c:v>
                </c:pt>
              </c:numCache>
            </c:numRef>
          </c:cat>
          <c:val>
            <c:numRef>
              <c:f>'Rolling Trend'!$E$2:$E$366</c:f>
              <c:numCache>
                <c:formatCode>General</c:formatCode>
                <c:ptCount val="365"/>
                <c:pt idx="27">
                  <c:v>1.3928571428571428</c:v>
                </c:pt>
                <c:pt idx="28">
                  <c:v>1.3571428571428572</c:v>
                </c:pt>
                <c:pt idx="29">
                  <c:v>1.4285714285714286</c:v>
                </c:pt>
                <c:pt idx="30">
                  <c:v>1.4285714285714286</c:v>
                </c:pt>
                <c:pt idx="31">
                  <c:v>1.4642857142857142</c:v>
                </c:pt>
                <c:pt idx="32">
                  <c:v>1.3571428571428572</c:v>
                </c:pt>
                <c:pt idx="33">
                  <c:v>1.5357142857142858</c:v>
                </c:pt>
                <c:pt idx="34">
                  <c:v>1.5714285714285714</c:v>
                </c:pt>
                <c:pt idx="35">
                  <c:v>1.5714285714285714</c:v>
                </c:pt>
                <c:pt idx="36">
                  <c:v>1.6785714285714286</c:v>
                </c:pt>
                <c:pt idx="37">
                  <c:v>1.6785714285714286</c:v>
                </c:pt>
                <c:pt idx="38">
                  <c:v>1.7142857142857142</c:v>
                </c:pt>
                <c:pt idx="39">
                  <c:v>1.7857142857142858</c:v>
                </c:pt>
                <c:pt idx="40">
                  <c:v>1.7857142857142858</c:v>
                </c:pt>
                <c:pt idx="41">
                  <c:v>1.75</c:v>
                </c:pt>
                <c:pt idx="42">
                  <c:v>1.6785714285714286</c:v>
                </c:pt>
                <c:pt idx="43">
                  <c:v>1.8571428571428572</c:v>
                </c:pt>
                <c:pt idx="44">
                  <c:v>1.7857142857142858</c:v>
                </c:pt>
                <c:pt idx="45">
                  <c:v>1.75</c:v>
                </c:pt>
                <c:pt idx="46">
                  <c:v>1.7142857142857142</c:v>
                </c:pt>
                <c:pt idx="47">
                  <c:v>1.7142857142857142</c:v>
                </c:pt>
                <c:pt idx="48">
                  <c:v>1.6428571428571428</c:v>
                </c:pt>
                <c:pt idx="49">
                  <c:v>1.6428571428571428</c:v>
                </c:pt>
                <c:pt idx="50">
                  <c:v>1.6071428571428572</c:v>
                </c:pt>
                <c:pt idx="51">
                  <c:v>1.6428571428571428</c:v>
                </c:pt>
                <c:pt idx="52">
                  <c:v>1.6071428571428572</c:v>
                </c:pt>
                <c:pt idx="53">
                  <c:v>1.5714285714285714</c:v>
                </c:pt>
                <c:pt idx="54">
                  <c:v>1.5</c:v>
                </c:pt>
                <c:pt idx="55">
                  <c:v>1.3928571428571428</c:v>
                </c:pt>
                <c:pt idx="56">
                  <c:v>1.3928571428571428</c:v>
                </c:pt>
                <c:pt idx="57">
                  <c:v>1.3928571428571428</c:v>
                </c:pt>
                <c:pt idx="58">
                  <c:v>1.3928571428571428</c:v>
                </c:pt>
                <c:pt idx="59">
                  <c:v>1.3571428571428572</c:v>
                </c:pt>
                <c:pt idx="60">
                  <c:v>1.3214285714285714</c:v>
                </c:pt>
                <c:pt idx="61">
                  <c:v>1.0714285714285714</c:v>
                </c:pt>
                <c:pt idx="62">
                  <c:v>1.0357142857142858</c:v>
                </c:pt>
                <c:pt idx="63">
                  <c:v>0.9642857142857143</c:v>
                </c:pt>
                <c:pt idx="64">
                  <c:v>0.8571428571428571</c:v>
                </c:pt>
                <c:pt idx="65">
                  <c:v>1</c:v>
                </c:pt>
                <c:pt idx="66">
                  <c:v>0.9642857142857143</c:v>
                </c:pt>
                <c:pt idx="67">
                  <c:v>0.9285714285714286</c:v>
                </c:pt>
                <c:pt idx="68">
                  <c:v>0.8214285714285714</c:v>
                </c:pt>
                <c:pt idx="69">
                  <c:v>0.8571428571428571</c:v>
                </c:pt>
                <c:pt idx="70">
                  <c:v>0.8214285714285714</c:v>
                </c:pt>
                <c:pt idx="71">
                  <c:v>0.7142857142857143</c:v>
                </c:pt>
                <c:pt idx="72">
                  <c:v>0.7857142857142857</c:v>
                </c:pt>
                <c:pt idx="73">
                  <c:v>0.8214285714285714</c:v>
                </c:pt>
                <c:pt idx="74">
                  <c:v>0.8214285714285714</c:v>
                </c:pt>
                <c:pt idx="75">
                  <c:v>0.8214285714285714</c:v>
                </c:pt>
                <c:pt idx="76">
                  <c:v>0.8928571428571429</c:v>
                </c:pt>
                <c:pt idx="77">
                  <c:v>0.8928571428571429</c:v>
                </c:pt>
                <c:pt idx="78">
                  <c:v>0.9285714285714286</c:v>
                </c:pt>
                <c:pt idx="79">
                  <c:v>0.8928571428571429</c:v>
                </c:pt>
                <c:pt idx="80">
                  <c:v>0.9285714285714286</c:v>
                </c:pt>
                <c:pt idx="81">
                  <c:v>0.8928571428571429</c:v>
                </c:pt>
                <c:pt idx="82">
                  <c:v>0.8928571428571429</c:v>
                </c:pt>
                <c:pt idx="83">
                  <c:v>0.8571428571428571</c:v>
                </c:pt>
                <c:pt idx="84">
                  <c:v>0.8214285714285714</c:v>
                </c:pt>
                <c:pt idx="85">
                  <c:v>0.75</c:v>
                </c:pt>
                <c:pt idx="86">
                  <c:v>0.75</c:v>
                </c:pt>
                <c:pt idx="87">
                  <c:v>0.7142857142857143</c:v>
                </c:pt>
                <c:pt idx="88">
                  <c:v>0.7142857142857143</c:v>
                </c:pt>
                <c:pt idx="89">
                  <c:v>0.7142857142857143</c:v>
                </c:pt>
                <c:pt idx="90">
                  <c:v>0.7142857142857143</c:v>
                </c:pt>
                <c:pt idx="91">
                  <c:v>0.8214285714285714</c:v>
                </c:pt>
                <c:pt idx="92">
                  <c:v>0.8928571428571429</c:v>
                </c:pt>
                <c:pt idx="93">
                  <c:v>1</c:v>
                </c:pt>
                <c:pt idx="94">
                  <c:v>1.0357142857142858</c:v>
                </c:pt>
                <c:pt idx="95">
                  <c:v>1</c:v>
                </c:pt>
                <c:pt idx="96">
                  <c:v>1</c:v>
                </c:pt>
                <c:pt idx="97">
                  <c:v>1.2857142857142858</c:v>
                </c:pt>
                <c:pt idx="98">
                  <c:v>1.2857142857142858</c:v>
                </c:pt>
                <c:pt idx="99">
                  <c:v>1.2142857142857142</c:v>
                </c:pt>
                <c:pt idx="100">
                  <c:v>1.1428571428571428</c:v>
                </c:pt>
                <c:pt idx="101">
                  <c:v>1.1428571428571428</c:v>
                </c:pt>
                <c:pt idx="102">
                  <c:v>1.1785714285714286</c:v>
                </c:pt>
                <c:pt idx="103">
                  <c:v>1.1785714285714286</c:v>
                </c:pt>
                <c:pt idx="104">
                  <c:v>1.1428571428571428</c:v>
                </c:pt>
                <c:pt idx="105">
                  <c:v>1.2142857142857142</c:v>
                </c:pt>
                <c:pt idx="106">
                  <c:v>1.1785714285714286</c:v>
                </c:pt>
                <c:pt idx="107">
                  <c:v>1.2857142857142858</c:v>
                </c:pt>
                <c:pt idx="108">
                  <c:v>1.2142857142857142</c:v>
                </c:pt>
                <c:pt idx="109">
                  <c:v>1.2142857142857142</c:v>
                </c:pt>
                <c:pt idx="110">
                  <c:v>1.25</c:v>
                </c:pt>
                <c:pt idx="111">
                  <c:v>1.2857142857142858</c:v>
                </c:pt>
                <c:pt idx="112">
                  <c:v>1.2857142857142858</c:v>
                </c:pt>
                <c:pt idx="113">
                  <c:v>1.3928571428571428</c:v>
                </c:pt>
                <c:pt idx="114">
                  <c:v>1.3928571428571428</c:v>
                </c:pt>
                <c:pt idx="115">
                  <c:v>1.4285714285714286</c:v>
                </c:pt>
                <c:pt idx="116">
                  <c:v>1.5</c:v>
                </c:pt>
                <c:pt idx="117">
                  <c:v>1.5</c:v>
                </c:pt>
                <c:pt idx="118">
                  <c:v>1.7142857142857142</c:v>
                </c:pt>
                <c:pt idx="119">
                  <c:v>1.7142857142857142</c:v>
                </c:pt>
                <c:pt idx="120">
                  <c:v>1.6785714285714286</c:v>
                </c:pt>
                <c:pt idx="121">
                  <c:v>1.4285714285714286</c:v>
                </c:pt>
                <c:pt idx="122">
                  <c:v>1.4285714285714286</c:v>
                </c:pt>
                <c:pt idx="123">
                  <c:v>1.4285714285714286</c:v>
                </c:pt>
                <c:pt idx="124">
                  <c:v>1.5</c:v>
                </c:pt>
                <c:pt idx="125">
                  <c:v>1.1785714285714286</c:v>
                </c:pt>
                <c:pt idx="126">
                  <c:v>1.1785714285714286</c:v>
                </c:pt>
                <c:pt idx="127">
                  <c:v>1.1785714285714286</c:v>
                </c:pt>
                <c:pt idx="128">
                  <c:v>1.1785714285714286</c:v>
                </c:pt>
                <c:pt idx="129">
                  <c:v>1.1428571428571428</c:v>
                </c:pt>
                <c:pt idx="130">
                  <c:v>1.1071428571428572</c:v>
                </c:pt>
                <c:pt idx="131">
                  <c:v>1.25</c:v>
                </c:pt>
                <c:pt idx="132">
                  <c:v>1.2142857142857142</c:v>
                </c:pt>
                <c:pt idx="133">
                  <c:v>1.1071428571428572</c:v>
                </c:pt>
                <c:pt idx="134">
                  <c:v>1.1785714285714286</c:v>
                </c:pt>
                <c:pt idx="135">
                  <c:v>1.0714285714285714</c:v>
                </c:pt>
                <c:pt idx="136">
                  <c:v>1.1071428571428572</c:v>
                </c:pt>
                <c:pt idx="137">
                  <c:v>1.1428571428571428</c:v>
                </c:pt>
                <c:pt idx="138">
                  <c:v>1.1071428571428572</c:v>
                </c:pt>
                <c:pt idx="139">
                  <c:v>1.1428571428571428</c:v>
                </c:pt>
                <c:pt idx="140">
                  <c:v>1.2142857142857142</c:v>
                </c:pt>
                <c:pt idx="141">
                  <c:v>1.1785714285714286</c:v>
                </c:pt>
                <c:pt idx="142">
                  <c:v>1.2857142857142858</c:v>
                </c:pt>
                <c:pt idx="143">
                  <c:v>1.2857142857142858</c:v>
                </c:pt>
                <c:pt idx="144">
                  <c:v>1.25</c:v>
                </c:pt>
                <c:pt idx="145">
                  <c:v>1.25</c:v>
                </c:pt>
                <c:pt idx="146">
                  <c:v>1.1071428571428572</c:v>
                </c:pt>
                <c:pt idx="147">
                  <c:v>1.0357142857142858</c:v>
                </c:pt>
                <c:pt idx="148">
                  <c:v>1</c:v>
                </c:pt>
                <c:pt idx="149">
                  <c:v>1.0357142857142858</c:v>
                </c:pt>
                <c:pt idx="150">
                  <c:v>1</c:v>
                </c:pt>
                <c:pt idx="151">
                  <c:v>1</c:v>
                </c:pt>
                <c:pt idx="152">
                  <c:v>0.9285714285714286</c:v>
                </c:pt>
                <c:pt idx="153">
                  <c:v>0.9285714285714286</c:v>
                </c:pt>
                <c:pt idx="154">
                  <c:v>1.0357142857142858</c:v>
                </c:pt>
                <c:pt idx="155">
                  <c:v>1.0357142857142858</c:v>
                </c:pt>
                <c:pt idx="156">
                  <c:v>1.0714285714285714</c:v>
                </c:pt>
                <c:pt idx="157">
                  <c:v>1.0714285714285714</c:v>
                </c:pt>
                <c:pt idx="158">
                  <c:v>1.0714285714285714</c:v>
                </c:pt>
                <c:pt idx="159">
                  <c:v>0.9285714285714286</c:v>
                </c:pt>
                <c:pt idx="160">
                  <c:v>0.9642857142857143</c:v>
                </c:pt>
                <c:pt idx="161">
                  <c:v>1.0357142857142858</c:v>
                </c:pt>
                <c:pt idx="162">
                  <c:v>0.9285714285714286</c:v>
                </c:pt>
                <c:pt idx="163">
                  <c:v>0.9285714285714286</c:v>
                </c:pt>
                <c:pt idx="164">
                  <c:v>1.0357142857142858</c:v>
                </c:pt>
                <c:pt idx="165">
                  <c:v>1</c:v>
                </c:pt>
                <c:pt idx="166">
                  <c:v>1.0357142857142858</c:v>
                </c:pt>
                <c:pt idx="167">
                  <c:v>1</c:v>
                </c:pt>
                <c:pt idx="168">
                  <c:v>0.9285714285714286</c:v>
                </c:pt>
                <c:pt idx="169">
                  <c:v>0.8928571428571429</c:v>
                </c:pt>
                <c:pt idx="170">
                  <c:v>0.8214285714285714</c:v>
                </c:pt>
                <c:pt idx="171">
                  <c:v>0.8214285714285714</c:v>
                </c:pt>
                <c:pt idx="172">
                  <c:v>0.8214285714285714</c:v>
                </c:pt>
                <c:pt idx="173">
                  <c:v>0.8928571428571429</c:v>
                </c:pt>
                <c:pt idx="174">
                  <c:v>0.8214285714285714</c:v>
                </c:pt>
                <c:pt idx="175">
                  <c:v>0.8571428571428571</c:v>
                </c:pt>
                <c:pt idx="176">
                  <c:v>0.8571428571428571</c:v>
                </c:pt>
                <c:pt idx="177">
                  <c:v>0.8214285714285714</c:v>
                </c:pt>
                <c:pt idx="178">
                  <c:v>0.8214285714285714</c:v>
                </c:pt>
                <c:pt idx="179">
                  <c:v>0.8571428571428571</c:v>
                </c:pt>
                <c:pt idx="180">
                  <c:v>0.8571428571428571</c:v>
                </c:pt>
                <c:pt idx="181">
                  <c:v>0.9285714285714286</c:v>
                </c:pt>
                <c:pt idx="182">
                  <c:v>0.8214285714285714</c:v>
                </c:pt>
                <c:pt idx="183">
                  <c:v>0.8571428571428571</c:v>
                </c:pt>
                <c:pt idx="184">
                  <c:v>0.8214285714285714</c:v>
                </c:pt>
                <c:pt idx="185">
                  <c:v>0.8214285714285714</c:v>
                </c:pt>
                <c:pt idx="186">
                  <c:v>0.8214285714285714</c:v>
                </c:pt>
                <c:pt idx="187">
                  <c:v>0.8571428571428571</c:v>
                </c:pt>
                <c:pt idx="188">
                  <c:v>0.8214285714285714</c:v>
                </c:pt>
                <c:pt idx="189">
                  <c:v>0.75</c:v>
                </c:pt>
                <c:pt idx="190">
                  <c:v>0.75</c:v>
                </c:pt>
                <c:pt idx="191">
                  <c:v>0.75</c:v>
                </c:pt>
                <c:pt idx="192">
                  <c:v>0.6071428571428571</c:v>
                </c:pt>
                <c:pt idx="193">
                  <c:v>0.6071428571428571</c:v>
                </c:pt>
                <c:pt idx="194">
                  <c:v>0.5714285714285714</c:v>
                </c:pt>
                <c:pt idx="195">
                  <c:v>0.5357142857142857</c:v>
                </c:pt>
                <c:pt idx="196">
                  <c:v>0.5</c:v>
                </c:pt>
                <c:pt idx="197">
                  <c:v>0.4642857142857143</c:v>
                </c:pt>
                <c:pt idx="198">
                  <c:v>0.42857142857142855</c:v>
                </c:pt>
                <c:pt idx="199">
                  <c:v>0.39285714285714285</c:v>
                </c:pt>
                <c:pt idx="200">
                  <c:v>0.35714285714285715</c:v>
                </c:pt>
                <c:pt idx="201">
                  <c:v>0.2857142857142857</c:v>
                </c:pt>
                <c:pt idx="202">
                  <c:v>0.2857142857142857</c:v>
                </c:pt>
                <c:pt idx="203">
                  <c:v>0.21428571428571427</c:v>
                </c:pt>
                <c:pt idx="204">
                  <c:v>0.21428571428571427</c:v>
                </c:pt>
                <c:pt idx="205">
                  <c:v>0.21428571428571427</c:v>
                </c:pt>
                <c:pt idx="206">
                  <c:v>0.21428571428571427</c:v>
                </c:pt>
                <c:pt idx="207">
                  <c:v>0.17857142857142858</c:v>
                </c:pt>
                <c:pt idx="208">
                  <c:v>0.17857142857142858</c:v>
                </c:pt>
                <c:pt idx="209">
                  <c:v>0.10714285714285714</c:v>
                </c:pt>
                <c:pt idx="210">
                  <c:v>0.10714285714285714</c:v>
                </c:pt>
                <c:pt idx="211">
                  <c:v>7.1428571428571425E-2</c:v>
                </c:pt>
                <c:pt idx="212">
                  <c:v>7.1428571428571425E-2</c:v>
                </c:pt>
                <c:pt idx="213">
                  <c:v>7.1428571428571425E-2</c:v>
                </c:pt>
                <c:pt idx="214">
                  <c:v>3.5714285714285712E-2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0.10714285714285714</c:v>
                </c:pt>
                <c:pt idx="278">
                  <c:v>0.14285714285714285</c:v>
                </c:pt>
                <c:pt idx="279">
                  <c:v>0.2857142857142857</c:v>
                </c:pt>
                <c:pt idx="280">
                  <c:v>0.35714285714285715</c:v>
                </c:pt>
                <c:pt idx="281">
                  <c:v>0.39285714285714285</c:v>
                </c:pt>
                <c:pt idx="282">
                  <c:v>0.39285714285714285</c:v>
                </c:pt>
                <c:pt idx="283">
                  <c:v>0.4642857142857143</c:v>
                </c:pt>
                <c:pt idx="284">
                  <c:v>0.5</c:v>
                </c:pt>
                <c:pt idx="285">
                  <c:v>0.5</c:v>
                </c:pt>
                <c:pt idx="286">
                  <c:v>0.5357142857142857</c:v>
                </c:pt>
                <c:pt idx="287">
                  <c:v>0.5357142857142857</c:v>
                </c:pt>
                <c:pt idx="288">
                  <c:v>0.75</c:v>
                </c:pt>
                <c:pt idx="289">
                  <c:v>0.7857142857142857</c:v>
                </c:pt>
                <c:pt idx="290">
                  <c:v>0.7857142857142857</c:v>
                </c:pt>
                <c:pt idx="291">
                  <c:v>0.7857142857142857</c:v>
                </c:pt>
                <c:pt idx="292">
                  <c:v>0.7857142857142857</c:v>
                </c:pt>
                <c:pt idx="293">
                  <c:v>0.8214285714285714</c:v>
                </c:pt>
                <c:pt idx="294">
                  <c:v>0.9285714285714286</c:v>
                </c:pt>
                <c:pt idx="295">
                  <c:v>1.0714285714285714</c:v>
                </c:pt>
                <c:pt idx="296">
                  <c:v>1.0714285714285714</c:v>
                </c:pt>
                <c:pt idx="297">
                  <c:v>1.0714285714285714</c:v>
                </c:pt>
                <c:pt idx="298">
                  <c:v>1.1071428571428572</c:v>
                </c:pt>
                <c:pt idx="299">
                  <c:v>1.1071428571428572</c:v>
                </c:pt>
                <c:pt idx="300">
                  <c:v>1.1785714285714286</c:v>
                </c:pt>
                <c:pt idx="301">
                  <c:v>1.1785714285714286</c:v>
                </c:pt>
                <c:pt idx="302">
                  <c:v>1.1785714285714286</c:v>
                </c:pt>
                <c:pt idx="303">
                  <c:v>1.2142857142857142</c:v>
                </c:pt>
                <c:pt idx="304">
                  <c:v>1.2142857142857142</c:v>
                </c:pt>
                <c:pt idx="305">
                  <c:v>1.3928571428571428</c:v>
                </c:pt>
                <c:pt idx="306">
                  <c:v>1.4642857142857142</c:v>
                </c:pt>
                <c:pt idx="307">
                  <c:v>1.3571428571428572</c:v>
                </c:pt>
                <c:pt idx="308">
                  <c:v>1.3214285714285714</c:v>
                </c:pt>
                <c:pt idx="309">
                  <c:v>1.4642857142857142</c:v>
                </c:pt>
                <c:pt idx="310">
                  <c:v>1.5714285714285714</c:v>
                </c:pt>
                <c:pt idx="311">
                  <c:v>1.5714285714285714</c:v>
                </c:pt>
                <c:pt idx="312">
                  <c:v>1.5357142857142858</c:v>
                </c:pt>
                <c:pt idx="313">
                  <c:v>1.5714285714285714</c:v>
                </c:pt>
                <c:pt idx="314">
                  <c:v>1.5357142857142858</c:v>
                </c:pt>
                <c:pt idx="315">
                  <c:v>1.5357142857142858</c:v>
                </c:pt>
                <c:pt idx="316">
                  <c:v>1.3928571428571428</c:v>
                </c:pt>
                <c:pt idx="317">
                  <c:v>1.3571428571428572</c:v>
                </c:pt>
                <c:pt idx="318">
                  <c:v>1.3928571428571428</c:v>
                </c:pt>
                <c:pt idx="319">
                  <c:v>1.3928571428571428</c:v>
                </c:pt>
                <c:pt idx="320">
                  <c:v>1.4285714285714286</c:v>
                </c:pt>
                <c:pt idx="321">
                  <c:v>1.4642857142857142</c:v>
                </c:pt>
                <c:pt idx="322">
                  <c:v>1.4285714285714286</c:v>
                </c:pt>
                <c:pt idx="323">
                  <c:v>1.5</c:v>
                </c:pt>
                <c:pt idx="324">
                  <c:v>1.5714285714285714</c:v>
                </c:pt>
                <c:pt idx="325">
                  <c:v>1.6785714285714286</c:v>
                </c:pt>
                <c:pt idx="326">
                  <c:v>1.8214285714285714</c:v>
                </c:pt>
                <c:pt idx="327">
                  <c:v>1.9285714285714286</c:v>
                </c:pt>
                <c:pt idx="328">
                  <c:v>2.0357142857142856</c:v>
                </c:pt>
                <c:pt idx="329">
                  <c:v>2.0714285714285716</c:v>
                </c:pt>
                <c:pt idx="330">
                  <c:v>2.0714285714285716</c:v>
                </c:pt>
                <c:pt idx="331">
                  <c:v>2.0714285714285716</c:v>
                </c:pt>
                <c:pt idx="332">
                  <c:v>2.1071428571428572</c:v>
                </c:pt>
                <c:pt idx="333">
                  <c:v>1.8571428571428572</c:v>
                </c:pt>
                <c:pt idx="334">
                  <c:v>1.75</c:v>
                </c:pt>
                <c:pt idx="335">
                  <c:v>1.7142857142857142</c:v>
                </c:pt>
                <c:pt idx="336">
                  <c:v>1.75</c:v>
                </c:pt>
                <c:pt idx="337">
                  <c:v>1.6428571428571428</c:v>
                </c:pt>
                <c:pt idx="338">
                  <c:v>1.5357142857142858</c:v>
                </c:pt>
                <c:pt idx="339">
                  <c:v>1.4642857142857142</c:v>
                </c:pt>
                <c:pt idx="340">
                  <c:v>1.5</c:v>
                </c:pt>
                <c:pt idx="341">
                  <c:v>1.5</c:v>
                </c:pt>
                <c:pt idx="342">
                  <c:v>1.5</c:v>
                </c:pt>
                <c:pt idx="343">
                  <c:v>1.5357142857142858</c:v>
                </c:pt>
                <c:pt idx="344">
                  <c:v>1.4642857142857142</c:v>
                </c:pt>
                <c:pt idx="345">
                  <c:v>1.4642857142857142</c:v>
                </c:pt>
                <c:pt idx="346">
                  <c:v>1.4285714285714286</c:v>
                </c:pt>
                <c:pt idx="347">
                  <c:v>1.5</c:v>
                </c:pt>
                <c:pt idx="348">
                  <c:v>1.4642857142857142</c:v>
                </c:pt>
                <c:pt idx="349">
                  <c:v>1.4285714285714286</c:v>
                </c:pt>
                <c:pt idx="350">
                  <c:v>1.3571428571428572</c:v>
                </c:pt>
                <c:pt idx="351">
                  <c:v>1.1785714285714286</c:v>
                </c:pt>
                <c:pt idx="352">
                  <c:v>1.1428571428571428</c:v>
                </c:pt>
                <c:pt idx="353">
                  <c:v>1.0714285714285714</c:v>
                </c:pt>
                <c:pt idx="354">
                  <c:v>0.8928571428571429</c:v>
                </c:pt>
                <c:pt idx="355">
                  <c:v>0.7857142857142857</c:v>
                </c:pt>
                <c:pt idx="356">
                  <c:v>0.75</c:v>
                </c:pt>
                <c:pt idx="357">
                  <c:v>0.75</c:v>
                </c:pt>
                <c:pt idx="358">
                  <c:v>0.7857142857142857</c:v>
                </c:pt>
                <c:pt idx="359">
                  <c:v>0.75</c:v>
                </c:pt>
                <c:pt idx="360">
                  <c:v>0.7142857142857143</c:v>
                </c:pt>
                <c:pt idx="361">
                  <c:v>0.6785714285714286</c:v>
                </c:pt>
                <c:pt idx="362">
                  <c:v>0.6785714285714286</c:v>
                </c:pt>
                <c:pt idx="363">
                  <c:v>0.6785714285714286</c:v>
                </c:pt>
                <c:pt idx="364">
                  <c:v>0.6785714285714286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6-A442-B2A2-82CF0860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385279"/>
        <c:axId val="704387679"/>
      </c:lineChart>
      <c:dateAx>
        <c:axId val="70438527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87679"/>
        <c:crosses val="autoZero"/>
        <c:auto val="1"/>
        <c:lblOffset val="100"/>
        <c:baseTimeUnit val="days"/>
      </c:dateAx>
      <c:valAx>
        <c:axId val="70438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8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381001</xdr:colOff>
      <xdr:row>0</xdr:row>
      <xdr:rowOff>190500</xdr:rowOff>
    </xdr:from>
    <xdr:to>
      <xdr:col>11</xdr:col>
      <xdr:colOff>804335</xdr:colOff>
      <xdr:row>14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C73DC5-B2BB-54F9-7259-ED477963D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154214</xdr:colOff>
      <xdr:row>14</xdr:row>
      <xdr:rowOff>120650</xdr:rowOff>
    </xdr:from>
    <xdr:to>
      <xdr:col>5</xdr:col>
      <xdr:colOff>362857</xdr:colOff>
      <xdr:row>34</xdr:row>
      <xdr:rowOff>99785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AA54E5-C707-37AE-2979-6351595A0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2</xdr:row>
      <xdr:rowOff>76200</xdr:rowOff>
    </xdr:from>
    <xdr:to>
      <xdr:col>18</xdr:col>
      <xdr:colOff>330200</xdr:colOff>
      <xdr:row>31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58388-CAC3-7B62-C674-1A173B069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F50C50-71DE-0C48-B41C-FC5604513ECA}" name="Table2" displayName="Table2" ref="A1:O366" totalsRowShown="0" headerRowDxfId="8">
  <autoFilter ref="A1:O366" xr:uid="{B0F50C50-71DE-0C48-B41C-FC5604513ECA}"/>
  <tableColumns count="15">
    <tableColumn id="1" xr3:uid="{25ADD1D4-51AB-5F44-8022-17141522CEB8}" name="d"/>
    <tableColumn id="2" xr3:uid="{93743AF1-8707-114F-A293-52DB9FA4B37F}" name="date" dataDxfId="7"/>
    <tableColumn id="3" xr3:uid="{99C3921F-CE2A-7A47-AEF1-D55E16B2FE47}" name="wm_yr_wk"/>
    <tableColumn id="4" xr3:uid="{711BB73B-1B30-1E4B-9458-D341E5C33518}" name="weekday" dataDxfId="6"/>
    <tableColumn id="5" xr3:uid="{7AB290D5-2291-7F4D-938C-EBB63CDD3D23}" name="wday"/>
    <tableColumn id="6" xr3:uid="{3B05A17D-F551-3A4F-AF32-1010EF0AE5B6}" name="month"/>
    <tableColumn id="7" xr3:uid="{DD99C55C-4AB3-204E-9A37-D81C73107186}" name="year"/>
    <tableColumn id="8" xr3:uid="{B8B67994-C51E-C94A-ADD1-8177F75CFC66}" name="event_name_1" dataDxfId="5"/>
    <tableColumn id="9" xr3:uid="{FC41465B-42E1-F240-9B29-62AB4677CE1D}" name="event_type_1"/>
    <tableColumn id="10" xr3:uid="{F17C027E-77EF-0B44-BC95-7C0F68D67C6A}" name="event_name_2"/>
    <tableColumn id="11" xr3:uid="{6C51100B-EAE2-2544-8E1F-0F1D301FA40F}" name="event_type_2"/>
    <tableColumn id="12" xr3:uid="{6C13351D-3FF5-484B-B6C2-5C5C237D5D8A}" name="snap_CA"/>
    <tableColumn id="13" xr3:uid="{828C4FC9-6DB6-4042-8DA5-40081B76A5F9}" name="SKU1_Sales"/>
    <tableColumn id="14" xr3:uid="{9B8246A5-9414-E041-A079-0E9AC98530CC}" name="SKU2_Sales"/>
    <tableColumn id="15" xr3:uid="{A86C6461-F3B9-D340-B4A4-1D0540F8A6C7}" name="SKU3_Sal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89137-6D36-2348-8640-504721728222}" name="Table1" displayName="Table1" ref="A1:D16" totalsRowShown="0">
  <autoFilter ref="A1:D16" xr:uid="{00A89137-6D36-2348-8640-504721728222}"/>
  <tableColumns count="4">
    <tableColumn id="1" xr3:uid="{CF25ADE4-E825-3C44-BF86-BE4BF1407A9D}" name="Labels"/>
    <tableColumn id="2" xr3:uid="{A7BB7798-F7BC-4444-95F3-EF9BDB495A40}" name="Food_1_001"/>
    <tableColumn id="3" xr3:uid="{BA37BBF8-5F07-C74D-B985-B8595834532D}" name="Food_1_002"/>
    <tableColumn id="4" xr3:uid="{7CD7E388-3EFF-804A-BD68-26994CE1DA9D}" name="Food_1_00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5D3D54-B2DC-4E42-BCD1-5E681B367377}" name="Table4" displayName="Table4" ref="A1:H13" totalsRowShown="0">
  <autoFilter ref="A1:H13" xr:uid="{7F5D3D54-B2DC-4E42-BCD1-5E681B367377}"/>
  <tableColumns count="8">
    <tableColumn id="1" xr3:uid="{6C501D4D-DDAA-AC43-876D-3CC916978AB3}" name="Month"/>
    <tableColumn id="2" xr3:uid="{1292E3A0-9A48-824B-8749-8073C5945337}" name="Month_Name"/>
    <tableColumn id="3" xr3:uid="{E47FE4A3-4C93-5840-AB08-B14210BDE0F6}" name="SKU1_Avg">
      <calculatedColumnFormula>AVERAGEIF(Table2[month],MonthlyPattern!A2,Table2[SKU1_Sales])</calculatedColumnFormula>
    </tableColumn>
    <tableColumn id="4" xr3:uid="{988DF7D1-EA10-2B41-9EA3-8F7B3257363B}" name="SKU2_Avg">
      <calculatedColumnFormula>AVERAGEIF(Table2[month],MonthlyPattern!A2,Table2[SKU2_Sales])</calculatedColumnFormula>
    </tableColumn>
    <tableColumn id="5" xr3:uid="{E9365784-1488-CA47-857D-2E6A19D2D783}" name="SKU3_Avg">
      <calculatedColumnFormula>AVERAGEIF(Table2[month],MonthlyPattern!A2,Table2[SKU3_Sales])</calculatedColumnFormula>
    </tableColumn>
    <tableColumn id="6" xr3:uid="{6F5DF850-30AD-3C43-A63D-F0E418687237}" name="SKU_1_seasonality_Index" dataDxfId="4">
      <calculatedColumnFormula>C2/AVERAGE(RawData!$M$2:$M$356)</calculatedColumnFormula>
    </tableColumn>
    <tableColumn id="7" xr3:uid="{7A74C0F3-AD4F-9F41-8FFC-0D3B8E1A90A6}" name="SKU_2_seasonality_index" dataDxfId="3">
      <calculatedColumnFormula>D2/AVERAGE(RawData!$N$2:$N$356)</calculatedColumnFormula>
    </tableColumn>
    <tableColumn id="8" xr3:uid="{DBC91C20-5273-C34B-A298-19DD8CB04AC3}" name="SKU_3_seasonality_index" dataDxfId="2">
      <calculatedColumnFormula>E2/AVERAGE(RawData!$O$2:$O$356)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FE50-2EFB-7747-A6A7-719D50462D4D}">
  <dimension ref="A1:O366"/>
  <sheetViews>
    <sheetView tabSelected="1" zoomScale="88" workbookViewId="0">
      <selection sqref="A1:O366"/>
    </sheetView>
  </sheetViews>
  <sheetFormatPr baseColWidth="10" defaultRowHeight="16" x14ac:dyDescent="0.2"/>
  <cols>
    <col min="2" max="2" width="16.6640625" customWidth="1"/>
    <col min="3" max="3" width="12.1640625" customWidth="1"/>
    <col min="4" max="4" width="11.1640625" customWidth="1"/>
    <col min="8" max="8" width="16.33203125" customWidth="1"/>
    <col min="9" max="9" width="15.33203125" customWidth="1"/>
    <col min="10" max="10" width="16.33203125" customWidth="1"/>
    <col min="11" max="11" width="15.33203125" customWidth="1"/>
    <col min="12" max="12" width="11" customWidth="1"/>
    <col min="13" max="13" width="15.1640625" customWidth="1"/>
    <col min="14" max="14" width="13.83203125" customWidth="1"/>
    <col min="15" max="15" width="14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s="3">
        <v>40572</v>
      </c>
      <c r="C2">
        <v>11101</v>
      </c>
      <c r="D2" s="4" t="s">
        <v>16</v>
      </c>
      <c r="E2">
        <v>1</v>
      </c>
      <c r="F2">
        <v>1</v>
      </c>
      <c r="G2">
        <v>2011</v>
      </c>
      <c r="H2" s="4" t="s">
        <v>17</v>
      </c>
      <c r="I2" t="s">
        <v>17</v>
      </c>
      <c r="J2" t="s">
        <v>17</v>
      </c>
      <c r="K2" t="s">
        <v>17</v>
      </c>
      <c r="L2">
        <v>0</v>
      </c>
      <c r="M2">
        <v>3</v>
      </c>
      <c r="N2">
        <v>0</v>
      </c>
      <c r="O2">
        <v>0</v>
      </c>
    </row>
    <row r="3" spans="1:15" x14ac:dyDescent="0.2">
      <c r="A3" t="s">
        <v>18</v>
      </c>
      <c r="B3" s="3">
        <v>40573</v>
      </c>
      <c r="C3">
        <v>11101</v>
      </c>
      <c r="D3" s="4" t="s">
        <v>19</v>
      </c>
      <c r="E3">
        <v>2</v>
      </c>
      <c r="F3">
        <v>1</v>
      </c>
      <c r="G3">
        <v>2011</v>
      </c>
      <c r="H3" s="4" t="s">
        <v>17</v>
      </c>
      <c r="I3" t="s">
        <v>17</v>
      </c>
      <c r="J3" t="s">
        <v>17</v>
      </c>
      <c r="K3" t="s">
        <v>17</v>
      </c>
      <c r="L3">
        <v>0</v>
      </c>
      <c r="M3">
        <v>0</v>
      </c>
      <c r="N3">
        <v>1</v>
      </c>
      <c r="O3">
        <v>0</v>
      </c>
    </row>
    <row r="4" spans="1:15" x14ac:dyDescent="0.2">
      <c r="A4" t="s">
        <v>20</v>
      </c>
      <c r="B4" s="3">
        <v>40574</v>
      </c>
      <c r="C4">
        <v>11101</v>
      </c>
      <c r="D4" s="4" t="s">
        <v>21</v>
      </c>
      <c r="E4">
        <v>3</v>
      </c>
      <c r="F4">
        <v>1</v>
      </c>
      <c r="G4">
        <v>2011</v>
      </c>
      <c r="H4" s="4" t="s">
        <v>17</v>
      </c>
      <c r="I4" t="s">
        <v>17</v>
      </c>
      <c r="J4" t="s">
        <v>17</v>
      </c>
      <c r="K4" t="s">
        <v>17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22</v>
      </c>
      <c r="B5" s="3">
        <v>40575</v>
      </c>
      <c r="C5">
        <v>11101</v>
      </c>
      <c r="D5" s="4" t="s">
        <v>23</v>
      </c>
      <c r="E5">
        <v>4</v>
      </c>
      <c r="F5">
        <v>2</v>
      </c>
      <c r="G5">
        <v>2011</v>
      </c>
      <c r="H5" s="4" t="s">
        <v>17</v>
      </c>
      <c r="I5" t="s">
        <v>17</v>
      </c>
      <c r="J5" t="s">
        <v>17</v>
      </c>
      <c r="K5" t="s">
        <v>17</v>
      </c>
      <c r="L5">
        <v>1</v>
      </c>
      <c r="M5">
        <v>1</v>
      </c>
      <c r="N5">
        <v>1</v>
      </c>
      <c r="O5">
        <v>0</v>
      </c>
    </row>
    <row r="6" spans="1:15" x14ac:dyDescent="0.2">
      <c r="A6" t="s">
        <v>24</v>
      </c>
      <c r="B6" s="3">
        <v>40576</v>
      </c>
      <c r="C6">
        <v>11101</v>
      </c>
      <c r="D6" s="4" t="s">
        <v>25</v>
      </c>
      <c r="E6">
        <v>5</v>
      </c>
      <c r="F6">
        <v>2</v>
      </c>
      <c r="G6">
        <v>2011</v>
      </c>
      <c r="H6" s="4" t="s">
        <v>17</v>
      </c>
      <c r="I6" t="s">
        <v>17</v>
      </c>
      <c r="J6" t="s">
        <v>17</v>
      </c>
      <c r="K6" t="s">
        <v>17</v>
      </c>
      <c r="L6">
        <v>1</v>
      </c>
      <c r="M6">
        <v>4</v>
      </c>
      <c r="N6">
        <v>1</v>
      </c>
      <c r="O6">
        <v>1</v>
      </c>
    </row>
    <row r="7" spans="1:15" x14ac:dyDescent="0.2">
      <c r="A7" t="s">
        <v>26</v>
      </c>
      <c r="B7" s="3">
        <v>40577</v>
      </c>
      <c r="C7">
        <v>11101</v>
      </c>
      <c r="D7" s="4" t="s">
        <v>27</v>
      </c>
      <c r="E7">
        <v>6</v>
      </c>
      <c r="F7">
        <v>2</v>
      </c>
      <c r="G7">
        <v>2011</v>
      </c>
      <c r="H7" s="4" t="s">
        <v>17</v>
      </c>
      <c r="I7" t="s">
        <v>17</v>
      </c>
      <c r="J7" t="s">
        <v>17</v>
      </c>
      <c r="K7" t="s">
        <v>17</v>
      </c>
      <c r="L7">
        <v>1</v>
      </c>
      <c r="M7">
        <v>2</v>
      </c>
      <c r="N7">
        <v>1</v>
      </c>
      <c r="O7">
        <v>3</v>
      </c>
    </row>
    <row r="8" spans="1:15" x14ac:dyDescent="0.2">
      <c r="A8" t="s">
        <v>28</v>
      </c>
      <c r="B8" s="3">
        <v>40578</v>
      </c>
      <c r="C8">
        <v>11101</v>
      </c>
      <c r="D8" s="4" t="s">
        <v>29</v>
      </c>
      <c r="E8">
        <v>7</v>
      </c>
      <c r="F8">
        <v>2</v>
      </c>
      <c r="G8">
        <v>2011</v>
      </c>
      <c r="H8" s="4" t="s">
        <v>17</v>
      </c>
      <c r="I8" t="s">
        <v>17</v>
      </c>
      <c r="J8" t="s">
        <v>17</v>
      </c>
      <c r="K8" t="s">
        <v>17</v>
      </c>
      <c r="L8">
        <v>1</v>
      </c>
      <c r="M8">
        <v>0</v>
      </c>
      <c r="N8">
        <v>0</v>
      </c>
      <c r="O8">
        <v>1</v>
      </c>
    </row>
    <row r="9" spans="1:15" x14ac:dyDescent="0.2">
      <c r="A9" t="s">
        <v>30</v>
      </c>
      <c r="B9" s="3">
        <v>40579</v>
      </c>
      <c r="C9">
        <v>11102</v>
      </c>
      <c r="D9" s="4" t="s">
        <v>16</v>
      </c>
      <c r="E9">
        <v>1</v>
      </c>
      <c r="F9">
        <v>2</v>
      </c>
      <c r="G9">
        <v>2011</v>
      </c>
      <c r="H9" s="4" t="s">
        <v>17</v>
      </c>
      <c r="I9" t="s">
        <v>17</v>
      </c>
      <c r="J9" t="s">
        <v>17</v>
      </c>
      <c r="K9" t="s">
        <v>17</v>
      </c>
      <c r="L9">
        <v>1</v>
      </c>
      <c r="M9">
        <v>2</v>
      </c>
      <c r="N9">
        <v>0</v>
      </c>
      <c r="O9">
        <v>1</v>
      </c>
    </row>
    <row r="10" spans="1:15" x14ac:dyDescent="0.2">
      <c r="A10" t="s">
        <v>31</v>
      </c>
      <c r="B10" s="3">
        <v>40580</v>
      </c>
      <c r="C10">
        <v>11102</v>
      </c>
      <c r="D10" s="4" t="s">
        <v>19</v>
      </c>
      <c r="E10">
        <v>2</v>
      </c>
      <c r="F10">
        <v>2</v>
      </c>
      <c r="G10">
        <v>2011</v>
      </c>
      <c r="H10" s="4" t="s">
        <v>32</v>
      </c>
      <c r="I10" t="s">
        <v>33</v>
      </c>
      <c r="J10" t="s">
        <v>17</v>
      </c>
      <c r="K10" t="s">
        <v>17</v>
      </c>
      <c r="L10">
        <v>1</v>
      </c>
      <c r="M10">
        <v>0</v>
      </c>
      <c r="N10">
        <v>0</v>
      </c>
      <c r="O10">
        <v>1</v>
      </c>
    </row>
    <row r="11" spans="1:15" x14ac:dyDescent="0.2">
      <c r="A11" t="s">
        <v>34</v>
      </c>
      <c r="B11" s="3">
        <v>40581</v>
      </c>
      <c r="C11">
        <v>11102</v>
      </c>
      <c r="D11" s="4" t="s">
        <v>21</v>
      </c>
      <c r="E11">
        <v>3</v>
      </c>
      <c r="F11">
        <v>2</v>
      </c>
      <c r="G11">
        <v>2011</v>
      </c>
      <c r="H11" s="4" t="s">
        <v>17</v>
      </c>
      <c r="I11" t="s">
        <v>17</v>
      </c>
      <c r="J11" t="s">
        <v>17</v>
      </c>
      <c r="K11" t="s">
        <v>17</v>
      </c>
      <c r="L11">
        <v>1</v>
      </c>
      <c r="M11">
        <v>0</v>
      </c>
      <c r="N11">
        <v>0</v>
      </c>
      <c r="O11">
        <v>0</v>
      </c>
    </row>
    <row r="12" spans="1:15" x14ac:dyDescent="0.2">
      <c r="A12" t="s">
        <v>35</v>
      </c>
      <c r="B12" s="3">
        <v>40582</v>
      </c>
      <c r="C12">
        <v>11102</v>
      </c>
      <c r="D12" s="4" t="s">
        <v>23</v>
      </c>
      <c r="E12">
        <v>4</v>
      </c>
      <c r="F12">
        <v>2</v>
      </c>
      <c r="G12">
        <v>2011</v>
      </c>
      <c r="H12" s="4" t="s">
        <v>17</v>
      </c>
      <c r="I12" t="s">
        <v>17</v>
      </c>
      <c r="J12" t="s">
        <v>17</v>
      </c>
      <c r="K12" t="s">
        <v>17</v>
      </c>
      <c r="L12">
        <v>1</v>
      </c>
      <c r="M12">
        <v>0</v>
      </c>
      <c r="N12">
        <v>1</v>
      </c>
      <c r="O12">
        <v>1</v>
      </c>
    </row>
    <row r="13" spans="1:15" x14ac:dyDescent="0.2">
      <c r="A13" t="s">
        <v>36</v>
      </c>
      <c r="B13" s="3">
        <v>40583</v>
      </c>
      <c r="C13">
        <v>11102</v>
      </c>
      <c r="D13" s="4" t="s">
        <v>25</v>
      </c>
      <c r="E13">
        <v>5</v>
      </c>
      <c r="F13">
        <v>2</v>
      </c>
      <c r="G13">
        <v>2011</v>
      </c>
      <c r="H13" s="4" t="s">
        <v>17</v>
      </c>
      <c r="I13" t="s">
        <v>17</v>
      </c>
      <c r="J13" t="s">
        <v>17</v>
      </c>
      <c r="K13" t="s">
        <v>17</v>
      </c>
      <c r="L13">
        <v>1</v>
      </c>
      <c r="M13">
        <v>0</v>
      </c>
      <c r="N13">
        <v>1</v>
      </c>
      <c r="O13">
        <v>0</v>
      </c>
    </row>
    <row r="14" spans="1:15" x14ac:dyDescent="0.2">
      <c r="A14" t="s">
        <v>37</v>
      </c>
      <c r="B14" s="3">
        <v>40584</v>
      </c>
      <c r="C14">
        <v>11102</v>
      </c>
      <c r="D14" s="4" t="s">
        <v>27</v>
      </c>
      <c r="E14">
        <v>6</v>
      </c>
      <c r="F14">
        <v>2</v>
      </c>
      <c r="G14">
        <v>2011</v>
      </c>
      <c r="H14" s="4" t="s">
        <v>17</v>
      </c>
      <c r="I14" t="s">
        <v>17</v>
      </c>
      <c r="J14" t="s">
        <v>17</v>
      </c>
      <c r="K14" t="s">
        <v>17</v>
      </c>
      <c r="L14">
        <v>1</v>
      </c>
      <c r="M14">
        <v>3</v>
      </c>
      <c r="N14">
        <v>0</v>
      </c>
      <c r="O14">
        <v>0</v>
      </c>
    </row>
    <row r="15" spans="1:15" x14ac:dyDescent="0.2">
      <c r="A15" t="s">
        <v>38</v>
      </c>
      <c r="B15" s="3">
        <v>40585</v>
      </c>
      <c r="C15">
        <v>11102</v>
      </c>
      <c r="D15" s="4" t="s">
        <v>29</v>
      </c>
      <c r="E15">
        <v>7</v>
      </c>
      <c r="F15">
        <v>2</v>
      </c>
      <c r="G15">
        <v>2011</v>
      </c>
      <c r="H15" s="4" t="s">
        <v>17</v>
      </c>
      <c r="I15" t="s">
        <v>17</v>
      </c>
      <c r="J15" t="s">
        <v>17</v>
      </c>
      <c r="K15" t="s">
        <v>17</v>
      </c>
      <c r="L15">
        <v>0</v>
      </c>
      <c r="M15">
        <v>1</v>
      </c>
      <c r="N15">
        <v>2</v>
      </c>
      <c r="O15">
        <v>2</v>
      </c>
    </row>
    <row r="16" spans="1:15" x14ac:dyDescent="0.2">
      <c r="A16" t="s">
        <v>39</v>
      </c>
      <c r="B16" s="3">
        <v>40586</v>
      </c>
      <c r="C16">
        <v>11103</v>
      </c>
      <c r="D16" s="4" t="s">
        <v>16</v>
      </c>
      <c r="E16">
        <v>1</v>
      </c>
      <c r="F16">
        <v>2</v>
      </c>
      <c r="G16">
        <v>2011</v>
      </c>
      <c r="H16" s="4" t="s">
        <v>17</v>
      </c>
      <c r="I16" t="s">
        <v>17</v>
      </c>
      <c r="J16" t="s">
        <v>17</v>
      </c>
      <c r="K16" t="s">
        <v>17</v>
      </c>
      <c r="L16">
        <v>0</v>
      </c>
      <c r="M16">
        <v>3</v>
      </c>
      <c r="N16">
        <v>0</v>
      </c>
      <c r="O16">
        <v>1</v>
      </c>
    </row>
    <row r="17" spans="1:15" x14ac:dyDescent="0.2">
      <c r="A17" t="s">
        <v>40</v>
      </c>
      <c r="B17" s="3">
        <v>40587</v>
      </c>
      <c r="C17">
        <v>11103</v>
      </c>
      <c r="D17" s="4" t="s">
        <v>19</v>
      </c>
      <c r="E17">
        <v>2</v>
      </c>
      <c r="F17">
        <v>2</v>
      </c>
      <c r="G17">
        <v>2011</v>
      </c>
      <c r="H17" s="4" t="s">
        <v>17</v>
      </c>
      <c r="I17" t="s">
        <v>17</v>
      </c>
      <c r="J17" t="s">
        <v>17</v>
      </c>
      <c r="K17" t="s">
        <v>17</v>
      </c>
      <c r="L17">
        <v>0</v>
      </c>
      <c r="M17">
        <v>0</v>
      </c>
      <c r="N17">
        <v>1</v>
      </c>
      <c r="O17">
        <v>1</v>
      </c>
    </row>
    <row r="18" spans="1:15" x14ac:dyDescent="0.2">
      <c r="A18" t="s">
        <v>41</v>
      </c>
      <c r="B18" s="3">
        <v>40588</v>
      </c>
      <c r="C18">
        <v>11103</v>
      </c>
      <c r="D18" s="4" t="s">
        <v>21</v>
      </c>
      <c r="E18">
        <v>3</v>
      </c>
      <c r="F18">
        <v>2</v>
      </c>
      <c r="G18">
        <v>2011</v>
      </c>
      <c r="H18" s="4" t="s">
        <v>42</v>
      </c>
      <c r="I18" t="s">
        <v>43</v>
      </c>
      <c r="J18" t="s">
        <v>17</v>
      </c>
      <c r="K18" t="s">
        <v>17</v>
      </c>
      <c r="L18">
        <v>0</v>
      </c>
      <c r="M18">
        <v>2</v>
      </c>
      <c r="N18">
        <v>0</v>
      </c>
      <c r="O18">
        <v>1</v>
      </c>
    </row>
    <row r="19" spans="1:15" x14ac:dyDescent="0.2">
      <c r="A19" t="s">
        <v>44</v>
      </c>
      <c r="B19" s="3">
        <v>40589</v>
      </c>
      <c r="C19">
        <v>11103</v>
      </c>
      <c r="D19" s="4" t="s">
        <v>23</v>
      </c>
      <c r="E19">
        <v>4</v>
      </c>
      <c r="F19">
        <v>2</v>
      </c>
      <c r="G19">
        <v>2011</v>
      </c>
      <c r="H19" s="4" t="s">
        <v>17</v>
      </c>
      <c r="I19" t="s">
        <v>17</v>
      </c>
      <c r="J19" t="s">
        <v>17</v>
      </c>
      <c r="K19" t="s">
        <v>17</v>
      </c>
      <c r="L19">
        <v>0</v>
      </c>
      <c r="M19">
        <v>1</v>
      </c>
      <c r="N19">
        <v>0</v>
      </c>
      <c r="O19">
        <v>0</v>
      </c>
    </row>
    <row r="20" spans="1:15" x14ac:dyDescent="0.2">
      <c r="A20" t="s">
        <v>45</v>
      </c>
      <c r="B20" s="3">
        <v>40590</v>
      </c>
      <c r="C20">
        <v>11103</v>
      </c>
      <c r="D20" s="4" t="s">
        <v>25</v>
      </c>
      <c r="E20">
        <v>5</v>
      </c>
      <c r="F20">
        <v>2</v>
      </c>
      <c r="G20">
        <v>2011</v>
      </c>
      <c r="H20" s="4" t="s">
        <v>17</v>
      </c>
      <c r="I20" t="s">
        <v>17</v>
      </c>
      <c r="J20" t="s">
        <v>17</v>
      </c>
      <c r="K20" t="s">
        <v>17</v>
      </c>
      <c r="L20">
        <v>0</v>
      </c>
      <c r="M20">
        <v>2</v>
      </c>
      <c r="N20">
        <v>0</v>
      </c>
      <c r="O20">
        <v>0</v>
      </c>
    </row>
    <row r="21" spans="1:15" x14ac:dyDescent="0.2">
      <c r="A21" t="s">
        <v>46</v>
      </c>
      <c r="B21" s="3">
        <v>40591</v>
      </c>
      <c r="C21">
        <v>11103</v>
      </c>
      <c r="D21" s="4" t="s">
        <v>27</v>
      </c>
      <c r="E21">
        <v>6</v>
      </c>
      <c r="F21">
        <v>2</v>
      </c>
      <c r="G21">
        <v>2011</v>
      </c>
      <c r="H21" s="4" t="s">
        <v>17</v>
      </c>
      <c r="I21" t="s">
        <v>17</v>
      </c>
      <c r="J21" t="s">
        <v>17</v>
      </c>
      <c r="K21" t="s">
        <v>17</v>
      </c>
      <c r="L21">
        <v>0</v>
      </c>
      <c r="M21">
        <v>0</v>
      </c>
      <c r="N21">
        <v>0</v>
      </c>
      <c r="O21">
        <v>1</v>
      </c>
    </row>
    <row r="22" spans="1:15" x14ac:dyDescent="0.2">
      <c r="A22" t="s">
        <v>47</v>
      </c>
      <c r="B22" s="3">
        <v>40592</v>
      </c>
      <c r="C22">
        <v>11103</v>
      </c>
      <c r="D22" s="4" t="s">
        <v>29</v>
      </c>
      <c r="E22">
        <v>7</v>
      </c>
      <c r="F22">
        <v>2</v>
      </c>
      <c r="G22">
        <v>2011</v>
      </c>
      <c r="H22" s="4" t="s">
        <v>17</v>
      </c>
      <c r="I22" t="s">
        <v>17</v>
      </c>
      <c r="J22" t="s">
        <v>17</v>
      </c>
      <c r="K22" t="s">
        <v>17</v>
      </c>
      <c r="L22">
        <v>0</v>
      </c>
      <c r="M22">
        <v>2</v>
      </c>
      <c r="N22">
        <v>0</v>
      </c>
      <c r="O22">
        <v>0</v>
      </c>
    </row>
    <row r="23" spans="1:15" x14ac:dyDescent="0.2">
      <c r="A23" t="s">
        <v>48</v>
      </c>
      <c r="B23" s="3">
        <v>40593</v>
      </c>
      <c r="C23">
        <v>11104</v>
      </c>
      <c r="D23" s="4" t="s">
        <v>16</v>
      </c>
      <c r="E23">
        <v>1</v>
      </c>
      <c r="F23">
        <v>2</v>
      </c>
      <c r="G23">
        <v>2011</v>
      </c>
      <c r="H23" s="4" t="s">
        <v>17</v>
      </c>
      <c r="I23" t="s">
        <v>17</v>
      </c>
      <c r="J23" t="s">
        <v>17</v>
      </c>
      <c r="K23" t="s">
        <v>17</v>
      </c>
      <c r="L23">
        <v>0</v>
      </c>
      <c r="M23">
        <v>1</v>
      </c>
      <c r="N23">
        <v>0</v>
      </c>
      <c r="O23">
        <v>2</v>
      </c>
    </row>
    <row r="24" spans="1:15" x14ac:dyDescent="0.2">
      <c r="A24" t="s">
        <v>49</v>
      </c>
      <c r="B24" s="3">
        <v>40594</v>
      </c>
      <c r="C24">
        <v>11104</v>
      </c>
      <c r="D24" s="4" t="s">
        <v>19</v>
      </c>
      <c r="E24">
        <v>2</v>
      </c>
      <c r="F24">
        <v>2</v>
      </c>
      <c r="G24">
        <v>2011</v>
      </c>
      <c r="H24" s="4" t="s">
        <v>17</v>
      </c>
      <c r="I24" t="s">
        <v>17</v>
      </c>
      <c r="J24" t="s">
        <v>17</v>
      </c>
      <c r="K24" t="s">
        <v>17</v>
      </c>
      <c r="L24">
        <v>0</v>
      </c>
      <c r="M24">
        <v>2</v>
      </c>
      <c r="N24">
        <v>0</v>
      </c>
      <c r="O24">
        <v>4</v>
      </c>
    </row>
    <row r="25" spans="1:15" x14ac:dyDescent="0.2">
      <c r="A25" t="s">
        <v>50</v>
      </c>
      <c r="B25" s="3">
        <v>40595</v>
      </c>
      <c r="C25">
        <v>11104</v>
      </c>
      <c r="D25" s="4" t="s">
        <v>21</v>
      </c>
      <c r="E25">
        <v>3</v>
      </c>
      <c r="F25">
        <v>2</v>
      </c>
      <c r="G25">
        <v>2011</v>
      </c>
      <c r="H25" s="4" t="s">
        <v>51</v>
      </c>
      <c r="I25" t="s">
        <v>52</v>
      </c>
      <c r="J25" t="s">
        <v>17</v>
      </c>
      <c r="K25" t="s">
        <v>17</v>
      </c>
      <c r="L25">
        <v>0</v>
      </c>
      <c r="M25">
        <v>0</v>
      </c>
      <c r="N25">
        <v>0</v>
      </c>
      <c r="O25">
        <v>1</v>
      </c>
    </row>
    <row r="26" spans="1:15" x14ac:dyDescent="0.2">
      <c r="A26" t="s">
        <v>53</v>
      </c>
      <c r="B26" s="3">
        <v>40596</v>
      </c>
      <c r="C26">
        <v>11104</v>
      </c>
      <c r="D26" s="4" t="s">
        <v>23</v>
      </c>
      <c r="E26">
        <v>4</v>
      </c>
      <c r="F26">
        <v>2</v>
      </c>
      <c r="G26">
        <v>2011</v>
      </c>
      <c r="H26" s="4" t="s">
        <v>17</v>
      </c>
      <c r="I26" t="s">
        <v>17</v>
      </c>
      <c r="K26" t="s">
        <v>17</v>
      </c>
      <c r="L26">
        <v>0</v>
      </c>
      <c r="M26">
        <v>2</v>
      </c>
      <c r="N26">
        <v>0</v>
      </c>
      <c r="O26">
        <v>1</v>
      </c>
    </row>
    <row r="27" spans="1:15" x14ac:dyDescent="0.2">
      <c r="A27" t="s">
        <v>54</v>
      </c>
      <c r="B27" s="3">
        <v>40597</v>
      </c>
      <c r="C27">
        <v>11104</v>
      </c>
      <c r="D27" s="4" t="s">
        <v>25</v>
      </c>
      <c r="E27">
        <v>5</v>
      </c>
      <c r="F27">
        <v>2</v>
      </c>
      <c r="G27">
        <v>2011</v>
      </c>
      <c r="H27" s="4" t="s">
        <v>17</v>
      </c>
      <c r="I27" t="s">
        <v>17</v>
      </c>
      <c r="J27" t="s">
        <v>17</v>
      </c>
      <c r="K27" t="s">
        <v>17</v>
      </c>
      <c r="L27">
        <v>0</v>
      </c>
      <c r="M27">
        <v>2</v>
      </c>
      <c r="N27">
        <v>0</v>
      </c>
      <c r="O27">
        <v>2</v>
      </c>
    </row>
    <row r="28" spans="1:15" x14ac:dyDescent="0.2">
      <c r="A28" t="s">
        <v>55</v>
      </c>
      <c r="B28" s="3">
        <v>40598</v>
      </c>
      <c r="C28">
        <v>11104</v>
      </c>
      <c r="D28" s="4" t="s">
        <v>27</v>
      </c>
      <c r="E28">
        <v>6</v>
      </c>
      <c r="F28">
        <v>2</v>
      </c>
      <c r="G28">
        <v>2011</v>
      </c>
      <c r="H28" s="4" t="s">
        <v>17</v>
      </c>
      <c r="I28" t="s">
        <v>17</v>
      </c>
      <c r="J28" t="s">
        <v>17</v>
      </c>
      <c r="K28" t="s">
        <v>17</v>
      </c>
      <c r="L28">
        <v>0</v>
      </c>
      <c r="M28">
        <v>2</v>
      </c>
      <c r="N28">
        <v>0</v>
      </c>
      <c r="O28">
        <v>1</v>
      </c>
    </row>
    <row r="29" spans="1:15" x14ac:dyDescent="0.2">
      <c r="A29" t="s">
        <v>56</v>
      </c>
      <c r="B29" s="3">
        <v>40599</v>
      </c>
      <c r="C29">
        <v>11104</v>
      </c>
      <c r="D29" s="4" t="s">
        <v>29</v>
      </c>
      <c r="E29">
        <v>7</v>
      </c>
      <c r="F29">
        <v>2</v>
      </c>
      <c r="G29">
        <v>2011</v>
      </c>
      <c r="H29" s="4"/>
      <c r="I29" t="s">
        <v>17</v>
      </c>
      <c r="J29" t="s">
        <v>17</v>
      </c>
      <c r="K29" t="s">
        <v>17</v>
      </c>
      <c r="L29">
        <v>0</v>
      </c>
      <c r="M29">
        <v>4</v>
      </c>
      <c r="N29">
        <v>0</v>
      </c>
      <c r="O29">
        <v>0</v>
      </c>
    </row>
    <row r="30" spans="1:15" x14ac:dyDescent="0.2">
      <c r="A30" t="s">
        <v>57</v>
      </c>
      <c r="B30" s="3">
        <v>40600</v>
      </c>
      <c r="C30">
        <v>11105</v>
      </c>
      <c r="D30" s="4" t="s">
        <v>16</v>
      </c>
      <c r="E30">
        <v>1</v>
      </c>
      <c r="F30">
        <v>2</v>
      </c>
      <c r="G30">
        <v>2011</v>
      </c>
      <c r="H30" s="4" t="s">
        <v>17</v>
      </c>
      <c r="I30" t="s">
        <v>17</v>
      </c>
      <c r="J30" t="s">
        <v>17</v>
      </c>
      <c r="K30" t="s">
        <v>17</v>
      </c>
      <c r="L30">
        <v>0</v>
      </c>
      <c r="M30">
        <v>2</v>
      </c>
      <c r="N30">
        <v>1</v>
      </c>
      <c r="O30">
        <v>1</v>
      </c>
    </row>
    <row r="31" spans="1:15" x14ac:dyDescent="0.2">
      <c r="A31" t="s">
        <v>58</v>
      </c>
      <c r="B31" s="3">
        <v>40601</v>
      </c>
      <c r="C31">
        <v>11105</v>
      </c>
      <c r="D31" s="4" t="s">
        <v>19</v>
      </c>
      <c r="E31">
        <v>2</v>
      </c>
      <c r="F31">
        <v>2</v>
      </c>
      <c r="G31">
        <v>2011</v>
      </c>
      <c r="H31" s="4" t="s">
        <v>17</v>
      </c>
      <c r="I31" t="s">
        <v>17</v>
      </c>
      <c r="J31" t="s">
        <v>17</v>
      </c>
      <c r="K31" t="s">
        <v>17</v>
      </c>
      <c r="L31">
        <v>0</v>
      </c>
      <c r="M31">
        <v>2</v>
      </c>
      <c r="N31">
        <v>0</v>
      </c>
      <c r="O31">
        <v>0</v>
      </c>
    </row>
    <row r="32" spans="1:15" x14ac:dyDescent="0.2">
      <c r="A32" t="s">
        <v>59</v>
      </c>
      <c r="B32" s="3">
        <v>40602</v>
      </c>
      <c r="C32">
        <v>11105</v>
      </c>
      <c r="D32" s="4" t="s">
        <v>21</v>
      </c>
      <c r="E32">
        <v>3</v>
      </c>
      <c r="F32">
        <v>2</v>
      </c>
      <c r="G32">
        <v>2011</v>
      </c>
      <c r="H32" s="4" t="s">
        <v>17</v>
      </c>
      <c r="I32" t="s">
        <v>17</v>
      </c>
      <c r="J32" t="s">
        <v>17</v>
      </c>
      <c r="K32" t="s">
        <v>17</v>
      </c>
      <c r="L32">
        <v>0</v>
      </c>
      <c r="M32">
        <v>0</v>
      </c>
      <c r="N32">
        <v>0</v>
      </c>
      <c r="O32">
        <v>1</v>
      </c>
    </row>
    <row r="33" spans="1:15" x14ac:dyDescent="0.2">
      <c r="A33" t="s">
        <v>60</v>
      </c>
      <c r="B33" s="3">
        <v>40603</v>
      </c>
      <c r="C33">
        <v>11105</v>
      </c>
      <c r="D33" s="4" t="s">
        <v>23</v>
      </c>
      <c r="E33">
        <v>4</v>
      </c>
      <c r="F33">
        <v>3</v>
      </c>
      <c r="G33">
        <v>2011</v>
      </c>
      <c r="H33" s="4" t="s">
        <v>17</v>
      </c>
      <c r="I33" t="s">
        <v>17</v>
      </c>
      <c r="J33" t="s">
        <v>17</v>
      </c>
      <c r="K33" t="s">
        <v>17</v>
      </c>
      <c r="L33">
        <v>1</v>
      </c>
      <c r="M33">
        <v>2</v>
      </c>
      <c r="N33">
        <v>1</v>
      </c>
      <c r="O33">
        <v>0</v>
      </c>
    </row>
    <row r="34" spans="1:15" x14ac:dyDescent="0.2">
      <c r="A34" t="s">
        <v>61</v>
      </c>
      <c r="B34" s="3">
        <v>40604</v>
      </c>
      <c r="C34">
        <v>11105</v>
      </c>
      <c r="D34" s="4" t="s">
        <v>25</v>
      </c>
      <c r="E34">
        <v>5</v>
      </c>
      <c r="F34">
        <v>3</v>
      </c>
      <c r="G34">
        <v>2011</v>
      </c>
      <c r="H34" s="4" t="s">
        <v>17</v>
      </c>
      <c r="I34" t="s">
        <v>17</v>
      </c>
      <c r="J34" t="s">
        <v>17</v>
      </c>
      <c r="K34" t="s">
        <v>17</v>
      </c>
      <c r="L34">
        <v>1</v>
      </c>
      <c r="M34">
        <v>1</v>
      </c>
      <c r="N34">
        <v>1</v>
      </c>
      <c r="O34">
        <v>1</v>
      </c>
    </row>
    <row r="35" spans="1:15" x14ac:dyDescent="0.2">
      <c r="A35" t="s">
        <v>62</v>
      </c>
      <c r="B35" s="3">
        <v>40605</v>
      </c>
      <c r="C35">
        <v>11105</v>
      </c>
      <c r="D35" s="4" t="s">
        <v>27</v>
      </c>
      <c r="E35">
        <v>6</v>
      </c>
      <c r="F35">
        <v>3</v>
      </c>
      <c r="G35">
        <v>2011</v>
      </c>
      <c r="H35" s="4" t="s">
        <v>17</v>
      </c>
      <c r="I35" t="s">
        <v>17</v>
      </c>
      <c r="J35" t="s">
        <v>17</v>
      </c>
      <c r="K35" t="s">
        <v>17</v>
      </c>
      <c r="L35">
        <v>1</v>
      </c>
      <c r="M35">
        <v>7</v>
      </c>
      <c r="N35">
        <v>0</v>
      </c>
      <c r="O35">
        <v>1</v>
      </c>
    </row>
    <row r="36" spans="1:15" x14ac:dyDescent="0.2">
      <c r="A36" t="s">
        <v>63</v>
      </c>
      <c r="B36" s="3">
        <v>40606</v>
      </c>
      <c r="C36">
        <v>11105</v>
      </c>
      <c r="D36" s="4" t="s">
        <v>29</v>
      </c>
      <c r="E36">
        <v>7</v>
      </c>
      <c r="F36">
        <v>3</v>
      </c>
      <c r="G36">
        <v>2011</v>
      </c>
      <c r="H36" s="4" t="s">
        <v>17</v>
      </c>
      <c r="I36" t="s">
        <v>17</v>
      </c>
      <c r="J36" t="s">
        <v>17</v>
      </c>
      <c r="K36" t="s">
        <v>17</v>
      </c>
      <c r="L36">
        <v>1</v>
      </c>
      <c r="M36">
        <v>1</v>
      </c>
      <c r="N36">
        <v>1</v>
      </c>
      <c r="O36">
        <v>2</v>
      </c>
    </row>
    <row r="37" spans="1:15" x14ac:dyDescent="0.2">
      <c r="A37" t="s">
        <v>64</v>
      </c>
      <c r="B37" s="3">
        <v>40607</v>
      </c>
      <c r="C37">
        <v>11106</v>
      </c>
      <c r="D37" s="4" t="s">
        <v>16</v>
      </c>
      <c r="E37">
        <v>1</v>
      </c>
      <c r="F37">
        <v>3</v>
      </c>
      <c r="G37">
        <v>2011</v>
      </c>
      <c r="H37" s="4" t="s">
        <v>17</v>
      </c>
      <c r="I37" t="s">
        <v>17</v>
      </c>
      <c r="J37" t="s">
        <v>17</v>
      </c>
      <c r="K37" t="s">
        <v>17</v>
      </c>
      <c r="L37">
        <v>1</v>
      </c>
      <c r="M37">
        <v>2</v>
      </c>
      <c r="N37">
        <v>1</v>
      </c>
      <c r="O37">
        <v>3</v>
      </c>
    </row>
    <row r="38" spans="1:15" x14ac:dyDescent="0.2">
      <c r="A38" t="s">
        <v>65</v>
      </c>
      <c r="B38" s="3">
        <v>40608</v>
      </c>
      <c r="C38">
        <v>11106</v>
      </c>
      <c r="D38" s="4" t="s">
        <v>19</v>
      </c>
      <c r="E38">
        <v>2</v>
      </c>
      <c r="F38">
        <v>3</v>
      </c>
      <c r="G38">
        <v>2011</v>
      </c>
      <c r="H38" s="4" t="s">
        <v>17</v>
      </c>
      <c r="I38" t="s">
        <v>17</v>
      </c>
      <c r="J38" t="s">
        <v>17</v>
      </c>
      <c r="K38" t="s">
        <v>17</v>
      </c>
      <c r="L38">
        <v>1</v>
      </c>
      <c r="M38">
        <v>3</v>
      </c>
      <c r="N38">
        <v>3</v>
      </c>
      <c r="O38">
        <v>1</v>
      </c>
    </row>
    <row r="39" spans="1:15" x14ac:dyDescent="0.2">
      <c r="A39" t="s">
        <v>66</v>
      </c>
      <c r="B39" s="3">
        <v>40609</v>
      </c>
      <c r="C39">
        <v>11106</v>
      </c>
      <c r="D39" s="4" t="s">
        <v>21</v>
      </c>
      <c r="E39">
        <v>3</v>
      </c>
      <c r="F39">
        <v>3</v>
      </c>
      <c r="G39">
        <v>2011</v>
      </c>
      <c r="H39" s="4" t="s">
        <v>17</v>
      </c>
      <c r="I39" t="s">
        <v>17</v>
      </c>
      <c r="J39" t="s">
        <v>17</v>
      </c>
      <c r="K39" t="s">
        <v>17</v>
      </c>
      <c r="L39">
        <v>1</v>
      </c>
      <c r="M39">
        <v>0</v>
      </c>
      <c r="N39">
        <v>0</v>
      </c>
      <c r="O39">
        <v>0</v>
      </c>
    </row>
    <row r="40" spans="1:15" x14ac:dyDescent="0.2">
      <c r="A40" t="s">
        <v>67</v>
      </c>
      <c r="B40" s="3">
        <v>40610</v>
      </c>
      <c r="C40">
        <v>11106</v>
      </c>
      <c r="D40" s="4" t="s">
        <v>23</v>
      </c>
      <c r="E40">
        <v>4</v>
      </c>
      <c r="F40">
        <v>3</v>
      </c>
      <c r="G40">
        <v>2011</v>
      </c>
      <c r="H40" s="4" t="s">
        <v>17</v>
      </c>
      <c r="I40" t="s">
        <v>17</v>
      </c>
      <c r="J40" t="s">
        <v>17</v>
      </c>
      <c r="K40" t="s">
        <v>17</v>
      </c>
      <c r="L40">
        <v>1</v>
      </c>
      <c r="M40">
        <v>1</v>
      </c>
      <c r="N40">
        <v>0</v>
      </c>
      <c r="O40">
        <v>0</v>
      </c>
    </row>
    <row r="41" spans="1:15" x14ac:dyDescent="0.2">
      <c r="A41" t="s">
        <v>68</v>
      </c>
      <c r="B41" s="3">
        <v>40611</v>
      </c>
      <c r="C41">
        <v>11106</v>
      </c>
      <c r="D41" s="4" t="s">
        <v>25</v>
      </c>
      <c r="E41">
        <v>5</v>
      </c>
      <c r="F41">
        <v>3</v>
      </c>
      <c r="G41">
        <v>2011</v>
      </c>
      <c r="H41" s="4" t="s">
        <v>69</v>
      </c>
      <c r="I41" t="s">
        <v>70</v>
      </c>
      <c r="J41" t="s">
        <v>17</v>
      </c>
      <c r="K41" t="s">
        <v>17</v>
      </c>
      <c r="L41">
        <v>1</v>
      </c>
      <c r="M41">
        <v>2</v>
      </c>
      <c r="N41">
        <v>0</v>
      </c>
      <c r="O41">
        <v>0</v>
      </c>
    </row>
    <row r="42" spans="1:15" x14ac:dyDescent="0.2">
      <c r="A42" t="s">
        <v>71</v>
      </c>
      <c r="B42" s="3">
        <v>40612</v>
      </c>
      <c r="C42">
        <v>11106</v>
      </c>
      <c r="D42" s="4" t="s">
        <v>27</v>
      </c>
      <c r="E42">
        <v>6</v>
      </c>
      <c r="F42">
        <v>3</v>
      </c>
      <c r="G42">
        <v>2011</v>
      </c>
      <c r="H42" s="4" t="s">
        <v>17</v>
      </c>
      <c r="I42" t="s">
        <v>17</v>
      </c>
      <c r="J42" t="s">
        <v>17</v>
      </c>
      <c r="K42" t="s">
        <v>17</v>
      </c>
      <c r="L42">
        <v>1</v>
      </c>
      <c r="M42">
        <v>3</v>
      </c>
      <c r="N42">
        <v>0</v>
      </c>
      <c r="O42">
        <v>2</v>
      </c>
    </row>
    <row r="43" spans="1:15" x14ac:dyDescent="0.2">
      <c r="A43" t="s">
        <v>72</v>
      </c>
      <c r="B43" s="3">
        <v>40613</v>
      </c>
      <c r="C43">
        <v>11106</v>
      </c>
      <c r="D43" s="4" t="s">
        <v>29</v>
      </c>
      <c r="E43">
        <v>7</v>
      </c>
      <c r="F43">
        <v>3</v>
      </c>
      <c r="G43">
        <v>2011</v>
      </c>
      <c r="H43" s="4" t="s">
        <v>17</v>
      </c>
      <c r="I43" t="s">
        <v>17</v>
      </c>
      <c r="J43" t="s">
        <v>17</v>
      </c>
      <c r="K43" t="s">
        <v>17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73</v>
      </c>
      <c r="B44" s="3">
        <v>40614</v>
      </c>
      <c r="C44">
        <v>11107</v>
      </c>
      <c r="D44" s="4" t="s">
        <v>16</v>
      </c>
      <c r="E44">
        <v>1</v>
      </c>
      <c r="F44">
        <v>3</v>
      </c>
      <c r="G44">
        <v>2011</v>
      </c>
      <c r="H44" s="4" t="s">
        <v>17</v>
      </c>
      <c r="I44" t="s">
        <v>17</v>
      </c>
      <c r="J44" t="s">
        <v>17</v>
      </c>
      <c r="K44" t="s">
        <v>17</v>
      </c>
      <c r="L44">
        <v>0</v>
      </c>
      <c r="M44">
        <v>1</v>
      </c>
      <c r="N44">
        <v>0</v>
      </c>
      <c r="O44">
        <v>0</v>
      </c>
    </row>
    <row r="45" spans="1:15" x14ac:dyDescent="0.2">
      <c r="A45" t="s">
        <v>74</v>
      </c>
      <c r="B45" s="3">
        <v>40615</v>
      </c>
      <c r="C45">
        <v>11107</v>
      </c>
      <c r="D45" s="4" t="s">
        <v>19</v>
      </c>
      <c r="E45">
        <v>2</v>
      </c>
      <c r="F45">
        <v>3</v>
      </c>
      <c r="G45">
        <v>2011</v>
      </c>
      <c r="H45" s="4" t="s">
        <v>17</v>
      </c>
      <c r="I45" t="s">
        <v>17</v>
      </c>
      <c r="J45" t="s">
        <v>17</v>
      </c>
      <c r="K45" t="s">
        <v>17</v>
      </c>
      <c r="L45">
        <v>0</v>
      </c>
      <c r="M45">
        <v>5</v>
      </c>
      <c r="N45">
        <v>0</v>
      </c>
      <c r="O45">
        <v>0</v>
      </c>
    </row>
    <row r="46" spans="1:15" x14ac:dyDescent="0.2">
      <c r="A46" t="s">
        <v>75</v>
      </c>
      <c r="B46" s="3">
        <v>40616</v>
      </c>
      <c r="C46">
        <v>11107</v>
      </c>
      <c r="D46" s="4" t="s">
        <v>21</v>
      </c>
      <c r="E46">
        <v>3</v>
      </c>
      <c r="F46">
        <v>3</v>
      </c>
      <c r="G46">
        <v>2011</v>
      </c>
      <c r="H46" s="4" t="s">
        <v>17</v>
      </c>
      <c r="I46" t="s">
        <v>17</v>
      </c>
      <c r="J46" t="s">
        <v>17</v>
      </c>
      <c r="K46" t="s">
        <v>17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76</v>
      </c>
      <c r="B47" s="3">
        <v>40617</v>
      </c>
      <c r="C47">
        <v>11107</v>
      </c>
      <c r="D47" s="4" t="s">
        <v>23</v>
      </c>
      <c r="E47">
        <v>4</v>
      </c>
      <c r="F47">
        <v>3</v>
      </c>
      <c r="G47">
        <v>2011</v>
      </c>
      <c r="H47" s="4" t="s">
        <v>17</v>
      </c>
      <c r="I47" t="s">
        <v>17</v>
      </c>
      <c r="J47" t="s">
        <v>17</v>
      </c>
      <c r="K47" t="s">
        <v>17</v>
      </c>
      <c r="L47">
        <v>0</v>
      </c>
      <c r="M47">
        <v>0</v>
      </c>
      <c r="N47">
        <v>0</v>
      </c>
      <c r="O47">
        <v>2</v>
      </c>
    </row>
    <row r="48" spans="1:15" x14ac:dyDescent="0.2">
      <c r="A48" t="s">
        <v>77</v>
      </c>
      <c r="B48" s="3">
        <v>40618</v>
      </c>
      <c r="C48">
        <v>11107</v>
      </c>
      <c r="D48" s="4" t="s">
        <v>25</v>
      </c>
      <c r="E48">
        <v>5</v>
      </c>
      <c r="F48">
        <v>3</v>
      </c>
      <c r="G48">
        <v>2011</v>
      </c>
      <c r="H48" s="4" t="s">
        <v>78</v>
      </c>
      <c r="I48" t="s">
        <v>70</v>
      </c>
      <c r="J48" t="s">
        <v>17</v>
      </c>
      <c r="K48" t="s">
        <v>17</v>
      </c>
      <c r="L48">
        <v>0</v>
      </c>
      <c r="M48">
        <v>1</v>
      </c>
      <c r="N48">
        <v>0</v>
      </c>
      <c r="O48">
        <v>2</v>
      </c>
    </row>
    <row r="49" spans="1:15" x14ac:dyDescent="0.2">
      <c r="A49" t="s">
        <v>79</v>
      </c>
      <c r="B49" s="3">
        <v>40619</v>
      </c>
      <c r="C49">
        <v>11107</v>
      </c>
      <c r="D49" s="4" t="s">
        <v>27</v>
      </c>
      <c r="E49">
        <v>6</v>
      </c>
      <c r="F49">
        <v>3</v>
      </c>
      <c r="G49">
        <v>2011</v>
      </c>
      <c r="H49" s="4" t="s">
        <v>80</v>
      </c>
      <c r="I49" t="s">
        <v>43</v>
      </c>
      <c r="J49" t="s">
        <v>17</v>
      </c>
      <c r="K49" t="s">
        <v>17</v>
      </c>
      <c r="L49">
        <v>0</v>
      </c>
      <c r="M49">
        <v>0</v>
      </c>
      <c r="N49">
        <v>0</v>
      </c>
      <c r="O49">
        <v>1</v>
      </c>
    </row>
    <row r="50" spans="1:15" x14ac:dyDescent="0.2">
      <c r="A50" t="s">
        <v>81</v>
      </c>
      <c r="B50" s="3">
        <v>40620</v>
      </c>
      <c r="C50">
        <v>11107</v>
      </c>
      <c r="D50" s="4" t="s">
        <v>29</v>
      </c>
      <c r="E50">
        <v>7</v>
      </c>
      <c r="F50">
        <v>3</v>
      </c>
      <c r="G50">
        <v>2011</v>
      </c>
      <c r="H50" s="4" t="s">
        <v>17</v>
      </c>
      <c r="I50" t="s">
        <v>17</v>
      </c>
      <c r="J50" t="s">
        <v>17</v>
      </c>
      <c r="K50" t="s">
        <v>17</v>
      </c>
      <c r="L50">
        <v>0</v>
      </c>
      <c r="M50">
        <v>0</v>
      </c>
      <c r="N50">
        <v>2</v>
      </c>
      <c r="O50">
        <v>0</v>
      </c>
    </row>
    <row r="51" spans="1:15" x14ac:dyDescent="0.2">
      <c r="A51" t="s">
        <v>82</v>
      </c>
      <c r="B51" s="3">
        <v>40621</v>
      </c>
      <c r="C51">
        <v>11108</v>
      </c>
      <c r="D51" s="4" t="s">
        <v>16</v>
      </c>
      <c r="E51">
        <v>1</v>
      </c>
      <c r="F51">
        <v>3</v>
      </c>
      <c r="G51">
        <v>2011</v>
      </c>
      <c r="H51" s="4" t="s">
        <v>17</v>
      </c>
      <c r="I51" t="s">
        <v>17</v>
      </c>
      <c r="J51" t="s">
        <v>17</v>
      </c>
      <c r="K51" t="s">
        <v>17</v>
      </c>
      <c r="L51">
        <v>0</v>
      </c>
      <c r="M51">
        <v>1</v>
      </c>
      <c r="N51">
        <v>1</v>
      </c>
      <c r="O51">
        <v>3</v>
      </c>
    </row>
    <row r="52" spans="1:15" x14ac:dyDescent="0.2">
      <c r="A52" t="s">
        <v>83</v>
      </c>
      <c r="B52" s="3">
        <v>40622</v>
      </c>
      <c r="C52">
        <v>11108</v>
      </c>
      <c r="D52" s="4" t="s">
        <v>19</v>
      </c>
      <c r="E52">
        <v>2</v>
      </c>
      <c r="F52">
        <v>3</v>
      </c>
      <c r="G52">
        <v>2011</v>
      </c>
      <c r="H52" s="4" t="s">
        <v>84</v>
      </c>
      <c r="I52" t="s">
        <v>70</v>
      </c>
      <c r="J52" t="s">
        <v>17</v>
      </c>
      <c r="K52" t="s">
        <v>17</v>
      </c>
      <c r="L52">
        <v>0</v>
      </c>
      <c r="M52">
        <v>1</v>
      </c>
      <c r="N52">
        <v>0</v>
      </c>
      <c r="O52">
        <v>2</v>
      </c>
    </row>
    <row r="53" spans="1:15" x14ac:dyDescent="0.2">
      <c r="A53" t="s">
        <v>85</v>
      </c>
      <c r="B53" s="3">
        <v>40623</v>
      </c>
      <c r="C53">
        <v>11108</v>
      </c>
      <c r="D53" s="4" t="s">
        <v>21</v>
      </c>
      <c r="E53">
        <v>3</v>
      </c>
      <c r="F53">
        <v>3</v>
      </c>
      <c r="G53">
        <v>2011</v>
      </c>
      <c r="H53" s="4" t="s">
        <v>17</v>
      </c>
      <c r="I53" t="s">
        <v>17</v>
      </c>
      <c r="J53" t="s">
        <v>17</v>
      </c>
      <c r="K53" t="s">
        <v>17</v>
      </c>
      <c r="L53">
        <v>0</v>
      </c>
      <c r="M53">
        <v>1</v>
      </c>
      <c r="N53">
        <v>1</v>
      </c>
      <c r="O53">
        <v>1</v>
      </c>
    </row>
    <row r="54" spans="1:15" x14ac:dyDescent="0.2">
      <c r="A54" t="s">
        <v>86</v>
      </c>
      <c r="B54" s="3">
        <v>40624</v>
      </c>
      <c r="C54">
        <v>11108</v>
      </c>
      <c r="D54" s="4" t="s">
        <v>23</v>
      </c>
      <c r="E54">
        <v>4</v>
      </c>
      <c r="F54">
        <v>3</v>
      </c>
      <c r="G54">
        <v>2011</v>
      </c>
      <c r="H54" s="4" t="s">
        <v>17</v>
      </c>
      <c r="I54" t="s">
        <v>17</v>
      </c>
      <c r="J54" t="s">
        <v>17</v>
      </c>
      <c r="K54" t="s">
        <v>17</v>
      </c>
      <c r="L54">
        <v>0</v>
      </c>
      <c r="M54">
        <v>1</v>
      </c>
      <c r="N54">
        <v>0</v>
      </c>
      <c r="O54">
        <v>0</v>
      </c>
    </row>
    <row r="55" spans="1:15" x14ac:dyDescent="0.2">
      <c r="A55" t="s">
        <v>87</v>
      </c>
      <c r="B55" s="3">
        <v>40625</v>
      </c>
      <c r="C55">
        <v>11108</v>
      </c>
      <c r="D55" s="4" t="s">
        <v>25</v>
      </c>
      <c r="E55">
        <v>5</v>
      </c>
      <c r="F55">
        <v>3</v>
      </c>
      <c r="G55">
        <v>2011</v>
      </c>
      <c r="H55" s="4" t="s">
        <v>17</v>
      </c>
      <c r="I55" t="s">
        <v>17</v>
      </c>
      <c r="J55" t="s">
        <v>17</v>
      </c>
      <c r="K55" t="s">
        <v>17</v>
      </c>
      <c r="L55">
        <v>0</v>
      </c>
      <c r="M55">
        <v>1</v>
      </c>
      <c r="N55">
        <v>0</v>
      </c>
      <c r="O55">
        <v>0</v>
      </c>
    </row>
    <row r="56" spans="1:15" x14ac:dyDescent="0.2">
      <c r="A56" t="s">
        <v>88</v>
      </c>
      <c r="B56" s="3">
        <v>40626</v>
      </c>
      <c r="C56">
        <v>11108</v>
      </c>
      <c r="D56" s="4" t="s">
        <v>27</v>
      </c>
      <c r="E56">
        <v>6</v>
      </c>
      <c r="F56">
        <v>3</v>
      </c>
      <c r="G56">
        <v>2011</v>
      </c>
      <c r="H56" s="4" t="s">
        <v>17</v>
      </c>
      <c r="I56" t="s">
        <v>17</v>
      </c>
      <c r="J56" t="s">
        <v>17</v>
      </c>
      <c r="K56" t="s">
        <v>17</v>
      </c>
      <c r="L56">
        <v>0</v>
      </c>
      <c r="M56">
        <v>0</v>
      </c>
      <c r="N56">
        <v>0</v>
      </c>
      <c r="O56">
        <v>0</v>
      </c>
    </row>
    <row r="57" spans="1:15" x14ac:dyDescent="0.2">
      <c r="A57" t="s">
        <v>89</v>
      </c>
      <c r="B57" s="3">
        <v>40627</v>
      </c>
      <c r="C57">
        <v>11108</v>
      </c>
      <c r="D57" s="4" t="s">
        <v>29</v>
      </c>
      <c r="E57">
        <v>7</v>
      </c>
      <c r="F57">
        <v>3</v>
      </c>
      <c r="G57">
        <v>2011</v>
      </c>
      <c r="H57" s="4" t="s">
        <v>17</v>
      </c>
      <c r="I57" t="s">
        <v>17</v>
      </c>
      <c r="J57" t="s">
        <v>17</v>
      </c>
      <c r="K57" t="s">
        <v>17</v>
      </c>
      <c r="L57">
        <v>0</v>
      </c>
      <c r="M57">
        <v>1</v>
      </c>
      <c r="N57">
        <v>0</v>
      </c>
      <c r="O57">
        <v>1</v>
      </c>
    </row>
    <row r="58" spans="1:15" x14ac:dyDescent="0.2">
      <c r="A58" t="s">
        <v>90</v>
      </c>
      <c r="B58" s="3">
        <v>40628</v>
      </c>
      <c r="C58">
        <v>11109</v>
      </c>
      <c r="D58" s="4" t="s">
        <v>16</v>
      </c>
      <c r="E58">
        <v>1</v>
      </c>
      <c r="F58">
        <v>3</v>
      </c>
      <c r="G58">
        <v>2011</v>
      </c>
      <c r="H58" s="4" t="s">
        <v>17</v>
      </c>
      <c r="I58" t="s">
        <v>17</v>
      </c>
      <c r="J58" t="s">
        <v>17</v>
      </c>
      <c r="K58" t="s">
        <v>17</v>
      </c>
      <c r="L58">
        <v>0</v>
      </c>
      <c r="M58">
        <v>2</v>
      </c>
      <c r="N58">
        <v>0</v>
      </c>
      <c r="O58">
        <v>0</v>
      </c>
    </row>
    <row r="59" spans="1:15" x14ac:dyDescent="0.2">
      <c r="A59" t="s">
        <v>91</v>
      </c>
      <c r="B59" s="3">
        <v>40629</v>
      </c>
      <c r="C59">
        <v>11109</v>
      </c>
      <c r="D59" s="4" t="s">
        <v>19</v>
      </c>
      <c r="E59">
        <v>2</v>
      </c>
      <c r="F59">
        <v>3</v>
      </c>
      <c r="G59">
        <v>2011</v>
      </c>
      <c r="H59" s="4" t="s">
        <v>17</v>
      </c>
      <c r="I59" t="s">
        <v>17</v>
      </c>
      <c r="J59" t="s">
        <v>17</v>
      </c>
      <c r="K59" t="s">
        <v>17</v>
      </c>
      <c r="L59">
        <v>0</v>
      </c>
      <c r="M59">
        <v>2</v>
      </c>
      <c r="N59">
        <v>1</v>
      </c>
      <c r="O59">
        <v>3</v>
      </c>
    </row>
    <row r="60" spans="1:15" x14ac:dyDescent="0.2">
      <c r="A60" t="s">
        <v>92</v>
      </c>
      <c r="B60" s="3">
        <v>40630</v>
      </c>
      <c r="C60">
        <v>11109</v>
      </c>
      <c r="D60" s="4" t="s">
        <v>21</v>
      </c>
      <c r="E60">
        <v>3</v>
      </c>
      <c r="F60">
        <v>3</v>
      </c>
      <c r="G60">
        <v>2011</v>
      </c>
      <c r="H60" s="4" t="s">
        <v>17</v>
      </c>
      <c r="I60" t="s">
        <v>17</v>
      </c>
      <c r="J60" t="s">
        <v>17</v>
      </c>
      <c r="K60" t="s">
        <v>17</v>
      </c>
      <c r="L60">
        <v>0</v>
      </c>
      <c r="M60">
        <v>0</v>
      </c>
      <c r="N60">
        <v>2</v>
      </c>
      <c r="O60">
        <v>0</v>
      </c>
    </row>
    <row r="61" spans="1:15" x14ac:dyDescent="0.2">
      <c r="A61" t="s">
        <v>93</v>
      </c>
      <c r="B61" s="3">
        <v>40631</v>
      </c>
      <c r="C61">
        <v>11109</v>
      </c>
      <c r="D61" s="4" t="s">
        <v>23</v>
      </c>
      <c r="E61">
        <v>4</v>
      </c>
      <c r="F61">
        <v>3</v>
      </c>
      <c r="G61">
        <v>2011</v>
      </c>
      <c r="H61" s="4" t="s">
        <v>17</v>
      </c>
      <c r="I61" t="s">
        <v>17</v>
      </c>
      <c r="J61" t="s">
        <v>17</v>
      </c>
      <c r="K61" t="s">
        <v>17</v>
      </c>
      <c r="L61">
        <v>0</v>
      </c>
      <c r="M61">
        <v>1</v>
      </c>
      <c r="N61">
        <v>0</v>
      </c>
      <c r="O61">
        <v>2</v>
      </c>
    </row>
    <row r="62" spans="1:15" x14ac:dyDescent="0.2">
      <c r="A62" t="s">
        <v>94</v>
      </c>
      <c r="B62" s="3">
        <v>40632</v>
      </c>
      <c r="C62">
        <v>11109</v>
      </c>
      <c r="D62" s="4" t="s">
        <v>25</v>
      </c>
      <c r="E62">
        <v>5</v>
      </c>
      <c r="F62">
        <v>3</v>
      </c>
      <c r="G62">
        <v>2011</v>
      </c>
      <c r="H62" s="4" t="s">
        <v>17</v>
      </c>
      <c r="I62" t="s">
        <v>17</v>
      </c>
      <c r="J62" t="s">
        <v>17</v>
      </c>
      <c r="K62" t="s">
        <v>17</v>
      </c>
      <c r="L62">
        <v>0</v>
      </c>
      <c r="M62">
        <v>0</v>
      </c>
      <c r="N62">
        <v>0</v>
      </c>
      <c r="O62">
        <v>0</v>
      </c>
    </row>
    <row r="63" spans="1:15" x14ac:dyDescent="0.2">
      <c r="A63" t="s">
        <v>95</v>
      </c>
      <c r="B63" s="3">
        <v>40633</v>
      </c>
      <c r="C63">
        <v>11109</v>
      </c>
      <c r="D63" s="4" t="s">
        <v>27</v>
      </c>
      <c r="E63">
        <v>6</v>
      </c>
      <c r="F63">
        <v>3</v>
      </c>
      <c r="G63">
        <v>2011</v>
      </c>
      <c r="H63" s="4" t="s">
        <v>17</v>
      </c>
      <c r="I63" t="s">
        <v>17</v>
      </c>
      <c r="J63" t="s">
        <v>17</v>
      </c>
      <c r="K63" t="s">
        <v>17</v>
      </c>
      <c r="L63">
        <v>0</v>
      </c>
      <c r="M63">
        <v>0</v>
      </c>
      <c r="N63">
        <v>0</v>
      </c>
      <c r="O63">
        <v>2</v>
      </c>
    </row>
    <row r="64" spans="1:15" x14ac:dyDescent="0.2">
      <c r="A64" t="s">
        <v>96</v>
      </c>
      <c r="B64" s="3">
        <v>40634</v>
      </c>
      <c r="C64">
        <v>11109</v>
      </c>
      <c r="D64" s="4" t="s">
        <v>29</v>
      </c>
      <c r="E64">
        <v>7</v>
      </c>
      <c r="F64">
        <v>4</v>
      </c>
      <c r="G64">
        <v>2011</v>
      </c>
      <c r="H64" s="4" t="s">
        <v>17</v>
      </c>
      <c r="I64" t="s">
        <v>17</v>
      </c>
      <c r="J64" t="s">
        <v>17</v>
      </c>
      <c r="K64" t="s">
        <v>17</v>
      </c>
      <c r="L64">
        <v>1</v>
      </c>
      <c r="M64">
        <v>0</v>
      </c>
      <c r="N64">
        <v>0</v>
      </c>
      <c r="O64">
        <v>2</v>
      </c>
    </row>
    <row r="65" spans="1:15" x14ac:dyDescent="0.2">
      <c r="A65" t="s">
        <v>97</v>
      </c>
      <c r="B65" s="3">
        <v>40635</v>
      </c>
      <c r="C65">
        <v>11110</v>
      </c>
      <c r="D65" s="4" t="s">
        <v>16</v>
      </c>
      <c r="E65">
        <v>1</v>
      </c>
      <c r="F65">
        <v>4</v>
      </c>
      <c r="G65">
        <v>2011</v>
      </c>
      <c r="H65" s="4" t="s">
        <v>17</v>
      </c>
      <c r="I65" t="s">
        <v>17</v>
      </c>
      <c r="J65" t="s">
        <v>17</v>
      </c>
      <c r="K65" t="s">
        <v>17</v>
      </c>
      <c r="L65">
        <v>1</v>
      </c>
      <c r="M65">
        <v>0</v>
      </c>
      <c r="N65">
        <v>0</v>
      </c>
      <c r="O65">
        <v>1</v>
      </c>
    </row>
    <row r="66" spans="1:15" x14ac:dyDescent="0.2">
      <c r="A66" t="s">
        <v>98</v>
      </c>
      <c r="B66" s="3">
        <v>40636</v>
      </c>
      <c r="C66">
        <v>11110</v>
      </c>
      <c r="D66" s="4" t="s">
        <v>19</v>
      </c>
      <c r="E66">
        <v>2</v>
      </c>
      <c r="F66">
        <v>4</v>
      </c>
      <c r="G66">
        <v>2011</v>
      </c>
      <c r="H66" s="4" t="s">
        <v>17</v>
      </c>
      <c r="I66" t="s">
        <v>17</v>
      </c>
      <c r="J66" t="s">
        <v>17</v>
      </c>
      <c r="K66" t="s">
        <v>17</v>
      </c>
      <c r="L66">
        <v>1</v>
      </c>
      <c r="M66">
        <v>0</v>
      </c>
      <c r="N66">
        <v>1</v>
      </c>
      <c r="O66">
        <v>0</v>
      </c>
    </row>
    <row r="67" spans="1:15" x14ac:dyDescent="0.2">
      <c r="A67" t="s">
        <v>99</v>
      </c>
      <c r="B67" s="3">
        <v>40637</v>
      </c>
      <c r="C67">
        <v>11110</v>
      </c>
      <c r="D67" s="4" t="s">
        <v>21</v>
      </c>
      <c r="E67">
        <v>3</v>
      </c>
      <c r="F67">
        <v>4</v>
      </c>
      <c r="G67">
        <v>2011</v>
      </c>
      <c r="H67" s="4" t="s">
        <v>17</v>
      </c>
      <c r="I67" t="s">
        <v>17</v>
      </c>
      <c r="J67" t="s">
        <v>17</v>
      </c>
      <c r="K67" t="s">
        <v>17</v>
      </c>
      <c r="L67">
        <v>1</v>
      </c>
      <c r="M67">
        <v>4</v>
      </c>
      <c r="N67">
        <v>0</v>
      </c>
      <c r="O67">
        <v>1</v>
      </c>
    </row>
    <row r="68" spans="1:15" x14ac:dyDescent="0.2">
      <c r="A68" t="s">
        <v>100</v>
      </c>
      <c r="B68" s="3">
        <v>40638</v>
      </c>
      <c r="C68">
        <v>11110</v>
      </c>
      <c r="D68" s="4" t="s">
        <v>23</v>
      </c>
      <c r="E68">
        <v>4</v>
      </c>
      <c r="F68">
        <v>4</v>
      </c>
      <c r="G68">
        <v>2011</v>
      </c>
      <c r="H68" s="4" t="s">
        <v>17</v>
      </c>
      <c r="I68" t="s">
        <v>17</v>
      </c>
      <c r="J68" t="s">
        <v>17</v>
      </c>
      <c r="K68" t="s">
        <v>17</v>
      </c>
      <c r="L68">
        <v>1</v>
      </c>
      <c r="M68">
        <v>0</v>
      </c>
      <c r="N68">
        <v>0</v>
      </c>
      <c r="O68">
        <v>0</v>
      </c>
    </row>
    <row r="69" spans="1:15" x14ac:dyDescent="0.2">
      <c r="A69" t="s">
        <v>101</v>
      </c>
      <c r="B69" s="3">
        <v>40639</v>
      </c>
      <c r="C69">
        <v>11110</v>
      </c>
      <c r="D69" s="4" t="s">
        <v>25</v>
      </c>
      <c r="E69">
        <v>5</v>
      </c>
      <c r="F69">
        <v>4</v>
      </c>
      <c r="G69">
        <v>2011</v>
      </c>
      <c r="H69" s="4" t="s">
        <v>17</v>
      </c>
      <c r="I69" t="s">
        <v>17</v>
      </c>
      <c r="J69" t="s">
        <v>17</v>
      </c>
      <c r="K69" t="s">
        <v>17</v>
      </c>
      <c r="L69">
        <v>1</v>
      </c>
      <c r="M69">
        <v>1</v>
      </c>
      <c r="N69">
        <v>2</v>
      </c>
      <c r="O69">
        <v>0</v>
      </c>
    </row>
    <row r="70" spans="1:15" x14ac:dyDescent="0.2">
      <c r="A70" t="s">
        <v>102</v>
      </c>
      <c r="B70" s="3">
        <v>40640</v>
      </c>
      <c r="C70">
        <v>11110</v>
      </c>
      <c r="D70" s="4" t="s">
        <v>27</v>
      </c>
      <c r="E70">
        <v>6</v>
      </c>
      <c r="F70">
        <v>4</v>
      </c>
      <c r="G70">
        <v>2011</v>
      </c>
      <c r="H70" s="4" t="s">
        <v>17</v>
      </c>
      <c r="I70" t="s">
        <v>17</v>
      </c>
      <c r="J70" t="s">
        <v>17</v>
      </c>
      <c r="K70" t="s">
        <v>17</v>
      </c>
      <c r="L70">
        <v>1</v>
      </c>
      <c r="M70">
        <v>0</v>
      </c>
      <c r="N70">
        <v>0</v>
      </c>
      <c r="O70">
        <v>0</v>
      </c>
    </row>
    <row r="71" spans="1:15" x14ac:dyDescent="0.2">
      <c r="A71" t="s">
        <v>103</v>
      </c>
      <c r="B71" s="3">
        <v>40641</v>
      </c>
      <c r="C71">
        <v>11110</v>
      </c>
      <c r="D71" s="4" t="s">
        <v>29</v>
      </c>
      <c r="E71">
        <v>7</v>
      </c>
      <c r="F71">
        <v>4</v>
      </c>
      <c r="G71">
        <v>2011</v>
      </c>
      <c r="H71" s="4" t="s">
        <v>17</v>
      </c>
      <c r="I71" t="s">
        <v>17</v>
      </c>
      <c r="J71" t="s">
        <v>17</v>
      </c>
      <c r="K71" t="s">
        <v>17</v>
      </c>
      <c r="L71">
        <v>1</v>
      </c>
      <c r="M71">
        <v>1</v>
      </c>
      <c r="N71">
        <v>0</v>
      </c>
      <c r="O71">
        <v>0</v>
      </c>
    </row>
    <row r="72" spans="1:15" x14ac:dyDescent="0.2">
      <c r="A72" t="s">
        <v>104</v>
      </c>
      <c r="B72" s="3">
        <v>40642</v>
      </c>
      <c r="C72">
        <v>11111</v>
      </c>
      <c r="D72" s="4" t="s">
        <v>16</v>
      </c>
      <c r="E72">
        <v>1</v>
      </c>
      <c r="F72">
        <v>4</v>
      </c>
      <c r="G72">
        <v>2011</v>
      </c>
      <c r="H72" s="4" t="s">
        <v>17</v>
      </c>
      <c r="I72" t="s">
        <v>17</v>
      </c>
      <c r="J72" t="s">
        <v>17</v>
      </c>
      <c r="K72" t="s">
        <v>17</v>
      </c>
      <c r="L72">
        <v>1</v>
      </c>
      <c r="M72">
        <v>0</v>
      </c>
      <c r="N72">
        <v>1</v>
      </c>
      <c r="O72">
        <v>2</v>
      </c>
    </row>
    <row r="73" spans="1:15" x14ac:dyDescent="0.2">
      <c r="A73" t="s">
        <v>105</v>
      </c>
      <c r="B73" s="3">
        <v>40643</v>
      </c>
      <c r="C73">
        <v>11111</v>
      </c>
      <c r="D73" s="4" t="s">
        <v>19</v>
      </c>
      <c r="E73">
        <v>2</v>
      </c>
      <c r="F73">
        <v>4</v>
      </c>
      <c r="G73">
        <v>2011</v>
      </c>
      <c r="H73" s="4" t="s">
        <v>17</v>
      </c>
      <c r="I73" t="s">
        <v>17</v>
      </c>
      <c r="J73" t="s">
        <v>17</v>
      </c>
      <c r="K73" t="s">
        <v>17</v>
      </c>
      <c r="L73">
        <v>1</v>
      </c>
      <c r="M73">
        <v>2</v>
      </c>
      <c r="N73">
        <v>0</v>
      </c>
      <c r="O73">
        <v>3</v>
      </c>
    </row>
    <row r="74" spans="1:15" x14ac:dyDescent="0.2">
      <c r="A74" t="s">
        <v>106</v>
      </c>
      <c r="B74" s="3">
        <v>40644</v>
      </c>
      <c r="C74">
        <v>11111</v>
      </c>
      <c r="D74" s="4" t="s">
        <v>21</v>
      </c>
      <c r="E74">
        <v>3</v>
      </c>
      <c r="F74">
        <v>4</v>
      </c>
      <c r="G74">
        <v>2011</v>
      </c>
      <c r="H74" s="4" t="s">
        <v>17</v>
      </c>
      <c r="I74" t="s">
        <v>17</v>
      </c>
      <c r="J74" t="s">
        <v>17</v>
      </c>
      <c r="K74" t="s">
        <v>17</v>
      </c>
      <c r="L74">
        <v>0</v>
      </c>
      <c r="M74">
        <v>2</v>
      </c>
      <c r="N74">
        <v>0</v>
      </c>
      <c r="O74">
        <v>1</v>
      </c>
    </row>
    <row r="75" spans="1:15" x14ac:dyDescent="0.2">
      <c r="A75" t="s">
        <v>107</v>
      </c>
      <c r="B75" s="3">
        <v>40645</v>
      </c>
      <c r="C75">
        <v>11111</v>
      </c>
      <c r="D75" s="4" t="s">
        <v>23</v>
      </c>
      <c r="E75">
        <v>4</v>
      </c>
      <c r="F75">
        <v>4</v>
      </c>
      <c r="G75">
        <v>2011</v>
      </c>
      <c r="H75" s="4" t="s">
        <v>17</v>
      </c>
      <c r="I75" t="s">
        <v>17</v>
      </c>
      <c r="J75" t="s">
        <v>17</v>
      </c>
      <c r="K75" t="s">
        <v>17</v>
      </c>
      <c r="L75">
        <v>0</v>
      </c>
      <c r="M75">
        <v>1</v>
      </c>
      <c r="N75">
        <v>0</v>
      </c>
      <c r="O75">
        <v>1</v>
      </c>
    </row>
    <row r="76" spans="1:15" x14ac:dyDescent="0.2">
      <c r="A76" t="s">
        <v>108</v>
      </c>
      <c r="B76" s="3">
        <v>40646</v>
      </c>
      <c r="C76">
        <v>11111</v>
      </c>
      <c r="D76" s="4" t="s">
        <v>25</v>
      </c>
      <c r="E76">
        <v>5</v>
      </c>
      <c r="F76">
        <v>4</v>
      </c>
      <c r="G76">
        <v>2011</v>
      </c>
      <c r="H76" s="4" t="s">
        <v>17</v>
      </c>
      <c r="I76" t="s">
        <v>17</v>
      </c>
      <c r="J76" t="s">
        <v>17</v>
      </c>
      <c r="K76" t="s">
        <v>17</v>
      </c>
      <c r="L76">
        <v>0</v>
      </c>
      <c r="M76">
        <v>1</v>
      </c>
      <c r="N76">
        <v>0</v>
      </c>
      <c r="O76">
        <v>0</v>
      </c>
    </row>
    <row r="77" spans="1:15" x14ac:dyDescent="0.2">
      <c r="A77" t="s">
        <v>109</v>
      </c>
      <c r="B77" s="3">
        <v>40647</v>
      </c>
      <c r="C77">
        <v>11111</v>
      </c>
      <c r="D77" s="4" t="s">
        <v>27</v>
      </c>
      <c r="E77">
        <v>6</v>
      </c>
      <c r="F77">
        <v>4</v>
      </c>
      <c r="G77">
        <v>2011</v>
      </c>
      <c r="H77" s="4" t="s">
        <v>17</v>
      </c>
      <c r="I77" t="s">
        <v>17</v>
      </c>
      <c r="J77" t="s">
        <v>17</v>
      </c>
      <c r="K77" t="s">
        <v>17</v>
      </c>
      <c r="L77">
        <v>0</v>
      </c>
      <c r="M77">
        <v>0</v>
      </c>
      <c r="N77">
        <v>0</v>
      </c>
      <c r="O77">
        <v>0</v>
      </c>
    </row>
    <row r="78" spans="1:15" x14ac:dyDescent="0.2">
      <c r="A78" t="s">
        <v>110</v>
      </c>
      <c r="B78" s="3">
        <v>40648</v>
      </c>
      <c r="C78">
        <v>11111</v>
      </c>
      <c r="D78" s="4" t="s">
        <v>29</v>
      </c>
      <c r="E78">
        <v>7</v>
      </c>
      <c r="F78">
        <v>4</v>
      </c>
      <c r="G78">
        <v>2011</v>
      </c>
      <c r="H78" s="4" t="s">
        <v>17</v>
      </c>
      <c r="I78" t="s">
        <v>17</v>
      </c>
      <c r="J78" t="s">
        <v>17</v>
      </c>
      <c r="K78" t="s">
        <v>17</v>
      </c>
      <c r="L78">
        <v>0</v>
      </c>
      <c r="M78">
        <v>2</v>
      </c>
      <c r="N78">
        <v>4</v>
      </c>
      <c r="O78">
        <v>3</v>
      </c>
    </row>
    <row r="79" spans="1:15" x14ac:dyDescent="0.2">
      <c r="A79" t="s">
        <v>111</v>
      </c>
      <c r="B79" s="3">
        <v>40649</v>
      </c>
      <c r="C79">
        <v>11112</v>
      </c>
      <c r="D79" s="4" t="s">
        <v>16</v>
      </c>
      <c r="E79">
        <v>1</v>
      </c>
      <c r="F79">
        <v>4</v>
      </c>
      <c r="G79">
        <v>2011</v>
      </c>
      <c r="H79" s="4" t="s">
        <v>17</v>
      </c>
      <c r="I79" t="s">
        <v>17</v>
      </c>
      <c r="J79" t="s">
        <v>17</v>
      </c>
      <c r="K79" t="s">
        <v>17</v>
      </c>
      <c r="L79">
        <v>0</v>
      </c>
      <c r="M79">
        <v>1</v>
      </c>
      <c r="N79">
        <v>0</v>
      </c>
      <c r="O79">
        <v>2</v>
      </c>
    </row>
    <row r="80" spans="1:15" x14ac:dyDescent="0.2">
      <c r="A80" t="s">
        <v>112</v>
      </c>
      <c r="B80" s="3">
        <v>40650</v>
      </c>
      <c r="C80">
        <v>11112</v>
      </c>
      <c r="D80" s="4" t="s">
        <v>19</v>
      </c>
      <c r="E80">
        <v>2</v>
      </c>
      <c r="F80">
        <v>4</v>
      </c>
      <c r="G80">
        <v>2011</v>
      </c>
      <c r="H80" s="4" t="s">
        <v>17</v>
      </c>
      <c r="I80" t="s">
        <v>17</v>
      </c>
      <c r="J80" t="s">
        <v>17</v>
      </c>
      <c r="K80" t="s">
        <v>17</v>
      </c>
      <c r="L80">
        <v>0</v>
      </c>
      <c r="M80">
        <v>2</v>
      </c>
      <c r="N80">
        <v>0</v>
      </c>
      <c r="O80">
        <v>2</v>
      </c>
    </row>
    <row r="81" spans="1:15" x14ac:dyDescent="0.2">
      <c r="A81" t="s">
        <v>113</v>
      </c>
      <c r="B81" s="3">
        <v>40651</v>
      </c>
      <c r="C81">
        <v>11112</v>
      </c>
      <c r="D81" s="4" t="s">
        <v>21</v>
      </c>
      <c r="E81">
        <v>3</v>
      </c>
      <c r="F81">
        <v>4</v>
      </c>
      <c r="G81">
        <v>2011</v>
      </c>
      <c r="H81" s="4" t="s">
        <v>17</v>
      </c>
      <c r="I81" t="s">
        <v>17</v>
      </c>
      <c r="J81" t="s">
        <v>17</v>
      </c>
      <c r="K81" t="s">
        <v>17</v>
      </c>
      <c r="L81">
        <v>0</v>
      </c>
      <c r="M81">
        <v>0</v>
      </c>
      <c r="N81">
        <v>0</v>
      </c>
      <c r="O81">
        <v>0</v>
      </c>
    </row>
    <row r="82" spans="1:15" x14ac:dyDescent="0.2">
      <c r="A82" t="s">
        <v>114</v>
      </c>
      <c r="B82" s="3">
        <v>40652</v>
      </c>
      <c r="C82">
        <v>11112</v>
      </c>
      <c r="D82" s="4" t="s">
        <v>23</v>
      </c>
      <c r="E82">
        <v>4</v>
      </c>
      <c r="F82">
        <v>4</v>
      </c>
      <c r="G82">
        <v>2011</v>
      </c>
      <c r="H82" s="4" t="s">
        <v>17</v>
      </c>
      <c r="I82" t="s">
        <v>17</v>
      </c>
      <c r="J82" t="s">
        <v>17</v>
      </c>
      <c r="K82" t="s">
        <v>17</v>
      </c>
      <c r="L82">
        <v>0</v>
      </c>
      <c r="M82">
        <v>2</v>
      </c>
      <c r="N82">
        <v>0</v>
      </c>
      <c r="O82">
        <v>1</v>
      </c>
    </row>
    <row r="83" spans="1:15" x14ac:dyDescent="0.2">
      <c r="A83" t="s">
        <v>115</v>
      </c>
      <c r="B83" s="3">
        <v>40653</v>
      </c>
      <c r="C83">
        <v>11112</v>
      </c>
      <c r="D83" s="4" t="s">
        <v>25</v>
      </c>
      <c r="E83">
        <v>5</v>
      </c>
      <c r="F83">
        <v>4</v>
      </c>
      <c r="G83">
        <v>2011</v>
      </c>
      <c r="H83" s="4" t="s">
        <v>17</v>
      </c>
      <c r="I83" t="s">
        <v>17</v>
      </c>
      <c r="J83" t="s">
        <v>17</v>
      </c>
      <c r="K83" t="s">
        <v>17</v>
      </c>
      <c r="L83">
        <v>0</v>
      </c>
      <c r="M83">
        <v>0</v>
      </c>
      <c r="N83">
        <v>3</v>
      </c>
      <c r="O83">
        <v>0</v>
      </c>
    </row>
    <row r="84" spans="1:15" x14ac:dyDescent="0.2">
      <c r="A84" t="s">
        <v>116</v>
      </c>
      <c r="B84" s="3">
        <v>40654</v>
      </c>
      <c r="C84">
        <v>11112</v>
      </c>
      <c r="D84" s="4" t="s">
        <v>27</v>
      </c>
      <c r="E84">
        <v>6</v>
      </c>
      <c r="F84">
        <v>4</v>
      </c>
      <c r="G84">
        <v>2011</v>
      </c>
      <c r="H84" s="4" t="s">
        <v>17</v>
      </c>
      <c r="I84" t="s">
        <v>17</v>
      </c>
      <c r="J84" t="s">
        <v>17</v>
      </c>
      <c r="K84" t="s">
        <v>17</v>
      </c>
      <c r="L84">
        <v>0</v>
      </c>
      <c r="M84">
        <v>0</v>
      </c>
      <c r="N84">
        <v>0</v>
      </c>
      <c r="O84">
        <v>3</v>
      </c>
    </row>
    <row r="85" spans="1:15" x14ac:dyDescent="0.2">
      <c r="A85" t="s">
        <v>117</v>
      </c>
      <c r="B85" s="3">
        <v>40655</v>
      </c>
      <c r="C85">
        <v>11112</v>
      </c>
      <c r="D85" s="4" t="s">
        <v>29</v>
      </c>
      <c r="E85">
        <v>7</v>
      </c>
      <c r="F85">
        <v>4</v>
      </c>
      <c r="G85">
        <v>2011</v>
      </c>
      <c r="H85" s="4" t="s">
        <v>17</v>
      </c>
      <c r="I85" t="s">
        <v>17</v>
      </c>
      <c r="J85" t="s">
        <v>17</v>
      </c>
      <c r="K85" t="s">
        <v>17</v>
      </c>
      <c r="L85">
        <v>0</v>
      </c>
      <c r="M85">
        <v>0</v>
      </c>
      <c r="N85">
        <v>1</v>
      </c>
      <c r="O85">
        <v>1</v>
      </c>
    </row>
    <row r="86" spans="1:15" x14ac:dyDescent="0.2">
      <c r="A86" t="s">
        <v>118</v>
      </c>
      <c r="B86" s="3">
        <v>40656</v>
      </c>
      <c r="C86">
        <v>11113</v>
      </c>
      <c r="D86" s="4" t="s">
        <v>16</v>
      </c>
      <c r="E86">
        <v>1</v>
      </c>
      <c r="F86">
        <v>4</v>
      </c>
      <c r="G86">
        <v>2011</v>
      </c>
      <c r="H86" s="4" t="s">
        <v>17</v>
      </c>
      <c r="I86" t="s">
        <v>17</v>
      </c>
      <c r="J86" t="s">
        <v>17</v>
      </c>
      <c r="K86" t="s">
        <v>17</v>
      </c>
      <c r="L86">
        <v>0</v>
      </c>
      <c r="M86">
        <v>1</v>
      </c>
      <c r="N86">
        <v>0</v>
      </c>
      <c r="O86">
        <v>0</v>
      </c>
    </row>
    <row r="87" spans="1:15" x14ac:dyDescent="0.2">
      <c r="A87" t="s">
        <v>119</v>
      </c>
      <c r="B87" s="3">
        <v>40657</v>
      </c>
      <c r="C87">
        <v>11113</v>
      </c>
      <c r="D87" s="4" t="s">
        <v>19</v>
      </c>
      <c r="E87">
        <v>2</v>
      </c>
      <c r="F87">
        <v>4</v>
      </c>
      <c r="G87">
        <v>2011</v>
      </c>
      <c r="H87" s="4" t="s">
        <v>120</v>
      </c>
      <c r="I87" t="s">
        <v>70</v>
      </c>
      <c r="J87" t="s">
        <v>121</v>
      </c>
      <c r="K87" t="s">
        <v>43</v>
      </c>
      <c r="L87">
        <v>0</v>
      </c>
      <c r="M87">
        <v>0</v>
      </c>
      <c r="N87">
        <v>1</v>
      </c>
      <c r="O87">
        <v>0</v>
      </c>
    </row>
    <row r="88" spans="1:15" x14ac:dyDescent="0.2">
      <c r="A88" t="s">
        <v>122</v>
      </c>
      <c r="B88" s="3">
        <v>40658</v>
      </c>
      <c r="C88">
        <v>11113</v>
      </c>
      <c r="D88" s="4" t="s">
        <v>21</v>
      </c>
      <c r="E88">
        <v>3</v>
      </c>
      <c r="F88">
        <v>4</v>
      </c>
      <c r="G88">
        <v>2011</v>
      </c>
      <c r="H88" s="4" t="s">
        <v>17</v>
      </c>
      <c r="I88" t="s">
        <v>17</v>
      </c>
      <c r="J88" t="s">
        <v>17</v>
      </c>
      <c r="K88" t="s">
        <v>17</v>
      </c>
      <c r="L88">
        <v>0</v>
      </c>
      <c r="M88">
        <v>0</v>
      </c>
      <c r="N88">
        <v>1</v>
      </c>
      <c r="O88">
        <v>0</v>
      </c>
    </row>
    <row r="89" spans="1:15" x14ac:dyDescent="0.2">
      <c r="A89" t="s">
        <v>123</v>
      </c>
      <c r="B89" s="3">
        <v>40659</v>
      </c>
      <c r="C89">
        <v>11113</v>
      </c>
      <c r="D89" s="4" t="s">
        <v>23</v>
      </c>
      <c r="E89">
        <v>4</v>
      </c>
      <c r="F89">
        <v>4</v>
      </c>
      <c r="G89">
        <v>2011</v>
      </c>
      <c r="H89" s="4" t="s">
        <v>124</v>
      </c>
      <c r="I89" t="s">
        <v>70</v>
      </c>
      <c r="J89" t="s">
        <v>17</v>
      </c>
      <c r="K89" t="s">
        <v>17</v>
      </c>
      <c r="L89">
        <v>0</v>
      </c>
      <c r="M89">
        <v>0</v>
      </c>
      <c r="N89">
        <v>1</v>
      </c>
      <c r="O89">
        <v>2</v>
      </c>
    </row>
    <row r="90" spans="1:15" x14ac:dyDescent="0.2">
      <c r="A90" t="s">
        <v>125</v>
      </c>
      <c r="B90" s="3">
        <v>40660</v>
      </c>
      <c r="C90">
        <v>11113</v>
      </c>
      <c r="D90" s="4" t="s">
        <v>25</v>
      </c>
      <c r="E90">
        <v>5</v>
      </c>
      <c r="F90">
        <v>4</v>
      </c>
      <c r="G90">
        <v>2011</v>
      </c>
      <c r="H90" s="4" t="s">
        <v>17</v>
      </c>
      <c r="I90" t="s">
        <v>17</v>
      </c>
      <c r="J90" t="s">
        <v>17</v>
      </c>
      <c r="K90" t="s">
        <v>17</v>
      </c>
      <c r="L90">
        <v>0</v>
      </c>
      <c r="M90">
        <v>0</v>
      </c>
      <c r="N90">
        <v>1</v>
      </c>
      <c r="O90">
        <v>0</v>
      </c>
    </row>
    <row r="91" spans="1:15" x14ac:dyDescent="0.2">
      <c r="A91" t="s">
        <v>126</v>
      </c>
      <c r="B91" s="3">
        <v>40661</v>
      </c>
      <c r="C91">
        <v>11113</v>
      </c>
      <c r="D91" s="4" t="s">
        <v>27</v>
      </c>
      <c r="E91">
        <v>6</v>
      </c>
      <c r="F91">
        <v>4</v>
      </c>
      <c r="G91">
        <v>2011</v>
      </c>
      <c r="H91" s="4" t="s">
        <v>17</v>
      </c>
      <c r="I91" t="s">
        <v>17</v>
      </c>
      <c r="J91" t="s">
        <v>17</v>
      </c>
      <c r="K91" t="s">
        <v>17</v>
      </c>
      <c r="L91">
        <v>0</v>
      </c>
      <c r="M91">
        <v>0</v>
      </c>
      <c r="N91">
        <v>1</v>
      </c>
      <c r="O91">
        <v>2</v>
      </c>
    </row>
    <row r="92" spans="1:15" x14ac:dyDescent="0.2">
      <c r="A92" t="s">
        <v>127</v>
      </c>
      <c r="B92" s="3">
        <v>40662</v>
      </c>
      <c r="C92">
        <v>11113</v>
      </c>
      <c r="D92" s="4" t="s">
        <v>29</v>
      </c>
      <c r="E92">
        <v>7</v>
      </c>
      <c r="F92">
        <v>4</v>
      </c>
      <c r="G92">
        <v>2011</v>
      </c>
      <c r="H92" s="4" t="s">
        <v>17</v>
      </c>
      <c r="I92" t="s">
        <v>17</v>
      </c>
      <c r="J92" t="s">
        <v>17</v>
      </c>
      <c r="K92" t="s">
        <v>17</v>
      </c>
      <c r="L92">
        <v>0</v>
      </c>
      <c r="M92">
        <v>0</v>
      </c>
      <c r="N92">
        <v>1</v>
      </c>
      <c r="O92">
        <v>1</v>
      </c>
    </row>
    <row r="93" spans="1:15" x14ac:dyDescent="0.2">
      <c r="A93" t="s">
        <v>128</v>
      </c>
      <c r="B93" s="3">
        <v>40663</v>
      </c>
      <c r="C93">
        <v>11114</v>
      </c>
      <c r="D93" s="4" t="s">
        <v>16</v>
      </c>
      <c r="E93">
        <v>1</v>
      </c>
      <c r="F93">
        <v>4</v>
      </c>
      <c r="G93">
        <v>2011</v>
      </c>
      <c r="H93" s="4" t="s">
        <v>17</v>
      </c>
      <c r="I93" t="s">
        <v>17</v>
      </c>
      <c r="J93" t="s">
        <v>17</v>
      </c>
      <c r="K93" t="s">
        <v>17</v>
      </c>
      <c r="L93">
        <v>0</v>
      </c>
      <c r="M93">
        <v>3</v>
      </c>
      <c r="N93">
        <v>3</v>
      </c>
      <c r="O93">
        <v>1</v>
      </c>
    </row>
    <row r="94" spans="1:15" x14ac:dyDescent="0.2">
      <c r="A94" t="s">
        <v>129</v>
      </c>
      <c r="B94" s="3">
        <v>40664</v>
      </c>
      <c r="C94">
        <v>11114</v>
      </c>
      <c r="D94" s="4" t="s">
        <v>19</v>
      </c>
      <c r="E94">
        <v>2</v>
      </c>
      <c r="F94">
        <v>5</v>
      </c>
      <c r="G94">
        <v>2011</v>
      </c>
      <c r="H94" s="4" t="s">
        <v>17</v>
      </c>
      <c r="I94" t="s">
        <v>17</v>
      </c>
      <c r="J94" t="s">
        <v>17</v>
      </c>
      <c r="K94" t="s">
        <v>17</v>
      </c>
      <c r="L94">
        <v>1</v>
      </c>
      <c r="M94">
        <v>2</v>
      </c>
      <c r="N94">
        <v>0</v>
      </c>
      <c r="O94">
        <v>1</v>
      </c>
    </row>
    <row r="95" spans="1:15" x14ac:dyDescent="0.2">
      <c r="A95" t="s">
        <v>130</v>
      </c>
      <c r="B95" s="3">
        <v>40665</v>
      </c>
      <c r="C95">
        <v>11114</v>
      </c>
      <c r="D95" s="4" t="s">
        <v>21</v>
      </c>
      <c r="E95">
        <v>3</v>
      </c>
      <c r="F95">
        <v>5</v>
      </c>
      <c r="G95">
        <v>2011</v>
      </c>
      <c r="H95" s="4" t="s">
        <v>17</v>
      </c>
      <c r="I95" t="s">
        <v>17</v>
      </c>
      <c r="J95" t="s">
        <v>17</v>
      </c>
      <c r="K95" t="s">
        <v>17</v>
      </c>
      <c r="L95">
        <v>1</v>
      </c>
      <c r="M95">
        <v>7</v>
      </c>
      <c r="N95">
        <v>2</v>
      </c>
      <c r="O95">
        <v>3</v>
      </c>
    </row>
    <row r="96" spans="1:15" x14ac:dyDescent="0.2">
      <c r="A96" t="s">
        <v>131</v>
      </c>
      <c r="B96" s="3">
        <v>40666</v>
      </c>
      <c r="C96">
        <v>11114</v>
      </c>
      <c r="D96" s="4" t="s">
        <v>23</v>
      </c>
      <c r="E96">
        <v>4</v>
      </c>
      <c r="F96">
        <v>5</v>
      </c>
      <c r="G96">
        <v>2011</v>
      </c>
      <c r="H96" s="4" t="s">
        <v>17</v>
      </c>
      <c r="I96" t="s">
        <v>17</v>
      </c>
      <c r="J96" t="s">
        <v>17</v>
      </c>
      <c r="K96" t="s">
        <v>17</v>
      </c>
      <c r="L96">
        <v>1</v>
      </c>
      <c r="M96">
        <v>1</v>
      </c>
      <c r="N96">
        <v>1</v>
      </c>
      <c r="O96">
        <v>4</v>
      </c>
    </row>
    <row r="97" spans="1:15" x14ac:dyDescent="0.2">
      <c r="A97" t="s">
        <v>132</v>
      </c>
      <c r="B97" s="3">
        <v>40667</v>
      </c>
      <c r="C97">
        <v>11114</v>
      </c>
      <c r="D97" s="4" t="s">
        <v>25</v>
      </c>
      <c r="E97">
        <v>5</v>
      </c>
      <c r="F97">
        <v>5</v>
      </c>
      <c r="G97">
        <v>2011</v>
      </c>
      <c r="H97" s="4" t="s">
        <v>17</v>
      </c>
      <c r="I97" t="s">
        <v>17</v>
      </c>
      <c r="J97" t="s">
        <v>17</v>
      </c>
      <c r="K97" t="s">
        <v>17</v>
      </c>
      <c r="L97">
        <v>1</v>
      </c>
      <c r="M97">
        <v>0</v>
      </c>
      <c r="N97">
        <v>1</v>
      </c>
      <c r="O97">
        <v>0</v>
      </c>
    </row>
    <row r="98" spans="1:15" x14ac:dyDescent="0.2">
      <c r="A98" t="s">
        <v>133</v>
      </c>
      <c r="B98" s="3">
        <v>40668</v>
      </c>
      <c r="C98">
        <v>11114</v>
      </c>
      <c r="D98" s="4" t="s">
        <v>27</v>
      </c>
      <c r="E98">
        <v>6</v>
      </c>
      <c r="F98">
        <v>5</v>
      </c>
      <c r="G98">
        <v>2011</v>
      </c>
      <c r="H98" s="4" t="s">
        <v>134</v>
      </c>
      <c r="I98" t="s">
        <v>43</v>
      </c>
      <c r="J98" t="s">
        <v>17</v>
      </c>
      <c r="K98" t="s">
        <v>17</v>
      </c>
      <c r="L98">
        <v>1</v>
      </c>
      <c r="M98">
        <v>0</v>
      </c>
      <c r="N98">
        <v>0</v>
      </c>
      <c r="O98">
        <v>3</v>
      </c>
    </row>
    <row r="99" spans="1:15" x14ac:dyDescent="0.2">
      <c r="A99" t="s">
        <v>135</v>
      </c>
      <c r="B99" s="3">
        <v>40669</v>
      </c>
      <c r="C99">
        <v>11114</v>
      </c>
      <c r="D99" s="4" t="s">
        <v>29</v>
      </c>
      <c r="E99">
        <v>7</v>
      </c>
      <c r="F99">
        <v>5</v>
      </c>
      <c r="G99">
        <v>2011</v>
      </c>
      <c r="H99" s="4" t="s">
        <v>17</v>
      </c>
      <c r="I99" t="s">
        <v>17</v>
      </c>
      <c r="J99" t="s">
        <v>17</v>
      </c>
      <c r="K99" t="s">
        <v>17</v>
      </c>
      <c r="L99">
        <v>1</v>
      </c>
      <c r="M99">
        <v>9</v>
      </c>
      <c r="N99">
        <v>1</v>
      </c>
      <c r="O99">
        <v>7</v>
      </c>
    </row>
    <row r="100" spans="1:15" x14ac:dyDescent="0.2">
      <c r="A100" t="s">
        <v>136</v>
      </c>
      <c r="B100" s="3">
        <v>40670</v>
      </c>
      <c r="C100">
        <v>11115</v>
      </c>
      <c r="D100" s="4" t="s">
        <v>16</v>
      </c>
      <c r="E100">
        <v>1</v>
      </c>
      <c r="F100">
        <v>5</v>
      </c>
      <c r="G100">
        <v>2011</v>
      </c>
      <c r="H100" s="4" t="s">
        <v>17</v>
      </c>
      <c r="I100" t="s">
        <v>17</v>
      </c>
      <c r="J100" t="s">
        <v>17</v>
      </c>
      <c r="K100" t="s">
        <v>17</v>
      </c>
      <c r="L100">
        <v>1</v>
      </c>
      <c r="M100">
        <v>0</v>
      </c>
      <c r="N100">
        <v>3</v>
      </c>
      <c r="O100">
        <v>2</v>
      </c>
    </row>
    <row r="101" spans="1:15" x14ac:dyDescent="0.2">
      <c r="A101" t="s">
        <v>137</v>
      </c>
      <c r="B101" s="3">
        <v>40671</v>
      </c>
      <c r="C101">
        <v>11115</v>
      </c>
      <c r="D101" s="4" t="s">
        <v>19</v>
      </c>
      <c r="E101">
        <v>2</v>
      </c>
      <c r="F101">
        <v>5</v>
      </c>
      <c r="G101">
        <v>2011</v>
      </c>
      <c r="H101" s="4" t="s">
        <v>138</v>
      </c>
      <c r="I101" t="s">
        <v>43</v>
      </c>
      <c r="J101" t="s">
        <v>17</v>
      </c>
      <c r="K101" t="s">
        <v>17</v>
      </c>
      <c r="L101">
        <v>1</v>
      </c>
      <c r="M101">
        <v>0</v>
      </c>
      <c r="N101">
        <v>1</v>
      </c>
      <c r="O101">
        <v>0</v>
      </c>
    </row>
    <row r="102" spans="1:15" x14ac:dyDescent="0.2">
      <c r="A102" t="s">
        <v>139</v>
      </c>
      <c r="B102" s="3">
        <v>40672</v>
      </c>
      <c r="C102">
        <v>11115</v>
      </c>
      <c r="D102" s="4" t="s">
        <v>21</v>
      </c>
      <c r="E102">
        <v>3</v>
      </c>
      <c r="F102">
        <v>5</v>
      </c>
      <c r="G102">
        <v>2011</v>
      </c>
      <c r="H102" s="4" t="s">
        <v>17</v>
      </c>
      <c r="I102" t="s">
        <v>17</v>
      </c>
      <c r="J102" t="s">
        <v>17</v>
      </c>
      <c r="K102" t="s">
        <v>17</v>
      </c>
      <c r="L102">
        <v>1</v>
      </c>
      <c r="M102">
        <v>0</v>
      </c>
      <c r="N102">
        <v>2</v>
      </c>
      <c r="O102">
        <v>0</v>
      </c>
    </row>
    <row r="103" spans="1:15" x14ac:dyDescent="0.2">
      <c r="A103" t="s">
        <v>140</v>
      </c>
      <c r="B103" s="3">
        <v>40673</v>
      </c>
      <c r="C103">
        <v>11115</v>
      </c>
      <c r="D103" s="4" t="s">
        <v>23</v>
      </c>
      <c r="E103">
        <v>4</v>
      </c>
      <c r="F103">
        <v>5</v>
      </c>
      <c r="G103">
        <v>2011</v>
      </c>
      <c r="H103" s="4" t="s">
        <v>17</v>
      </c>
      <c r="I103" t="s">
        <v>17</v>
      </c>
      <c r="J103" t="s">
        <v>17</v>
      </c>
      <c r="K103" t="s">
        <v>17</v>
      </c>
      <c r="L103">
        <v>1</v>
      </c>
      <c r="M103">
        <v>1</v>
      </c>
      <c r="N103">
        <v>0</v>
      </c>
      <c r="O103">
        <v>0</v>
      </c>
    </row>
    <row r="104" spans="1:15" x14ac:dyDescent="0.2">
      <c r="A104" t="s">
        <v>141</v>
      </c>
      <c r="B104" s="3">
        <v>40674</v>
      </c>
      <c r="C104">
        <v>11115</v>
      </c>
      <c r="D104" s="4" t="s">
        <v>25</v>
      </c>
      <c r="E104">
        <v>5</v>
      </c>
      <c r="F104">
        <v>5</v>
      </c>
      <c r="G104">
        <v>2011</v>
      </c>
      <c r="H104" s="4" t="s">
        <v>17</v>
      </c>
      <c r="I104" t="s">
        <v>17</v>
      </c>
      <c r="J104" t="s">
        <v>17</v>
      </c>
      <c r="K104" t="s">
        <v>17</v>
      </c>
      <c r="L104">
        <v>0</v>
      </c>
      <c r="M104">
        <v>2</v>
      </c>
      <c r="N104">
        <v>0</v>
      </c>
      <c r="O104">
        <v>0</v>
      </c>
    </row>
    <row r="105" spans="1:15" x14ac:dyDescent="0.2">
      <c r="A105" t="s">
        <v>142</v>
      </c>
      <c r="B105" s="3">
        <v>40675</v>
      </c>
      <c r="C105">
        <v>11115</v>
      </c>
      <c r="D105" s="4" t="s">
        <v>27</v>
      </c>
      <c r="E105">
        <v>6</v>
      </c>
      <c r="F105">
        <v>5</v>
      </c>
      <c r="G105">
        <v>2011</v>
      </c>
      <c r="H105" s="4" t="s">
        <v>17</v>
      </c>
      <c r="I105" t="s">
        <v>17</v>
      </c>
      <c r="J105" t="s">
        <v>17</v>
      </c>
      <c r="K105" t="s">
        <v>17</v>
      </c>
      <c r="L105">
        <v>0</v>
      </c>
      <c r="M105">
        <v>0</v>
      </c>
      <c r="N105">
        <v>0</v>
      </c>
      <c r="O105">
        <v>0</v>
      </c>
    </row>
    <row r="106" spans="1:15" x14ac:dyDescent="0.2">
      <c r="A106" t="s">
        <v>143</v>
      </c>
      <c r="B106" s="3">
        <v>40676</v>
      </c>
      <c r="C106">
        <v>11115</v>
      </c>
      <c r="D106" s="4" t="s">
        <v>29</v>
      </c>
      <c r="E106">
        <v>7</v>
      </c>
      <c r="F106">
        <v>5</v>
      </c>
      <c r="G106">
        <v>2011</v>
      </c>
      <c r="H106" s="4" t="s">
        <v>17</v>
      </c>
      <c r="I106" t="s">
        <v>17</v>
      </c>
      <c r="J106" t="s">
        <v>17</v>
      </c>
      <c r="K106" t="s">
        <v>17</v>
      </c>
      <c r="L106">
        <v>0</v>
      </c>
      <c r="M106">
        <v>1</v>
      </c>
      <c r="N106">
        <v>0</v>
      </c>
      <c r="O106">
        <v>0</v>
      </c>
    </row>
    <row r="107" spans="1:15" x14ac:dyDescent="0.2">
      <c r="A107" t="s">
        <v>144</v>
      </c>
      <c r="B107" s="3">
        <v>40677</v>
      </c>
      <c r="C107">
        <v>11116</v>
      </c>
      <c r="D107" s="4" t="s">
        <v>16</v>
      </c>
      <c r="E107">
        <v>1</v>
      </c>
      <c r="F107">
        <v>5</v>
      </c>
      <c r="G107">
        <v>2011</v>
      </c>
      <c r="H107" s="4" t="s">
        <v>17</v>
      </c>
      <c r="I107" t="s">
        <v>17</v>
      </c>
      <c r="J107" t="s">
        <v>17</v>
      </c>
      <c r="K107" t="s">
        <v>17</v>
      </c>
      <c r="L107">
        <v>0</v>
      </c>
      <c r="M107">
        <v>3</v>
      </c>
      <c r="N107">
        <v>2</v>
      </c>
      <c r="O107">
        <v>2</v>
      </c>
    </row>
    <row r="108" spans="1:15" x14ac:dyDescent="0.2">
      <c r="A108" t="s">
        <v>145</v>
      </c>
      <c r="B108" s="3">
        <v>40678</v>
      </c>
      <c r="C108">
        <v>11116</v>
      </c>
      <c r="D108" s="4" t="s">
        <v>19</v>
      </c>
      <c r="E108">
        <v>2</v>
      </c>
      <c r="F108">
        <v>5</v>
      </c>
      <c r="G108">
        <v>2011</v>
      </c>
      <c r="H108" s="4" t="s">
        <v>17</v>
      </c>
      <c r="I108" t="s">
        <v>17</v>
      </c>
      <c r="J108" t="s">
        <v>17</v>
      </c>
      <c r="K108" t="s">
        <v>17</v>
      </c>
      <c r="L108">
        <v>0</v>
      </c>
      <c r="M108">
        <v>1</v>
      </c>
      <c r="N108">
        <v>1</v>
      </c>
      <c r="O108">
        <v>1</v>
      </c>
    </row>
    <row r="109" spans="1:15" x14ac:dyDescent="0.2">
      <c r="A109" t="s">
        <v>146</v>
      </c>
      <c r="B109" s="3">
        <v>40679</v>
      </c>
      <c r="C109">
        <v>11116</v>
      </c>
      <c r="D109" s="4" t="s">
        <v>21</v>
      </c>
      <c r="E109">
        <v>3</v>
      </c>
      <c r="F109">
        <v>5</v>
      </c>
      <c r="G109">
        <v>2011</v>
      </c>
      <c r="H109" s="4" t="s">
        <v>17</v>
      </c>
      <c r="I109" t="s">
        <v>17</v>
      </c>
      <c r="J109" t="s">
        <v>17</v>
      </c>
      <c r="K109" t="s">
        <v>17</v>
      </c>
      <c r="L109">
        <v>0</v>
      </c>
      <c r="M109">
        <v>3</v>
      </c>
      <c r="N109">
        <v>0</v>
      </c>
      <c r="O109">
        <v>2</v>
      </c>
    </row>
    <row r="110" spans="1:15" x14ac:dyDescent="0.2">
      <c r="A110" t="s">
        <v>147</v>
      </c>
      <c r="B110" s="3">
        <v>40680</v>
      </c>
      <c r="C110">
        <v>11116</v>
      </c>
      <c r="D110" s="4" t="s">
        <v>23</v>
      </c>
      <c r="E110">
        <v>4</v>
      </c>
      <c r="F110">
        <v>5</v>
      </c>
      <c r="G110">
        <v>2011</v>
      </c>
      <c r="H110" s="4" t="s">
        <v>17</v>
      </c>
      <c r="I110" t="s">
        <v>17</v>
      </c>
      <c r="J110" t="s">
        <v>17</v>
      </c>
      <c r="K110" t="s">
        <v>17</v>
      </c>
      <c r="L110">
        <v>0</v>
      </c>
      <c r="M110">
        <v>0</v>
      </c>
      <c r="N110">
        <v>0</v>
      </c>
      <c r="O110">
        <v>4</v>
      </c>
    </row>
    <row r="111" spans="1:15" x14ac:dyDescent="0.2">
      <c r="A111" t="s">
        <v>148</v>
      </c>
      <c r="B111" s="3">
        <v>40681</v>
      </c>
      <c r="C111">
        <v>11116</v>
      </c>
      <c r="D111" s="4" t="s">
        <v>25</v>
      </c>
      <c r="E111">
        <v>5</v>
      </c>
      <c r="F111">
        <v>5</v>
      </c>
      <c r="G111">
        <v>2011</v>
      </c>
      <c r="H111" s="4" t="s">
        <v>17</v>
      </c>
      <c r="I111" t="s">
        <v>17</v>
      </c>
      <c r="J111" t="s">
        <v>17</v>
      </c>
      <c r="K111" t="s">
        <v>17</v>
      </c>
      <c r="L111">
        <v>0</v>
      </c>
      <c r="M111">
        <v>0</v>
      </c>
      <c r="N111">
        <v>1</v>
      </c>
      <c r="O111">
        <v>0</v>
      </c>
    </row>
    <row r="112" spans="1:15" x14ac:dyDescent="0.2">
      <c r="A112" t="s">
        <v>149</v>
      </c>
      <c r="B112" s="3">
        <v>40682</v>
      </c>
      <c r="C112">
        <v>11116</v>
      </c>
      <c r="D112" s="4" t="s">
        <v>27</v>
      </c>
      <c r="E112">
        <v>6</v>
      </c>
      <c r="F112">
        <v>5</v>
      </c>
      <c r="G112">
        <v>2011</v>
      </c>
      <c r="H112" s="4" t="s">
        <v>17</v>
      </c>
      <c r="I112" t="s">
        <v>17</v>
      </c>
      <c r="J112" t="s">
        <v>17</v>
      </c>
      <c r="K112" t="s">
        <v>17</v>
      </c>
      <c r="L112">
        <v>0</v>
      </c>
      <c r="M112">
        <v>1</v>
      </c>
      <c r="N112">
        <v>0</v>
      </c>
      <c r="O112">
        <v>1</v>
      </c>
    </row>
    <row r="113" spans="1:15" x14ac:dyDescent="0.2">
      <c r="A113" t="s">
        <v>150</v>
      </c>
      <c r="B113" s="3">
        <v>40683</v>
      </c>
      <c r="C113">
        <v>11116</v>
      </c>
      <c r="D113" s="4" t="s">
        <v>29</v>
      </c>
      <c r="E113">
        <v>7</v>
      </c>
      <c r="F113">
        <v>5</v>
      </c>
      <c r="G113">
        <v>2011</v>
      </c>
      <c r="H113" s="4" t="s">
        <v>17</v>
      </c>
      <c r="I113" t="s">
        <v>17</v>
      </c>
      <c r="J113" t="s">
        <v>17</v>
      </c>
      <c r="K113" t="s">
        <v>17</v>
      </c>
      <c r="L113">
        <v>0</v>
      </c>
      <c r="M113">
        <v>1</v>
      </c>
      <c r="N113">
        <v>1</v>
      </c>
      <c r="O113">
        <v>0</v>
      </c>
    </row>
    <row r="114" spans="1:15" x14ac:dyDescent="0.2">
      <c r="A114" t="s">
        <v>151</v>
      </c>
      <c r="B114" s="3">
        <v>40684</v>
      </c>
      <c r="C114">
        <v>11117</v>
      </c>
      <c r="D114" s="4" t="s">
        <v>16</v>
      </c>
      <c r="E114">
        <v>1</v>
      </c>
      <c r="F114">
        <v>5</v>
      </c>
      <c r="G114">
        <v>2011</v>
      </c>
      <c r="H114" s="4" t="s">
        <v>17</v>
      </c>
      <c r="I114" t="s">
        <v>17</v>
      </c>
      <c r="J114" t="s">
        <v>17</v>
      </c>
      <c r="K114" t="s">
        <v>17</v>
      </c>
      <c r="L114">
        <v>0</v>
      </c>
      <c r="M114">
        <v>1</v>
      </c>
      <c r="N114">
        <v>0</v>
      </c>
      <c r="O114">
        <v>3</v>
      </c>
    </row>
    <row r="115" spans="1:15" x14ac:dyDescent="0.2">
      <c r="A115" t="s">
        <v>152</v>
      </c>
      <c r="B115" s="3">
        <v>40685</v>
      </c>
      <c r="C115">
        <v>11117</v>
      </c>
      <c r="D115" s="4" t="s">
        <v>19</v>
      </c>
      <c r="E115">
        <v>2</v>
      </c>
      <c r="F115">
        <v>5</v>
      </c>
      <c r="G115">
        <v>2011</v>
      </c>
      <c r="H115" s="4" t="s">
        <v>17</v>
      </c>
      <c r="I115" t="s">
        <v>17</v>
      </c>
      <c r="J115" t="s">
        <v>17</v>
      </c>
      <c r="K115" t="s">
        <v>17</v>
      </c>
      <c r="L115">
        <v>0</v>
      </c>
      <c r="M115">
        <v>3</v>
      </c>
      <c r="N115">
        <v>3</v>
      </c>
      <c r="O115">
        <v>0</v>
      </c>
    </row>
    <row r="116" spans="1:15" x14ac:dyDescent="0.2">
      <c r="A116" t="s">
        <v>153</v>
      </c>
      <c r="B116" s="3">
        <v>40686</v>
      </c>
      <c r="C116">
        <v>11117</v>
      </c>
      <c r="D116" s="4" t="s">
        <v>21</v>
      </c>
      <c r="E116">
        <v>3</v>
      </c>
      <c r="F116">
        <v>5</v>
      </c>
      <c r="G116">
        <v>2011</v>
      </c>
      <c r="H116" s="4" t="s">
        <v>17</v>
      </c>
      <c r="I116" t="s">
        <v>17</v>
      </c>
      <c r="J116" t="s">
        <v>17</v>
      </c>
      <c r="K116" t="s">
        <v>17</v>
      </c>
      <c r="L116">
        <v>0</v>
      </c>
      <c r="M116">
        <v>0</v>
      </c>
      <c r="N116">
        <v>2</v>
      </c>
      <c r="O116">
        <v>1</v>
      </c>
    </row>
    <row r="117" spans="1:15" x14ac:dyDescent="0.2">
      <c r="A117" t="s">
        <v>154</v>
      </c>
      <c r="B117" s="3">
        <v>40687</v>
      </c>
      <c r="C117">
        <v>11117</v>
      </c>
      <c r="D117" s="4" t="s">
        <v>23</v>
      </c>
      <c r="E117">
        <v>4</v>
      </c>
      <c r="F117">
        <v>5</v>
      </c>
      <c r="G117">
        <v>2011</v>
      </c>
      <c r="H117" s="4" t="s">
        <v>17</v>
      </c>
      <c r="I117" t="s">
        <v>17</v>
      </c>
      <c r="J117" t="s">
        <v>17</v>
      </c>
      <c r="K117" t="s">
        <v>17</v>
      </c>
      <c r="L117">
        <v>0</v>
      </c>
      <c r="M117">
        <v>1</v>
      </c>
      <c r="N117">
        <v>1</v>
      </c>
      <c r="O117">
        <v>1</v>
      </c>
    </row>
    <row r="118" spans="1:15" x14ac:dyDescent="0.2">
      <c r="A118" t="s">
        <v>155</v>
      </c>
      <c r="B118" s="3">
        <v>40688</v>
      </c>
      <c r="C118">
        <v>11117</v>
      </c>
      <c r="D118" s="4" t="s">
        <v>25</v>
      </c>
      <c r="E118">
        <v>5</v>
      </c>
      <c r="F118">
        <v>5</v>
      </c>
      <c r="G118">
        <v>2011</v>
      </c>
      <c r="H118" s="4" t="s">
        <v>17</v>
      </c>
      <c r="I118" t="s">
        <v>17</v>
      </c>
      <c r="J118" t="s">
        <v>17</v>
      </c>
      <c r="K118" t="s">
        <v>17</v>
      </c>
      <c r="L118">
        <v>0</v>
      </c>
      <c r="M118">
        <v>2</v>
      </c>
      <c r="N118">
        <v>0</v>
      </c>
      <c r="O118">
        <v>0</v>
      </c>
    </row>
    <row r="119" spans="1:15" x14ac:dyDescent="0.2">
      <c r="A119" t="s">
        <v>156</v>
      </c>
      <c r="B119" s="3">
        <v>40689</v>
      </c>
      <c r="C119">
        <v>11117</v>
      </c>
      <c r="D119" s="4" t="s">
        <v>27</v>
      </c>
      <c r="E119">
        <v>6</v>
      </c>
      <c r="F119">
        <v>5</v>
      </c>
      <c r="G119">
        <v>2011</v>
      </c>
      <c r="H119" s="4" t="s">
        <v>17</v>
      </c>
      <c r="I119" t="s">
        <v>17</v>
      </c>
      <c r="J119" t="s">
        <v>17</v>
      </c>
      <c r="K119" t="s">
        <v>17</v>
      </c>
      <c r="L119">
        <v>0</v>
      </c>
      <c r="M119">
        <v>0</v>
      </c>
      <c r="N119">
        <v>3</v>
      </c>
      <c r="O119">
        <v>0</v>
      </c>
    </row>
    <row r="120" spans="1:15" x14ac:dyDescent="0.2">
      <c r="A120" t="s">
        <v>157</v>
      </c>
      <c r="B120" s="3">
        <v>40690</v>
      </c>
      <c r="C120">
        <v>11117</v>
      </c>
      <c r="D120" s="4" t="s">
        <v>29</v>
      </c>
      <c r="E120">
        <v>7</v>
      </c>
      <c r="F120">
        <v>5</v>
      </c>
      <c r="G120">
        <v>2011</v>
      </c>
      <c r="H120" s="4" t="s">
        <v>17</v>
      </c>
      <c r="I120" t="s">
        <v>17</v>
      </c>
      <c r="J120" t="s">
        <v>17</v>
      </c>
      <c r="K120" t="s">
        <v>17</v>
      </c>
      <c r="L120">
        <v>0</v>
      </c>
      <c r="M120">
        <v>6</v>
      </c>
      <c r="N120">
        <v>0</v>
      </c>
      <c r="O120">
        <v>0</v>
      </c>
    </row>
    <row r="121" spans="1:15" x14ac:dyDescent="0.2">
      <c r="A121" t="s">
        <v>158</v>
      </c>
      <c r="B121" s="3">
        <v>40691</v>
      </c>
      <c r="C121">
        <v>11118</v>
      </c>
      <c r="D121" s="4" t="s">
        <v>16</v>
      </c>
      <c r="E121">
        <v>1</v>
      </c>
      <c r="F121">
        <v>5</v>
      </c>
      <c r="G121">
        <v>2011</v>
      </c>
      <c r="H121" s="4" t="s">
        <v>17</v>
      </c>
      <c r="I121" t="s">
        <v>17</v>
      </c>
      <c r="J121" t="s">
        <v>17</v>
      </c>
      <c r="K121" t="s">
        <v>17</v>
      </c>
      <c r="L121">
        <v>0</v>
      </c>
      <c r="M121">
        <v>3</v>
      </c>
      <c r="N121">
        <v>0</v>
      </c>
      <c r="O121">
        <v>0</v>
      </c>
    </row>
    <row r="122" spans="1:15" x14ac:dyDescent="0.2">
      <c r="A122" t="s">
        <v>159</v>
      </c>
      <c r="B122" s="3">
        <v>40692</v>
      </c>
      <c r="C122">
        <v>11118</v>
      </c>
      <c r="D122" s="4" t="s">
        <v>19</v>
      </c>
      <c r="E122">
        <v>2</v>
      </c>
      <c r="F122">
        <v>5</v>
      </c>
      <c r="G122">
        <v>2011</v>
      </c>
      <c r="H122" s="4" t="s">
        <v>17</v>
      </c>
      <c r="I122" t="s">
        <v>17</v>
      </c>
      <c r="J122" t="s">
        <v>17</v>
      </c>
      <c r="K122" t="s">
        <v>17</v>
      </c>
      <c r="L122">
        <v>0</v>
      </c>
      <c r="M122">
        <v>1</v>
      </c>
      <c r="N122">
        <v>0</v>
      </c>
      <c r="O122">
        <v>1</v>
      </c>
    </row>
    <row r="123" spans="1:15" x14ac:dyDescent="0.2">
      <c r="A123" t="s">
        <v>160</v>
      </c>
      <c r="B123" s="3">
        <v>40693</v>
      </c>
      <c r="C123">
        <v>11118</v>
      </c>
      <c r="D123" s="4" t="s">
        <v>21</v>
      </c>
      <c r="E123">
        <v>3</v>
      </c>
      <c r="F123">
        <v>5</v>
      </c>
      <c r="G123">
        <v>2011</v>
      </c>
      <c r="H123" s="4" t="s">
        <v>161</v>
      </c>
      <c r="I123" t="s">
        <v>52</v>
      </c>
      <c r="J123" t="s">
        <v>17</v>
      </c>
      <c r="K123" t="s">
        <v>17</v>
      </c>
      <c r="L123">
        <v>0</v>
      </c>
      <c r="M123">
        <v>0</v>
      </c>
      <c r="N123">
        <v>0</v>
      </c>
      <c r="O123">
        <v>2</v>
      </c>
    </row>
    <row r="124" spans="1:15" x14ac:dyDescent="0.2">
      <c r="A124" t="s">
        <v>162</v>
      </c>
      <c r="B124" s="3">
        <v>40694</v>
      </c>
      <c r="C124">
        <v>11118</v>
      </c>
      <c r="D124" s="4" t="s">
        <v>23</v>
      </c>
      <c r="E124">
        <v>4</v>
      </c>
      <c r="F124">
        <v>5</v>
      </c>
      <c r="G124">
        <v>2011</v>
      </c>
      <c r="H124" s="4" t="s">
        <v>163</v>
      </c>
      <c r="I124" t="s">
        <v>33</v>
      </c>
      <c r="J124" t="s">
        <v>17</v>
      </c>
      <c r="K124" t="s">
        <v>17</v>
      </c>
      <c r="L124">
        <v>0</v>
      </c>
      <c r="M124">
        <v>1</v>
      </c>
      <c r="N124">
        <v>0</v>
      </c>
      <c r="O124">
        <v>0</v>
      </c>
    </row>
    <row r="125" spans="1:15" x14ac:dyDescent="0.2">
      <c r="A125" t="s">
        <v>164</v>
      </c>
      <c r="B125" s="3">
        <v>40695</v>
      </c>
      <c r="C125">
        <v>11118</v>
      </c>
      <c r="D125" s="4" t="s">
        <v>25</v>
      </c>
      <c r="E125">
        <v>5</v>
      </c>
      <c r="F125">
        <v>6</v>
      </c>
      <c r="G125">
        <v>2011</v>
      </c>
      <c r="H125" s="4" t="s">
        <v>17</v>
      </c>
      <c r="I125" t="s">
        <v>17</v>
      </c>
      <c r="J125" t="s">
        <v>17</v>
      </c>
      <c r="K125" t="s">
        <v>17</v>
      </c>
      <c r="L125">
        <v>1</v>
      </c>
      <c r="M125">
        <v>0</v>
      </c>
      <c r="N125">
        <v>1</v>
      </c>
      <c r="O125">
        <v>0</v>
      </c>
    </row>
    <row r="126" spans="1:15" x14ac:dyDescent="0.2">
      <c r="A126" t="s">
        <v>165</v>
      </c>
      <c r="B126" s="3">
        <v>40696</v>
      </c>
      <c r="C126">
        <v>11118</v>
      </c>
      <c r="D126" s="4" t="s">
        <v>27</v>
      </c>
      <c r="E126">
        <v>6</v>
      </c>
      <c r="F126">
        <v>6</v>
      </c>
      <c r="G126">
        <v>2011</v>
      </c>
      <c r="H126" s="4" t="s">
        <v>17</v>
      </c>
      <c r="I126" t="s">
        <v>17</v>
      </c>
      <c r="J126" t="s">
        <v>17</v>
      </c>
      <c r="K126" t="s">
        <v>17</v>
      </c>
      <c r="L126">
        <v>1</v>
      </c>
      <c r="M126">
        <v>2</v>
      </c>
      <c r="N126">
        <v>0</v>
      </c>
      <c r="O126">
        <v>3</v>
      </c>
    </row>
    <row r="127" spans="1:15" x14ac:dyDescent="0.2">
      <c r="A127" t="s">
        <v>166</v>
      </c>
      <c r="B127" s="3">
        <v>40697</v>
      </c>
      <c r="C127">
        <v>11118</v>
      </c>
      <c r="D127" s="4" t="s">
        <v>29</v>
      </c>
      <c r="E127">
        <v>7</v>
      </c>
      <c r="F127">
        <v>6</v>
      </c>
      <c r="G127">
        <v>2011</v>
      </c>
      <c r="H127" s="4" t="s">
        <v>17</v>
      </c>
      <c r="I127" t="s">
        <v>17</v>
      </c>
      <c r="J127" t="s">
        <v>17</v>
      </c>
      <c r="K127" t="s">
        <v>17</v>
      </c>
      <c r="L127">
        <v>1</v>
      </c>
      <c r="M127">
        <v>0</v>
      </c>
      <c r="N127">
        <v>2</v>
      </c>
      <c r="O127">
        <v>0</v>
      </c>
    </row>
    <row r="128" spans="1:15" x14ac:dyDescent="0.2">
      <c r="A128" t="s">
        <v>167</v>
      </c>
      <c r="B128" s="3">
        <v>40698</v>
      </c>
      <c r="C128">
        <v>11119</v>
      </c>
      <c r="D128" s="4" t="s">
        <v>16</v>
      </c>
      <c r="E128">
        <v>1</v>
      </c>
      <c r="F128">
        <v>6</v>
      </c>
      <c r="G128">
        <v>2011</v>
      </c>
      <c r="H128" s="4" t="s">
        <v>17</v>
      </c>
      <c r="I128" t="s">
        <v>17</v>
      </c>
      <c r="J128" t="s">
        <v>17</v>
      </c>
      <c r="K128" t="s">
        <v>17</v>
      </c>
      <c r="L128">
        <v>1</v>
      </c>
      <c r="M128">
        <v>0</v>
      </c>
      <c r="N128">
        <v>0</v>
      </c>
      <c r="O128">
        <v>1</v>
      </c>
    </row>
    <row r="129" spans="1:15" x14ac:dyDescent="0.2">
      <c r="A129" t="s">
        <v>168</v>
      </c>
      <c r="B129" s="3">
        <v>40699</v>
      </c>
      <c r="C129">
        <v>11119</v>
      </c>
      <c r="D129" s="4" t="s">
        <v>19</v>
      </c>
      <c r="E129">
        <v>2</v>
      </c>
      <c r="F129">
        <v>6</v>
      </c>
      <c r="G129">
        <v>2011</v>
      </c>
      <c r="H129" s="4" t="s">
        <v>17</v>
      </c>
      <c r="I129" t="s">
        <v>17</v>
      </c>
      <c r="J129" t="s">
        <v>17</v>
      </c>
      <c r="K129" t="s">
        <v>17</v>
      </c>
      <c r="L129">
        <v>1</v>
      </c>
      <c r="M129">
        <v>0</v>
      </c>
      <c r="N129">
        <v>0</v>
      </c>
      <c r="O129">
        <v>0</v>
      </c>
    </row>
    <row r="130" spans="1:15" x14ac:dyDescent="0.2">
      <c r="A130" t="s">
        <v>169</v>
      </c>
      <c r="B130" s="3">
        <v>40700</v>
      </c>
      <c r="C130">
        <v>11119</v>
      </c>
      <c r="D130" s="4" t="s">
        <v>21</v>
      </c>
      <c r="E130">
        <v>3</v>
      </c>
      <c r="F130">
        <v>6</v>
      </c>
      <c r="G130">
        <v>2011</v>
      </c>
      <c r="H130" s="4" t="s">
        <v>17</v>
      </c>
      <c r="I130" t="s">
        <v>17</v>
      </c>
      <c r="J130" t="s">
        <v>17</v>
      </c>
      <c r="K130" t="s">
        <v>17</v>
      </c>
      <c r="L130">
        <v>1</v>
      </c>
      <c r="M130">
        <v>0</v>
      </c>
      <c r="N130">
        <v>4</v>
      </c>
      <c r="O130">
        <v>4</v>
      </c>
    </row>
    <row r="131" spans="1:15" x14ac:dyDescent="0.2">
      <c r="A131" t="s">
        <v>170</v>
      </c>
      <c r="B131" s="3">
        <v>40701</v>
      </c>
      <c r="C131">
        <v>11119</v>
      </c>
      <c r="D131" s="4" t="s">
        <v>23</v>
      </c>
      <c r="E131">
        <v>4</v>
      </c>
      <c r="F131">
        <v>6</v>
      </c>
      <c r="G131">
        <v>2011</v>
      </c>
      <c r="H131" s="4" t="s">
        <v>17</v>
      </c>
      <c r="I131" t="s">
        <v>17</v>
      </c>
      <c r="J131" t="s">
        <v>17</v>
      </c>
      <c r="K131" t="s">
        <v>17</v>
      </c>
      <c r="L131">
        <v>1</v>
      </c>
      <c r="M131">
        <v>0</v>
      </c>
      <c r="N131">
        <v>2</v>
      </c>
      <c r="O131">
        <v>0</v>
      </c>
    </row>
    <row r="132" spans="1:15" x14ac:dyDescent="0.2">
      <c r="A132" t="s">
        <v>171</v>
      </c>
      <c r="B132" s="3">
        <v>40702</v>
      </c>
      <c r="C132">
        <v>11119</v>
      </c>
      <c r="D132" s="4" t="s">
        <v>25</v>
      </c>
      <c r="E132">
        <v>5</v>
      </c>
      <c r="F132">
        <v>6</v>
      </c>
      <c r="G132">
        <v>2011</v>
      </c>
      <c r="H132" s="4" t="s">
        <v>17</v>
      </c>
      <c r="I132" t="s">
        <v>17</v>
      </c>
      <c r="J132" t="s">
        <v>17</v>
      </c>
      <c r="K132" t="s">
        <v>17</v>
      </c>
      <c r="L132">
        <v>1</v>
      </c>
      <c r="M132">
        <v>1</v>
      </c>
      <c r="N132">
        <v>4</v>
      </c>
      <c r="O132">
        <v>0</v>
      </c>
    </row>
    <row r="133" spans="1:15" x14ac:dyDescent="0.2">
      <c r="A133" t="s">
        <v>172</v>
      </c>
      <c r="B133" s="3">
        <v>40703</v>
      </c>
      <c r="C133">
        <v>11119</v>
      </c>
      <c r="D133" s="4" t="s">
        <v>27</v>
      </c>
      <c r="E133">
        <v>6</v>
      </c>
      <c r="F133">
        <v>6</v>
      </c>
      <c r="G133">
        <v>2011</v>
      </c>
      <c r="H133" s="4" t="s">
        <v>17</v>
      </c>
      <c r="I133" t="s">
        <v>17</v>
      </c>
      <c r="J133" t="s">
        <v>17</v>
      </c>
      <c r="K133" t="s">
        <v>17</v>
      </c>
      <c r="L133">
        <v>1</v>
      </c>
      <c r="M133">
        <v>4</v>
      </c>
      <c r="N133">
        <v>0</v>
      </c>
      <c r="O133">
        <v>0</v>
      </c>
    </row>
    <row r="134" spans="1:15" x14ac:dyDescent="0.2">
      <c r="A134" t="s">
        <v>173</v>
      </c>
      <c r="B134" s="3">
        <v>40704</v>
      </c>
      <c r="C134">
        <v>11119</v>
      </c>
      <c r="D134" s="4" t="s">
        <v>29</v>
      </c>
      <c r="E134">
        <v>7</v>
      </c>
      <c r="F134">
        <v>6</v>
      </c>
      <c r="G134">
        <v>2011</v>
      </c>
      <c r="H134" s="4" t="s">
        <v>17</v>
      </c>
      <c r="I134" t="s">
        <v>17</v>
      </c>
      <c r="J134" t="s">
        <v>17</v>
      </c>
      <c r="K134" t="s">
        <v>17</v>
      </c>
      <c r="L134">
        <v>1</v>
      </c>
      <c r="M134">
        <v>0</v>
      </c>
      <c r="N134">
        <v>3</v>
      </c>
      <c r="O134">
        <v>0</v>
      </c>
    </row>
    <row r="135" spans="1:15" x14ac:dyDescent="0.2">
      <c r="A135" t="s">
        <v>174</v>
      </c>
      <c r="B135" s="3">
        <v>40705</v>
      </c>
      <c r="C135">
        <v>11120</v>
      </c>
      <c r="D135" s="4" t="s">
        <v>16</v>
      </c>
      <c r="E135">
        <v>1</v>
      </c>
      <c r="F135">
        <v>6</v>
      </c>
      <c r="G135">
        <v>2011</v>
      </c>
      <c r="H135" s="4" t="s">
        <v>17</v>
      </c>
      <c r="I135" t="s">
        <v>17</v>
      </c>
      <c r="J135" t="s">
        <v>17</v>
      </c>
      <c r="K135" t="s">
        <v>17</v>
      </c>
      <c r="L135">
        <v>0</v>
      </c>
      <c r="M135">
        <v>0</v>
      </c>
      <c r="N135">
        <v>1</v>
      </c>
      <c r="O135">
        <v>6</v>
      </c>
    </row>
    <row r="136" spans="1:15" x14ac:dyDescent="0.2">
      <c r="A136" t="s">
        <v>175</v>
      </c>
      <c r="B136" s="3">
        <v>40706</v>
      </c>
      <c r="C136">
        <v>11120</v>
      </c>
      <c r="D136" s="4" t="s">
        <v>19</v>
      </c>
      <c r="E136">
        <v>2</v>
      </c>
      <c r="F136">
        <v>6</v>
      </c>
      <c r="G136">
        <v>2011</v>
      </c>
      <c r="H136" s="4" t="s">
        <v>176</v>
      </c>
      <c r="I136" t="s">
        <v>33</v>
      </c>
      <c r="J136" t="s">
        <v>17</v>
      </c>
      <c r="K136" t="s">
        <v>17</v>
      </c>
      <c r="L136">
        <v>0</v>
      </c>
      <c r="M136">
        <v>3</v>
      </c>
      <c r="N136">
        <v>1</v>
      </c>
      <c r="O136">
        <v>4</v>
      </c>
    </row>
    <row r="137" spans="1:15" x14ac:dyDescent="0.2">
      <c r="A137" t="s">
        <v>177</v>
      </c>
      <c r="B137" s="3">
        <v>40707</v>
      </c>
      <c r="C137">
        <v>11120</v>
      </c>
      <c r="D137" s="4" t="s">
        <v>21</v>
      </c>
      <c r="E137">
        <v>3</v>
      </c>
      <c r="F137">
        <v>6</v>
      </c>
      <c r="G137">
        <v>2011</v>
      </c>
      <c r="H137" s="4" t="s">
        <v>17</v>
      </c>
      <c r="I137" t="s">
        <v>17</v>
      </c>
      <c r="J137" t="s">
        <v>17</v>
      </c>
      <c r="K137" t="s">
        <v>17</v>
      </c>
      <c r="L137">
        <v>0</v>
      </c>
      <c r="M137">
        <v>0</v>
      </c>
      <c r="N137">
        <v>1</v>
      </c>
      <c r="O137">
        <v>0</v>
      </c>
    </row>
    <row r="138" spans="1:15" x14ac:dyDescent="0.2">
      <c r="A138" t="s">
        <v>178</v>
      </c>
      <c r="B138" s="3">
        <v>40708</v>
      </c>
      <c r="C138">
        <v>11120</v>
      </c>
      <c r="D138" s="4" t="s">
        <v>23</v>
      </c>
      <c r="E138">
        <v>4</v>
      </c>
      <c r="F138">
        <v>6</v>
      </c>
      <c r="G138">
        <v>2011</v>
      </c>
      <c r="H138" s="4" t="s">
        <v>17</v>
      </c>
      <c r="I138" t="s">
        <v>17</v>
      </c>
      <c r="J138" t="s">
        <v>17</v>
      </c>
      <c r="K138" t="s">
        <v>17</v>
      </c>
      <c r="L138">
        <v>0</v>
      </c>
      <c r="M138">
        <v>1</v>
      </c>
      <c r="N138">
        <v>2</v>
      </c>
      <c r="O138">
        <v>0</v>
      </c>
    </row>
    <row r="139" spans="1:15" x14ac:dyDescent="0.2">
      <c r="A139" t="s">
        <v>179</v>
      </c>
      <c r="B139" s="3">
        <v>40709</v>
      </c>
      <c r="C139">
        <v>11120</v>
      </c>
      <c r="D139" s="4" t="s">
        <v>25</v>
      </c>
      <c r="E139">
        <v>5</v>
      </c>
      <c r="F139">
        <v>6</v>
      </c>
      <c r="G139">
        <v>2011</v>
      </c>
      <c r="H139" s="4" t="s">
        <v>17</v>
      </c>
      <c r="I139" t="s">
        <v>17</v>
      </c>
      <c r="J139" t="s">
        <v>17</v>
      </c>
      <c r="K139" t="s">
        <v>17</v>
      </c>
      <c r="L139">
        <v>0</v>
      </c>
      <c r="M139">
        <v>1</v>
      </c>
      <c r="N139">
        <v>2</v>
      </c>
      <c r="O139">
        <v>0</v>
      </c>
    </row>
    <row r="140" spans="1:15" x14ac:dyDescent="0.2">
      <c r="A140" t="s">
        <v>180</v>
      </c>
      <c r="B140" s="3">
        <v>40710</v>
      </c>
      <c r="C140">
        <v>11120</v>
      </c>
      <c r="D140" s="4" t="s">
        <v>27</v>
      </c>
      <c r="E140">
        <v>6</v>
      </c>
      <c r="F140">
        <v>6</v>
      </c>
      <c r="G140">
        <v>2011</v>
      </c>
      <c r="H140" s="4" t="s">
        <v>17</v>
      </c>
      <c r="I140" t="s">
        <v>17</v>
      </c>
      <c r="J140" t="s">
        <v>17</v>
      </c>
      <c r="K140" t="s">
        <v>17</v>
      </c>
      <c r="L140">
        <v>0</v>
      </c>
      <c r="M140">
        <v>0</v>
      </c>
      <c r="N140">
        <v>1</v>
      </c>
      <c r="O140">
        <v>1</v>
      </c>
    </row>
    <row r="141" spans="1:15" x14ac:dyDescent="0.2">
      <c r="A141" t="s">
        <v>181</v>
      </c>
      <c r="B141" s="3">
        <v>40711</v>
      </c>
      <c r="C141">
        <v>11120</v>
      </c>
      <c r="D141" s="4" t="s">
        <v>29</v>
      </c>
      <c r="E141">
        <v>7</v>
      </c>
      <c r="F141">
        <v>6</v>
      </c>
      <c r="G141">
        <v>2011</v>
      </c>
      <c r="H141" s="4" t="s">
        <v>17</v>
      </c>
      <c r="I141" t="s">
        <v>17</v>
      </c>
      <c r="J141" t="s">
        <v>17</v>
      </c>
      <c r="K141" t="s">
        <v>17</v>
      </c>
      <c r="L141">
        <v>0</v>
      </c>
      <c r="M141">
        <v>2</v>
      </c>
      <c r="N141">
        <v>0</v>
      </c>
      <c r="O141">
        <v>1</v>
      </c>
    </row>
    <row r="142" spans="1:15" x14ac:dyDescent="0.2">
      <c r="A142" t="s">
        <v>182</v>
      </c>
      <c r="B142" s="3">
        <v>40712</v>
      </c>
      <c r="C142">
        <v>11121</v>
      </c>
      <c r="D142" s="4" t="s">
        <v>16</v>
      </c>
      <c r="E142">
        <v>1</v>
      </c>
      <c r="F142">
        <v>6</v>
      </c>
      <c r="G142">
        <v>2011</v>
      </c>
      <c r="H142" s="4" t="s">
        <v>17</v>
      </c>
      <c r="I142" t="s">
        <v>17</v>
      </c>
      <c r="J142" t="s">
        <v>17</v>
      </c>
      <c r="K142" t="s">
        <v>17</v>
      </c>
      <c r="L142">
        <v>0</v>
      </c>
      <c r="M142">
        <v>3</v>
      </c>
      <c r="N142">
        <v>2</v>
      </c>
      <c r="O142">
        <v>0</v>
      </c>
    </row>
    <row r="143" spans="1:15" x14ac:dyDescent="0.2">
      <c r="A143" t="s">
        <v>183</v>
      </c>
      <c r="B143" s="3">
        <v>40713</v>
      </c>
      <c r="C143">
        <v>11121</v>
      </c>
      <c r="D143" s="4" t="s">
        <v>19</v>
      </c>
      <c r="E143">
        <v>2</v>
      </c>
      <c r="F143">
        <v>6</v>
      </c>
      <c r="G143">
        <v>2011</v>
      </c>
      <c r="H143" s="4" t="s">
        <v>184</v>
      </c>
      <c r="I143" t="s">
        <v>43</v>
      </c>
      <c r="J143" t="s">
        <v>17</v>
      </c>
      <c r="K143" t="s">
        <v>17</v>
      </c>
      <c r="L143">
        <v>0</v>
      </c>
      <c r="M143">
        <v>2</v>
      </c>
      <c r="N143">
        <v>3</v>
      </c>
      <c r="O143">
        <v>1</v>
      </c>
    </row>
    <row r="144" spans="1:15" x14ac:dyDescent="0.2">
      <c r="A144" t="s">
        <v>185</v>
      </c>
      <c r="B144" s="3">
        <v>40714</v>
      </c>
      <c r="C144">
        <v>11121</v>
      </c>
      <c r="D144" s="4" t="s">
        <v>21</v>
      </c>
      <c r="E144">
        <v>3</v>
      </c>
      <c r="F144">
        <v>6</v>
      </c>
      <c r="G144">
        <v>2011</v>
      </c>
      <c r="H144" s="4" t="s">
        <v>17</v>
      </c>
      <c r="I144" t="s">
        <v>17</v>
      </c>
      <c r="J144" t="s">
        <v>17</v>
      </c>
      <c r="K144" t="s">
        <v>17</v>
      </c>
      <c r="L144">
        <v>0</v>
      </c>
      <c r="M144">
        <v>3</v>
      </c>
      <c r="N144">
        <v>1</v>
      </c>
      <c r="O144">
        <v>0</v>
      </c>
    </row>
    <row r="145" spans="1:15" x14ac:dyDescent="0.2">
      <c r="A145" t="s">
        <v>186</v>
      </c>
      <c r="B145" s="3">
        <v>40715</v>
      </c>
      <c r="C145">
        <v>11121</v>
      </c>
      <c r="D145" s="4" t="s">
        <v>23</v>
      </c>
      <c r="E145">
        <v>4</v>
      </c>
      <c r="F145">
        <v>6</v>
      </c>
      <c r="G145">
        <v>2011</v>
      </c>
      <c r="H145" s="4" t="s">
        <v>17</v>
      </c>
      <c r="I145" t="s">
        <v>17</v>
      </c>
      <c r="J145" t="s">
        <v>17</v>
      </c>
      <c r="K145" t="s">
        <v>17</v>
      </c>
      <c r="L145">
        <v>0</v>
      </c>
      <c r="M145">
        <v>1</v>
      </c>
      <c r="N145">
        <v>2</v>
      </c>
      <c r="O145">
        <v>0</v>
      </c>
    </row>
    <row r="146" spans="1:15" x14ac:dyDescent="0.2">
      <c r="A146" t="s">
        <v>187</v>
      </c>
      <c r="B146" s="3">
        <v>40716</v>
      </c>
      <c r="C146">
        <v>11121</v>
      </c>
      <c r="D146" s="4" t="s">
        <v>25</v>
      </c>
      <c r="E146">
        <v>5</v>
      </c>
      <c r="F146">
        <v>6</v>
      </c>
      <c r="G146">
        <v>2011</v>
      </c>
      <c r="H146" s="4" t="s">
        <v>17</v>
      </c>
      <c r="I146" t="s">
        <v>17</v>
      </c>
      <c r="J146" t="s">
        <v>17</v>
      </c>
      <c r="K146" t="s">
        <v>17</v>
      </c>
      <c r="L146">
        <v>0</v>
      </c>
      <c r="M146">
        <v>1</v>
      </c>
      <c r="N146">
        <v>0</v>
      </c>
      <c r="O146">
        <v>1</v>
      </c>
    </row>
    <row r="147" spans="1:15" x14ac:dyDescent="0.2">
      <c r="A147" t="s">
        <v>188</v>
      </c>
      <c r="B147" s="3">
        <v>40717</v>
      </c>
      <c r="C147">
        <v>11121</v>
      </c>
      <c r="D147" s="4" t="s">
        <v>27</v>
      </c>
      <c r="E147">
        <v>6</v>
      </c>
      <c r="F147">
        <v>6</v>
      </c>
      <c r="G147">
        <v>2011</v>
      </c>
      <c r="H147" s="4" t="s">
        <v>17</v>
      </c>
      <c r="I147" t="s">
        <v>17</v>
      </c>
      <c r="J147" t="s">
        <v>17</v>
      </c>
      <c r="K147" t="s">
        <v>17</v>
      </c>
      <c r="L147">
        <v>0</v>
      </c>
      <c r="M147">
        <v>0</v>
      </c>
      <c r="N147">
        <v>2</v>
      </c>
      <c r="O147">
        <v>2</v>
      </c>
    </row>
    <row r="148" spans="1:15" x14ac:dyDescent="0.2">
      <c r="A148" t="s">
        <v>189</v>
      </c>
      <c r="B148" s="3">
        <v>40718</v>
      </c>
      <c r="C148">
        <v>11121</v>
      </c>
      <c r="D148" s="4" t="s">
        <v>29</v>
      </c>
      <c r="E148">
        <v>7</v>
      </c>
      <c r="F148">
        <v>6</v>
      </c>
      <c r="G148">
        <v>2011</v>
      </c>
      <c r="H148" s="4" t="s">
        <v>17</v>
      </c>
      <c r="I148" t="s">
        <v>17</v>
      </c>
      <c r="J148" t="s">
        <v>17</v>
      </c>
      <c r="K148" t="s">
        <v>17</v>
      </c>
      <c r="L148">
        <v>0</v>
      </c>
      <c r="M148">
        <v>2</v>
      </c>
      <c r="N148">
        <v>2</v>
      </c>
      <c r="O148">
        <v>2</v>
      </c>
    </row>
    <row r="149" spans="1:15" x14ac:dyDescent="0.2">
      <c r="A149" t="s">
        <v>190</v>
      </c>
      <c r="B149" s="3">
        <v>40719</v>
      </c>
      <c r="C149">
        <v>11122</v>
      </c>
      <c r="D149" s="4" t="s">
        <v>16</v>
      </c>
      <c r="E149">
        <v>1</v>
      </c>
      <c r="F149">
        <v>6</v>
      </c>
      <c r="G149">
        <v>2011</v>
      </c>
      <c r="H149" s="4" t="s">
        <v>17</v>
      </c>
      <c r="I149" t="s">
        <v>17</v>
      </c>
      <c r="J149" t="s">
        <v>17</v>
      </c>
      <c r="K149" t="s">
        <v>17</v>
      </c>
      <c r="L149">
        <v>0</v>
      </c>
      <c r="M149">
        <v>1</v>
      </c>
      <c r="N149">
        <v>1</v>
      </c>
      <c r="O149">
        <v>1</v>
      </c>
    </row>
    <row r="150" spans="1:15" x14ac:dyDescent="0.2">
      <c r="A150" t="s">
        <v>191</v>
      </c>
      <c r="B150" s="3">
        <v>40720</v>
      </c>
      <c r="C150">
        <v>11122</v>
      </c>
      <c r="D150" s="4" t="s">
        <v>19</v>
      </c>
      <c r="E150">
        <v>2</v>
      </c>
      <c r="F150">
        <v>6</v>
      </c>
      <c r="G150">
        <v>2011</v>
      </c>
      <c r="H150" s="4" t="s">
        <v>17</v>
      </c>
      <c r="I150" t="s">
        <v>17</v>
      </c>
      <c r="J150" t="s">
        <v>17</v>
      </c>
      <c r="K150" t="s">
        <v>17</v>
      </c>
      <c r="L150">
        <v>0</v>
      </c>
      <c r="M150">
        <v>0</v>
      </c>
      <c r="N150">
        <v>0</v>
      </c>
      <c r="O150">
        <v>0</v>
      </c>
    </row>
    <row r="151" spans="1:15" x14ac:dyDescent="0.2">
      <c r="A151" t="s">
        <v>192</v>
      </c>
      <c r="B151" s="3">
        <v>40721</v>
      </c>
      <c r="C151">
        <v>11122</v>
      </c>
      <c r="D151" s="4" t="s">
        <v>21</v>
      </c>
      <c r="E151">
        <v>3</v>
      </c>
      <c r="F151">
        <v>6</v>
      </c>
      <c r="G151">
        <v>2011</v>
      </c>
      <c r="H151" s="4" t="s">
        <v>17</v>
      </c>
      <c r="I151" t="s">
        <v>17</v>
      </c>
      <c r="J151" t="s">
        <v>17</v>
      </c>
      <c r="K151" t="s">
        <v>17</v>
      </c>
      <c r="L151">
        <v>0</v>
      </c>
      <c r="M151">
        <v>1</v>
      </c>
      <c r="N151">
        <v>2</v>
      </c>
      <c r="O151">
        <v>0</v>
      </c>
    </row>
    <row r="152" spans="1:15" x14ac:dyDescent="0.2">
      <c r="A152" t="s">
        <v>193</v>
      </c>
      <c r="B152" s="3">
        <v>40722</v>
      </c>
      <c r="C152">
        <v>11122</v>
      </c>
      <c r="D152" s="4" t="s">
        <v>23</v>
      </c>
      <c r="E152">
        <v>4</v>
      </c>
      <c r="F152">
        <v>6</v>
      </c>
      <c r="G152">
        <v>2011</v>
      </c>
      <c r="H152" s="4" t="s">
        <v>17</v>
      </c>
      <c r="I152" t="s">
        <v>17</v>
      </c>
      <c r="J152" t="s">
        <v>17</v>
      </c>
      <c r="K152" t="s">
        <v>17</v>
      </c>
      <c r="L152">
        <v>0</v>
      </c>
      <c r="M152">
        <v>0</v>
      </c>
      <c r="N152">
        <v>1</v>
      </c>
      <c r="O152">
        <v>1</v>
      </c>
    </row>
    <row r="153" spans="1:15" x14ac:dyDescent="0.2">
      <c r="A153" t="s">
        <v>194</v>
      </c>
      <c r="B153" s="3">
        <v>40723</v>
      </c>
      <c r="C153">
        <v>11122</v>
      </c>
      <c r="D153" s="4" t="s">
        <v>25</v>
      </c>
      <c r="E153">
        <v>5</v>
      </c>
      <c r="F153">
        <v>6</v>
      </c>
      <c r="G153">
        <v>2011</v>
      </c>
      <c r="H153" s="4" t="s">
        <v>17</v>
      </c>
      <c r="I153" t="s">
        <v>17</v>
      </c>
      <c r="J153" t="s">
        <v>17</v>
      </c>
      <c r="K153" t="s">
        <v>17</v>
      </c>
      <c r="L153">
        <v>0</v>
      </c>
      <c r="M153">
        <v>0</v>
      </c>
      <c r="N153">
        <v>1</v>
      </c>
      <c r="O153">
        <v>0</v>
      </c>
    </row>
    <row r="154" spans="1:15" x14ac:dyDescent="0.2">
      <c r="A154" t="s">
        <v>195</v>
      </c>
      <c r="B154" s="3">
        <v>40724</v>
      </c>
      <c r="C154">
        <v>11122</v>
      </c>
      <c r="D154" s="4" t="s">
        <v>27</v>
      </c>
      <c r="E154">
        <v>6</v>
      </c>
      <c r="F154">
        <v>6</v>
      </c>
      <c r="G154">
        <v>2011</v>
      </c>
      <c r="H154" s="4" t="s">
        <v>17</v>
      </c>
      <c r="I154" t="s">
        <v>17</v>
      </c>
      <c r="J154" t="s">
        <v>17</v>
      </c>
      <c r="K154" t="s">
        <v>17</v>
      </c>
      <c r="L154">
        <v>0</v>
      </c>
      <c r="M154">
        <v>0</v>
      </c>
      <c r="N154">
        <v>0</v>
      </c>
      <c r="O154">
        <v>4</v>
      </c>
    </row>
    <row r="155" spans="1:15" x14ac:dyDescent="0.2">
      <c r="A155" t="s">
        <v>196</v>
      </c>
      <c r="B155" s="3">
        <v>40725</v>
      </c>
      <c r="C155">
        <v>11122</v>
      </c>
      <c r="D155" s="4" t="s">
        <v>29</v>
      </c>
      <c r="E155">
        <v>7</v>
      </c>
      <c r="F155">
        <v>7</v>
      </c>
      <c r="G155">
        <v>2011</v>
      </c>
      <c r="H155" s="4" t="s">
        <v>17</v>
      </c>
      <c r="I155" t="s">
        <v>17</v>
      </c>
      <c r="J155" t="s">
        <v>17</v>
      </c>
      <c r="K155" t="s">
        <v>17</v>
      </c>
      <c r="L155">
        <v>1</v>
      </c>
      <c r="M155">
        <v>0</v>
      </c>
      <c r="N155">
        <v>0</v>
      </c>
      <c r="O155">
        <v>0</v>
      </c>
    </row>
    <row r="156" spans="1:15" x14ac:dyDescent="0.2">
      <c r="A156" t="s">
        <v>197</v>
      </c>
      <c r="B156" s="3">
        <v>40726</v>
      </c>
      <c r="C156">
        <v>11123</v>
      </c>
      <c r="D156" s="4" t="s">
        <v>16</v>
      </c>
      <c r="E156">
        <v>1</v>
      </c>
      <c r="F156">
        <v>7</v>
      </c>
      <c r="G156">
        <v>2011</v>
      </c>
      <c r="H156" s="4" t="s">
        <v>17</v>
      </c>
      <c r="I156" t="s">
        <v>17</v>
      </c>
      <c r="J156" t="s">
        <v>17</v>
      </c>
      <c r="K156" t="s">
        <v>17</v>
      </c>
      <c r="L156">
        <v>1</v>
      </c>
      <c r="M156">
        <v>3</v>
      </c>
      <c r="N156">
        <v>1</v>
      </c>
      <c r="O156">
        <v>0</v>
      </c>
    </row>
    <row r="157" spans="1:15" x14ac:dyDescent="0.2">
      <c r="A157" t="s">
        <v>198</v>
      </c>
      <c r="B157" s="3">
        <v>40727</v>
      </c>
      <c r="C157">
        <v>11123</v>
      </c>
      <c r="D157" s="4" t="s">
        <v>19</v>
      </c>
      <c r="E157">
        <v>2</v>
      </c>
      <c r="F157">
        <v>7</v>
      </c>
      <c r="G157">
        <v>2011</v>
      </c>
      <c r="H157" s="4" t="s">
        <v>17</v>
      </c>
      <c r="I157" t="s">
        <v>17</v>
      </c>
      <c r="J157" t="s">
        <v>17</v>
      </c>
      <c r="K157" t="s">
        <v>17</v>
      </c>
      <c r="L157">
        <v>1</v>
      </c>
      <c r="M157">
        <v>0</v>
      </c>
      <c r="N157">
        <v>0</v>
      </c>
      <c r="O157">
        <v>0</v>
      </c>
    </row>
    <row r="158" spans="1:15" x14ac:dyDescent="0.2">
      <c r="A158" t="s">
        <v>199</v>
      </c>
      <c r="B158" s="3">
        <v>40728</v>
      </c>
      <c r="C158">
        <v>11123</v>
      </c>
      <c r="D158" s="4" t="s">
        <v>21</v>
      </c>
      <c r="E158">
        <v>3</v>
      </c>
      <c r="F158">
        <v>7</v>
      </c>
      <c r="G158">
        <v>2011</v>
      </c>
      <c r="H158" s="4" t="s">
        <v>200</v>
      </c>
      <c r="I158" t="s">
        <v>52</v>
      </c>
      <c r="J158" t="s">
        <v>17</v>
      </c>
      <c r="K158" t="s">
        <v>17</v>
      </c>
      <c r="L158">
        <v>1</v>
      </c>
      <c r="M158">
        <v>1</v>
      </c>
      <c r="N158">
        <v>0</v>
      </c>
      <c r="O158">
        <v>0</v>
      </c>
    </row>
    <row r="159" spans="1:15" x14ac:dyDescent="0.2">
      <c r="A159" t="s">
        <v>201</v>
      </c>
      <c r="B159" s="3">
        <v>40729</v>
      </c>
      <c r="C159">
        <v>11123</v>
      </c>
      <c r="D159" s="4" t="s">
        <v>23</v>
      </c>
      <c r="E159">
        <v>4</v>
      </c>
      <c r="F159">
        <v>7</v>
      </c>
      <c r="G159">
        <v>2011</v>
      </c>
      <c r="H159" s="4" t="s">
        <v>17</v>
      </c>
      <c r="I159" t="s">
        <v>17</v>
      </c>
      <c r="J159" t="s">
        <v>17</v>
      </c>
      <c r="K159" t="s">
        <v>17</v>
      </c>
      <c r="L159">
        <v>1</v>
      </c>
      <c r="M159">
        <v>0</v>
      </c>
      <c r="N159">
        <v>0</v>
      </c>
      <c r="O159">
        <v>0</v>
      </c>
    </row>
    <row r="160" spans="1:15" x14ac:dyDescent="0.2">
      <c r="A160" t="s">
        <v>202</v>
      </c>
      <c r="B160" s="3">
        <v>40730</v>
      </c>
      <c r="C160">
        <v>11123</v>
      </c>
      <c r="D160" s="4" t="s">
        <v>25</v>
      </c>
      <c r="E160">
        <v>5</v>
      </c>
      <c r="F160">
        <v>7</v>
      </c>
      <c r="G160">
        <v>2011</v>
      </c>
      <c r="H160" s="4" t="s">
        <v>17</v>
      </c>
      <c r="I160" t="s">
        <v>17</v>
      </c>
      <c r="J160" t="s">
        <v>17</v>
      </c>
      <c r="K160" t="s">
        <v>17</v>
      </c>
      <c r="L160">
        <v>1</v>
      </c>
      <c r="M160">
        <v>1</v>
      </c>
      <c r="N160">
        <v>0</v>
      </c>
      <c r="O160">
        <v>1</v>
      </c>
    </row>
    <row r="161" spans="1:15" x14ac:dyDescent="0.2">
      <c r="A161" t="s">
        <v>203</v>
      </c>
      <c r="B161" s="3">
        <v>40731</v>
      </c>
      <c r="C161">
        <v>11123</v>
      </c>
      <c r="D161" s="4" t="s">
        <v>27</v>
      </c>
      <c r="E161">
        <v>6</v>
      </c>
      <c r="F161">
        <v>7</v>
      </c>
      <c r="G161">
        <v>2011</v>
      </c>
      <c r="H161" s="4" t="s">
        <v>17</v>
      </c>
      <c r="I161" t="s">
        <v>17</v>
      </c>
      <c r="J161" t="s">
        <v>17</v>
      </c>
      <c r="K161" t="s">
        <v>17</v>
      </c>
      <c r="L161">
        <v>1</v>
      </c>
      <c r="M161">
        <v>0</v>
      </c>
      <c r="N161">
        <v>0</v>
      </c>
      <c r="O161">
        <v>0</v>
      </c>
    </row>
    <row r="162" spans="1:15" x14ac:dyDescent="0.2">
      <c r="A162" t="s">
        <v>204</v>
      </c>
      <c r="B162" s="3">
        <v>40732</v>
      </c>
      <c r="C162">
        <v>11123</v>
      </c>
      <c r="D162" s="4" t="s">
        <v>29</v>
      </c>
      <c r="E162">
        <v>7</v>
      </c>
      <c r="F162">
        <v>7</v>
      </c>
      <c r="G162">
        <v>2011</v>
      </c>
      <c r="H162" s="4" t="s">
        <v>17</v>
      </c>
      <c r="I162" t="s">
        <v>17</v>
      </c>
      <c r="J162" t="s">
        <v>17</v>
      </c>
      <c r="K162" t="s">
        <v>17</v>
      </c>
      <c r="L162">
        <v>1</v>
      </c>
      <c r="M162">
        <v>1</v>
      </c>
      <c r="N162">
        <v>0</v>
      </c>
      <c r="O162">
        <v>0</v>
      </c>
    </row>
    <row r="163" spans="1:15" x14ac:dyDescent="0.2">
      <c r="A163" t="s">
        <v>205</v>
      </c>
      <c r="B163" s="3">
        <v>40733</v>
      </c>
      <c r="C163">
        <v>11124</v>
      </c>
      <c r="D163" s="4" t="s">
        <v>16</v>
      </c>
      <c r="E163">
        <v>1</v>
      </c>
      <c r="F163">
        <v>7</v>
      </c>
      <c r="G163">
        <v>2011</v>
      </c>
      <c r="H163" s="4" t="s">
        <v>17</v>
      </c>
      <c r="I163" t="s">
        <v>17</v>
      </c>
      <c r="J163" t="s">
        <v>17</v>
      </c>
      <c r="K163" t="s">
        <v>17</v>
      </c>
      <c r="L163">
        <v>1</v>
      </c>
      <c r="M163">
        <v>2</v>
      </c>
      <c r="N163">
        <v>2</v>
      </c>
      <c r="O163">
        <v>0</v>
      </c>
    </row>
    <row r="164" spans="1:15" x14ac:dyDescent="0.2">
      <c r="A164" t="s">
        <v>206</v>
      </c>
      <c r="B164" s="3">
        <v>40734</v>
      </c>
      <c r="C164">
        <v>11124</v>
      </c>
      <c r="D164" s="4" t="s">
        <v>19</v>
      </c>
      <c r="E164">
        <v>2</v>
      </c>
      <c r="F164">
        <v>7</v>
      </c>
      <c r="G164">
        <v>2011</v>
      </c>
      <c r="H164" s="4" t="s">
        <v>17</v>
      </c>
      <c r="I164" t="s">
        <v>17</v>
      </c>
      <c r="J164" t="s">
        <v>17</v>
      </c>
      <c r="K164" t="s">
        <v>17</v>
      </c>
      <c r="L164">
        <v>1</v>
      </c>
      <c r="M164">
        <v>0</v>
      </c>
      <c r="N164">
        <v>2</v>
      </c>
      <c r="O164">
        <v>1</v>
      </c>
    </row>
    <row r="165" spans="1:15" x14ac:dyDescent="0.2">
      <c r="A165" t="s">
        <v>207</v>
      </c>
      <c r="B165" s="3">
        <v>40735</v>
      </c>
      <c r="C165">
        <v>11124</v>
      </c>
      <c r="D165" s="4" t="s">
        <v>21</v>
      </c>
      <c r="E165">
        <v>3</v>
      </c>
      <c r="F165">
        <v>7</v>
      </c>
      <c r="G165">
        <v>2011</v>
      </c>
      <c r="H165" s="4" t="s">
        <v>17</v>
      </c>
      <c r="I165" t="s">
        <v>17</v>
      </c>
      <c r="J165" t="s">
        <v>17</v>
      </c>
      <c r="K165" t="s">
        <v>17</v>
      </c>
      <c r="L165">
        <v>0</v>
      </c>
      <c r="M165">
        <v>0</v>
      </c>
      <c r="N165">
        <v>1</v>
      </c>
      <c r="O165">
        <v>0</v>
      </c>
    </row>
    <row r="166" spans="1:15" x14ac:dyDescent="0.2">
      <c r="A166" t="s">
        <v>208</v>
      </c>
      <c r="B166" s="3">
        <v>40736</v>
      </c>
      <c r="C166">
        <v>11124</v>
      </c>
      <c r="D166" s="4" t="s">
        <v>23</v>
      </c>
      <c r="E166">
        <v>4</v>
      </c>
      <c r="F166">
        <v>7</v>
      </c>
      <c r="G166">
        <v>2011</v>
      </c>
      <c r="H166" s="4" t="s">
        <v>17</v>
      </c>
      <c r="I166" t="s">
        <v>17</v>
      </c>
      <c r="J166" t="s">
        <v>17</v>
      </c>
      <c r="K166" t="s">
        <v>17</v>
      </c>
      <c r="L166">
        <v>0</v>
      </c>
      <c r="M166">
        <v>4</v>
      </c>
      <c r="N166">
        <v>1</v>
      </c>
      <c r="O166">
        <v>0</v>
      </c>
    </row>
    <row r="167" spans="1:15" x14ac:dyDescent="0.2">
      <c r="A167" t="s">
        <v>209</v>
      </c>
      <c r="B167" s="3">
        <v>40737</v>
      </c>
      <c r="C167">
        <v>11124</v>
      </c>
      <c r="D167" s="4" t="s">
        <v>25</v>
      </c>
      <c r="E167">
        <v>5</v>
      </c>
      <c r="F167">
        <v>7</v>
      </c>
      <c r="G167">
        <v>2011</v>
      </c>
      <c r="H167" s="4" t="s">
        <v>17</v>
      </c>
      <c r="I167" t="s">
        <v>17</v>
      </c>
      <c r="J167" t="s">
        <v>17</v>
      </c>
      <c r="K167" t="s">
        <v>17</v>
      </c>
      <c r="L167">
        <v>0</v>
      </c>
      <c r="M167">
        <v>0</v>
      </c>
      <c r="N167">
        <v>1</v>
      </c>
      <c r="O167">
        <v>1</v>
      </c>
    </row>
    <row r="168" spans="1:15" x14ac:dyDescent="0.2">
      <c r="A168" t="s">
        <v>210</v>
      </c>
      <c r="B168" s="3">
        <v>40738</v>
      </c>
      <c r="C168">
        <v>11124</v>
      </c>
      <c r="D168" s="4" t="s">
        <v>27</v>
      </c>
      <c r="E168">
        <v>6</v>
      </c>
      <c r="F168">
        <v>7</v>
      </c>
      <c r="G168">
        <v>2011</v>
      </c>
      <c r="H168" s="4" t="s">
        <v>17</v>
      </c>
      <c r="I168" t="s">
        <v>17</v>
      </c>
      <c r="J168" t="s">
        <v>17</v>
      </c>
      <c r="K168" t="s">
        <v>17</v>
      </c>
      <c r="L168">
        <v>0</v>
      </c>
      <c r="M168">
        <v>1</v>
      </c>
      <c r="N168">
        <v>4</v>
      </c>
      <c r="O168">
        <v>0</v>
      </c>
    </row>
    <row r="169" spans="1:15" x14ac:dyDescent="0.2">
      <c r="A169" t="s">
        <v>211</v>
      </c>
      <c r="B169" s="3">
        <v>40739</v>
      </c>
      <c r="C169">
        <v>11124</v>
      </c>
      <c r="D169" s="4" t="s">
        <v>29</v>
      </c>
      <c r="E169">
        <v>7</v>
      </c>
      <c r="F169">
        <v>7</v>
      </c>
      <c r="G169">
        <v>2011</v>
      </c>
      <c r="H169" s="4" t="s">
        <v>17</v>
      </c>
      <c r="I169" t="s">
        <v>17</v>
      </c>
      <c r="J169" t="s">
        <v>17</v>
      </c>
      <c r="K169" t="s">
        <v>17</v>
      </c>
      <c r="L169">
        <v>0</v>
      </c>
      <c r="M169">
        <v>1</v>
      </c>
      <c r="N169">
        <v>0</v>
      </c>
      <c r="O169">
        <v>0</v>
      </c>
    </row>
    <row r="170" spans="1:15" x14ac:dyDescent="0.2">
      <c r="A170" t="s">
        <v>212</v>
      </c>
      <c r="B170" s="3">
        <v>40740</v>
      </c>
      <c r="C170">
        <v>11125</v>
      </c>
      <c r="D170" s="4" t="s">
        <v>16</v>
      </c>
      <c r="E170">
        <v>1</v>
      </c>
      <c r="F170">
        <v>7</v>
      </c>
      <c r="G170">
        <v>2011</v>
      </c>
      <c r="H170" s="4" t="s">
        <v>17</v>
      </c>
      <c r="I170" t="s">
        <v>17</v>
      </c>
      <c r="J170" t="s">
        <v>17</v>
      </c>
      <c r="K170" t="s">
        <v>17</v>
      </c>
      <c r="L170">
        <v>0</v>
      </c>
      <c r="M170">
        <v>1</v>
      </c>
      <c r="N170">
        <v>2</v>
      </c>
      <c r="O170">
        <v>0</v>
      </c>
    </row>
    <row r="171" spans="1:15" x14ac:dyDescent="0.2">
      <c r="A171" t="s">
        <v>213</v>
      </c>
      <c r="B171" s="3">
        <v>40741</v>
      </c>
      <c r="C171">
        <v>11125</v>
      </c>
      <c r="D171" s="4" t="s">
        <v>19</v>
      </c>
      <c r="E171">
        <v>2</v>
      </c>
      <c r="F171">
        <v>7</v>
      </c>
      <c r="G171">
        <v>2011</v>
      </c>
      <c r="H171" s="4" t="s">
        <v>17</v>
      </c>
      <c r="I171" t="s">
        <v>17</v>
      </c>
      <c r="J171" t="s">
        <v>17</v>
      </c>
      <c r="K171" t="s">
        <v>17</v>
      </c>
      <c r="L171">
        <v>0</v>
      </c>
      <c r="M171">
        <v>1</v>
      </c>
      <c r="N171">
        <v>1</v>
      </c>
      <c r="O171">
        <v>2</v>
      </c>
    </row>
    <row r="172" spans="1:15" x14ac:dyDescent="0.2">
      <c r="A172" t="s">
        <v>214</v>
      </c>
      <c r="B172" s="3">
        <v>40742</v>
      </c>
      <c r="C172">
        <v>11125</v>
      </c>
      <c r="D172" s="4" t="s">
        <v>21</v>
      </c>
      <c r="E172">
        <v>3</v>
      </c>
      <c r="F172">
        <v>7</v>
      </c>
      <c r="G172">
        <v>2011</v>
      </c>
      <c r="H172" s="4" t="s">
        <v>17</v>
      </c>
      <c r="I172" t="s">
        <v>17</v>
      </c>
      <c r="J172" t="s">
        <v>17</v>
      </c>
      <c r="K172" t="s">
        <v>17</v>
      </c>
      <c r="L172">
        <v>0</v>
      </c>
      <c r="M172">
        <v>1</v>
      </c>
      <c r="N172">
        <v>0</v>
      </c>
      <c r="O172">
        <v>2</v>
      </c>
    </row>
    <row r="173" spans="1:15" x14ac:dyDescent="0.2">
      <c r="A173" t="s">
        <v>215</v>
      </c>
      <c r="B173" s="3">
        <v>40743</v>
      </c>
      <c r="C173">
        <v>11125</v>
      </c>
      <c r="D173" s="4" t="s">
        <v>23</v>
      </c>
      <c r="E173">
        <v>4</v>
      </c>
      <c r="F173">
        <v>7</v>
      </c>
      <c r="G173">
        <v>2011</v>
      </c>
      <c r="H173" s="4" t="s">
        <v>17</v>
      </c>
      <c r="I173" t="s">
        <v>17</v>
      </c>
      <c r="J173" t="s">
        <v>17</v>
      </c>
      <c r="K173" t="s">
        <v>17</v>
      </c>
      <c r="L173">
        <v>0</v>
      </c>
      <c r="M173">
        <v>1</v>
      </c>
      <c r="N173">
        <v>2</v>
      </c>
      <c r="O173">
        <v>1</v>
      </c>
    </row>
    <row r="174" spans="1:15" x14ac:dyDescent="0.2">
      <c r="A174" t="s">
        <v>216</v>
      </c>
      <c r="B174" s="3">
        <v>40744</v>
      </c>
      <c r="C174">
        <v>11125</v>
      </c>
      <c r="D174" s="4" t="s">
        <v>25</v>
      </c>
      <c r="E174">
        <v>5</v>
      </c>
      <c r="F174">
        <v>7</v>
      </c>
      <c r="G174">
        <v>2011</v>
      </c>
      <c r="H174" s="4" t="s">
        <v>17</v>
      </c>
      <c r="I174" t="s">
        <v>17</v>
      </c>
      <c r="J174" t="s">
        <v>17</v>
      </c>
      <c r="K174" t="s">
        <v>17</v>
      </c>
      <c r="L174">
        <v>0</v>
      </c>
      <c r="M174">
        <v>1</v>
      </c>
      <c r="N174">
        <v>1</v>
      </c>
      <c r="O174">
        <v>0</v>
      </c>
    </row>
    <row r="175" spans="1:15" x14ac:dyDescent="0.2">
      <c r="A175" t="s">
        <v>217</v>
      </c>
      <c r="B175" s="3">
        <v>40745</v>
      </c>
      <c r="C175">
        <v>11125</v>
      </c>
      <c r="D175" s="4" t="s">
        <v>27</v>
      </c>
      <c r="E175">
        <v>6</v>
      </c>
      <c r="F175">
        <v>7</v>
      </c>
      <c r="G175">
        <v>2011</v>
      </c>
      <c r="H175" s="4" t="s">
        <v>17</v>
      </c>
      <c r="I175" t="s">
        <v>17</v>
      </c>
      <c r="J175" t="s">
        <v>17</v>
      </c>
      <c r="K175" t="s">
        <v>17</v>
      </c>
      <c r="L175">
        <v>0</v>
      </c>
      <c r="M175">
        <v>2</v>
      </c>
      <c r="N175">
        <v>1</v>
      </c>
      <c r="O175">
        <v>0</v>
      </c>
    </row>
    <row r="176" spans="1:15" x14ac:dyDescent="0.2">
      <c r="A176" t="s">
        <v>218</v>
      </c>
      <c r="B176" s="3">
        <v>40746</v>
      </c>
      <c r="C176">
        <v>11125</v>
      </c>
      <c r="D176" s="4" t="s">
        <v>29</v>
      </c>
      <c r="E176">
        <v>7</v>
      </c>
      <c r="F176">
        <v>7</v>
      </c>
      <c r="G176">
        <v>2011</v>
      </c>
      <c r="H176" s="4" t="s">
        <v>17</v>
      </c>
      <c r="I176" t="s">
        <v>17</v>
      </c>
      <c r="J176" t="s">
        <v>17</v>
      </c>
      <c r="K176" t="s">
        <v>17</v>
      </c>
      <c r="L176">
        <v>0</v>
      </c>
      <c r="M176">
        <v>0</v>
      </c>
      <c r="N176">
        <v>2</v>
      </c>
      <c r="O176">
        <v>0</v>
      </c>
    </row>
    <row r="177" spans="1:15" x14ac:dyDescent="0.2">
      <c r="A177" t="s">
        <v>219</v>
      </c>
      <c r="B177" s="3">
        <v>40747</v>
      </c>
      <c r="C177">
        <v>11126</v>
      </c>
      <c r="D177" s="4" t="s">
        <v>16</v>
      </c>
      <c r="E177">
        <v>1</v>
      </c>
      <c r="F177">
        <v>7</v>
      </c>
      <c r="G177">
        <v>2011</v>
      </c>
      <c r="H177" s="4" t="s">
        <v>17</v>
      </c>
      <c r="I177" t="s">
        <v>17</v>
      </c>
      <c r="J177" t="s">
        <v>17</v>
      </c>
      <c r="K177" t="s">
        <v>17</v>
      </c>
      <c r="L177">
        <v>0</v>
      </c>
      <c r="M177">
        <v>2</v>
      </c>
      <c r="N177">
        <v>0</v>
      </c>
      <c r="O177">
        <v>0</v>
      </c>
    </row>
    <row r="178" spans="1:15" x14ac:dyDescent="0.2">
      <c r="A178" t="s">
        <v>220</v>
      </c>
      <c r="B178" s="3">
        <v>40748</v>
      </c>
      <c r="C178">
        <v>11126</v>
      </c>
      <c r="D178" s="4" t="s">
        <v>19</v>
      </c>
      <c r="E178">
        <v>2</v>
      </c>
      <c r="F178">
        <v>7</v>
      </c>
      <c r="G178">
        <v>2011</v>
      </c>
      <c r="H178" s="4" t="s">
        <v>17</v>
      </c>
      <c r="I178" t="s">
        <v>17</v>
      </c>
      <c r="J178" t="s">
        <v>17</v>
      </c>
      <c r="K178" t="s">
        <v>17</v>
      </c>
      <c r="L178">
        <v>0</v>
      </c>
      <c r="M178">
        <v>0</v>
      </c>
      <c r="N178">
        <v>0</v>
      </c>
      <c r="O178">
        <v>1</v>
      </c>
    </row>
    <row r="179" spans="1:15" x14ac:dyDescent="0.2">
      <c r="A179" t="s">
        <v>221</v>
      </c>
      <c r="B179" s="3">
        <v>40749</v>
      </c>
      <c r="C179">
        <v>11126</v>
      </c>
      <c r="D179" s="4" t="s">
        <v>21</v>
      </c>
      <c r="E179">
        <v>3</v>
      </c>
      <c r="F179">
        <v>7</v>
      </c>
      <c r="G179">
        <v>2011</v>
      </c>
      <c r="H179" s="4" t="s">
        <v>17</v>
      </c>
      <c r="I179" t="s">
        <v>17</v>
      </c>
      <c r="J179" t="s">
        <v>17</v>
      </c>
      <c r="K179" t="s">
        <v>17</v>
      </c>
      <c r="L179">
        <v>0</v>
      </c>
      <c r="M179">
        <v>0</v>
      </c>
      <c r="N179">
        <v>0</v>
      </c>
      <c r="O179">
        <v>2</v>
      </c>
    </row>
    <row r="180" spans="1:15" x14ac:dyDescent="0.2">
      <c r="A180" t="s">
        <v>222</v>
      </c>
      <c r="B180" s="3">
        <v>40750</v>
      </c>
      <c r="C180">
        <v>11126</v>
      </c>
      <c r="D180" s="4" t="s">
        <v>23</v>
      </c>
      <c r="E180">
        <v>4</v>
      </c>
      <c r="F180">
        <v>7</v>
      </c>
      <c r="G180">
        <v>2011</v>
      </c>
      <c r="H180" s="4" t="s">
        <v>17</v>
      </c>
      <c r="I180" t="s">
        <v>17</v>
      </c>
      <c r="J180" t="s">
        <v>17</v>
      </c>
      <c r="K180" t="s">
        <v>17</v>
      </c>
      <c r="L180">
        <v>0</v>
      </c>
      <c r="M180">
        <v>0</v>
      </c>
      <c r="N180">
        <v>0</v>
      </c>
      <c r="O180">
        <v>0</v>
      </c>
    </row>
    <row r="181" spans="1:15" x14ac:dyDescent="0.2">
      <c r="A181" t="s">
        <v>223</v>
      </c>
      <c r="B181" s="3">
        <v>40751</v>
      </c>
      <c r="C181">
        <v>11126</v>
      </c>
      <c r="D181" s="4" t="s">
        <v>25</v>
      </c>
      <c r="E181">
        <v>5</v>
      </c>
      <c r="F181">
        <v>7</v>
      </c>
      <c r="G181">
        <v>2011</v>
      </c>
      <c r="H181" s="4" t="s">
        <v>17</v>
      </c>
      <c r="I181" t="s">
        <v>17</v>
      </c>
      <c r="J181" t="s">
        <v>17</v>
      </c>
      <c r="K181" t="s">
        <v>17</v>
      </c>
      <c r="L181">
        <v>0</v>
      </c>
      <c r="M181">
        <v>1</v>
      </c>
      <c r="N181">
        <v>1</v>
      </c>
      <c r="O181">
        <v>0</v>
      </c>
    </row>
    <row r="182" spans="1:15" x14ac:dyDescent="0.2">
      <c r="A182" t="s">
        <v>224</v>
      </c>
      <c r="B182" s="3">
        <v>40752</v>
      </c>
      <c r="C182">
        <v>11126</v>
      </c>
      <c r="D182" s="4" t="s">
        <v>27</v>
      </c>
      <c r="E182">
        <v>6</v>
      </c>
      <c r="F182">
        <v>7</v>
      </c>
      <c r="G182">
        <v>2011</v>
      </c>
      <c r="H182" s="4" t="s">
        <v>17</v>
      </c>
      <c r="I182" t="s">
        <v>17</v>
      </c>
      <c r="J182" t="s">
        <v>17</v>
      </c>
      <c r="K182" t="s">
        <v>17</v>
      </c>
      <c r="L182">
        <v>0</v>
      </c>
      <c r="M182">
        <v>0</v>
      </c>
      <c r="N182">
        <v>2</v>
      </c>
      <c r="O182">
        <v>0</v>
      </c>
    </row>
    <row r="183" spans="1:15" x14ac:dyDescent="0.2">
      <c r="A183" t="s">
        <v>225</v>
      </c>
      <c r="B183" s="3">
        <v>40753</v>
      </c>
      <c r="C183">
        <v>11126</v>
      </c>
      <c r="D183" s="4" t="s">
        <v>29</v>
      </c>
      <c r="E183">
        <v>7</v>
      </c>
      <c r="F183">
        <v>7</v>
      </c>
      <c r="G183">
        <v>2011</v>
      </c>
      <c r="H183" s="4" t="s">
        <v>17</v>
      </c>
      <c r="I183" t="s">
        <v>17</v>
      </c>
      <c r="J183" t="s">
        <v>17</v>
      </c>
      <c r="K183" t="s">
        <v>17</v>
      </c>
      <c r="L183">
        <v>0</v>
      </c>
      <c r="M183">
        <v>2</v>
      </c>
      <c r="N183">
        <v>2</v>
      </c>
      <c r="O183">
        <v>2</v>
      </c>
    </row>
    <row r="184" spans="1:15" x14ac:dyDescent="0.2">
      <c r="A184" t="s">
        <v>226</v>
      </c>
      <c r="B184" s="3">
        <v>40754</v>
      </c>
      <c r="C184">
        <v>11127</v>
      </c>
      <c r="D184" s="4" t="s">
        <v>16</v>
      </c>
      <c r="E184">
        <v>1</v>
      </c>
      <c r="F184">
        <v>7</v>
      </c>
      <c r="G184">
        <v>2011</v>
      </c>
      <c r="H184" s="4" t="s">
        <v>17</v>
      </c>
      <c r="I184" t="s">
        <v>17</v>
      </c>
      <c r="J184" t="s">
        <v>17</v>
      </c>
      <c r="K184" t="s">
        <v>17</v>
      </c>
      <c r="L184">
        <v>0</v>
      </c>
      <c r="M184">
        <v>0</v>
      </c>
      <c r="N184">
        <v>0</v>
      </c>
      <c r="O184">
        <v>0</v>
      </c>
    </row>
    <row r="185" spans="1:15" x14ac:dyDescent="0.2">
      <c r="A185" t="s">
        <v>227</v>
      </c>
      <c r="B185" s="3">
        <v>40755</v>
      </c>
      <c r="C185">
        <v>11127</v>
      </c>
      <c r="D185" s="4" t="s">
        <v>19</v>
      </c>
      <c r="E185">
        <v>2</v>
      </c>
      <c r="F185">
        <v>7</v>
      </c>
      <c r="G185">
        <v>2011</v>
      </c>
      <c r="H185" s="4" t="s">
        <v>17</v>
      </c>
      <c r="I185" t="s">
        <v>17</v>
      </c>
      <c r="J185" t="s">
        <v>17</v>
      </c>
      <c r="K185" t="s">
        <v>17</v>
      </c>
      <c r="L185">
        <v>0</v>
      </c>
      <c r="M185">
        <v>1</v>
      </c>
      <c r="N185">
        <v>0</v>
      </c>
      <c r="O185">
        <v>1</v>
      </c>
    </row>
    <row r="186" spans="1:15" x14ac:dyDescent="0.2">
      <c r="A186" t="s">
        <v>228</v>
      </c>
      <c r="B186" s="3">
        <v>40756</v>
      </c>
      <c r="C186">
        <v>11127</v>
      </c>
      <c r="D186" s="4" t="s">
        <v>21</v>
      </c>
      <c r="E186">
        <v>3</v>
      </c>
      <c r="F186">
        <v>8</v>
      </c>
      <c r="G186">
        <v>2011</v>
      </c>
      <c r="H186" s="4" t="s">
        <v>229</v>
      </c>
      <c r="I186" t="s">
        <v>70</v>
      </c>
      <c r="J186" t="s">
        <v>17</v>
      </c>
      <c r="K186" t="s">
        <v>17</v>
      </c>
      <c r="L186">
        <v>1</v>
      </c>
      <c r="M186">
        <v>0</v>
      </c>
      <c r="N186">
        <v>2</v>
      </c>
      <c r="O186">
        <v>0</v>
      </c>
    </row>
    <row r="187" spans="1:15" x14ac:dyDescent="0.2">
      <c r="A187" t="s">
        <v>230</v>
      </c>
      <c r="B187" s="3">
        <v>40757</v>
      </c>
      <c r="C187">
        <v>11127</v>
      </c>
      <c r="D187" s="4" t="s">
        <v>23</v>
      </c>
      <c r="E187">
        <v>4</v>
      </c>
      <c r="F187">
        <v>8</v>
      </c>
      <c r="G187">
        <v>2011</v>
      </c>
      <c r="H187" s="4" t="s">
        <v>17</v>
      </c>
      <c r="I187" t="s">
        <v>17</v>
      </c>
      <c r="J187" t="s">
        <v>17</v>
      </c>
      <c r="K187" t="s">
        <v>17</v>
      </c>
      <c r="L187">
        <v>1</v>
      </c>
      <c r="M187">
        <v>0</v>
      </c>
      <c r="N187">
        <v>2</v>
      </c>
      <c r="O187">
        <v>1</v>
      </c>
    </row>
    <row r="188" spans="1:15" x14ac:dyDescent="0.2">
      <c r="A188" t="s">
        <v>231</v>
      </c>
      <c r="B188" s="3">
        <v>40758</v>
      </c>
      <c r="C188">
        <v>11127</v>
      </c>
      <c r="D188" s="4" t="s">
        <v>25</v>
      </c>
      <c r="E188">
        <v>5</v>
      </c>
      <c r="F188">
        <v>8</v>
      </c>
      <c r="G188">
        <v>2011</v>
      </c>
      <c r="H188" s="4" t="s">
        <v>17</v>
      </c>
      <c r="I188" t="s">
        <v>17</v>
      </c>
      <c r="J188" t="s">
        <v>17</v>
      </c>
      <c r="K188" t="s">
        <v>17</v>
      </c>
      <c r="L188">
        <v>1</v>
      </c>
      <c r="M188">
        <v>1</v>
      </c>
      <c r="N188">
        <v>1</v>
      </c>
      <c r="O188">
        <v>1</v>
      </c>
    </row>
    <row r="189" spans="1:15" x14ac:dyDescent="0.2">
      <c r="A189" t="s">
        <v>232</v>
      </c>
      <c r="B189" s="3">
        <v>40759</v>
      </c>
      <c r="C189">
        <v>11127</v>
      </c>
      <c r="D189" s="4" t="s">
        <v>27</v>
      </c>
      <c r="E189">
        <v>6</v>
      </c>
      <c r="F189">
        <v>8</v>
      </c>
      <c r="G189">
        <v>2011</v>
      </c>
      <c r="H189" s="4" t="s">
        <v>17</v>
      </c>
      <c r="I189" t="s">
        <v>17</v>
      </c>
      <c r="J189" t="s">
        <v>17</v>
      </c>
      <c r="K189" t="s">
        <v>17</v>
      </c>
      <c r="L189">
        <v>1</v>
      </c>
      <c r="M189">
        <v>1</v>
      </c>
      <c r="N189">
        <v>0</v>
      </c>
      <c r="O189">
        <v>0</v>
      </c>
    </row>
    <row r="190" spans="1:15" x14ac:dyDescent="0.2">
      <c r="A190" t="s">
        <v>233</v>
      </c>
      <c r="B190" s="3">
        <v>40760</v>
      </c>
      <c r="C190">
        <v>11127</v>
      </c>
      <c r="D190" s="4" t="s">
        <v>29</v>
      </c>
      <c r="E190">
        <v>7</v>
      </c>
      <c r="F190">
        <v>8</v>
      </c>
      <c r="G190">
        <v>2011</v>
      </c>
      <c r="H190" s="4" t="s">
        <v>17</v>
      </c>
      <c r="I190" t="s">
        <v>17</v>
      </c>
      <c r="J190" t="s">
        <v>17</v>
      </c>
      <c r="K190" t="s">
        <v>17</v>
      </c>
      <c r="L190">
        <v>1</v>
      </c>
      <c r="M190">
        <v>0</v>
      </c>
      <c r="N190">
        <v>0</v>
      </c>
      <c r="O190">
        <v>0</v>
      </c>
    </row>
    <row r="191" spans="1:15" x14ac:dyDescent="0.2">
      <c r="A191" t="s">
        <v>234</v>
      </c>
      <c r="B191" s="3">
        <v>40761</v>
      </c>
      <c r="C191">
        <v>11128</v>
      </c>
      <c r="D191" s="4" t="s">
        <v>16</v>
      </c>
      <c r="E191">
        <v>1</v>
      </c>
      <c r="F191">
        <v>8</v>
      </c>
      <c r="G191">
        <v>2011</v>
      </c>
      <c r="H191" s="4" t="s">
        <v>17</v>
      </c>
      <c r="I191" t="s">
        <v>17</v>
      </c>
      <c r="J191" t="s">
        <v>17</v>
      </c>
      <c r="K191" t="s">
        <v>17</v>
      </c>
      <c r="L191">
        <v>1</v>
      </c>
      <c r="M191">
        <v>0</v>
      </c>
      <c r="N191">
        <v>1</v>
      </c>
      <c r="O191">
        <v>1</v>
      </c>
    </row>
    <row r="192" spans="1:15" x14ac:dyDescent="0.2">
      <c r="A192" t="s">
        <v>235</v>
      </c>
      <c r="B192" s="3">
        <v>40762</v>
      </c>
      <c r="C192">
        <v>11128</v>
      </c>
      <c r="D192" s="4" t="s">
        <v>19</v>
      </c>
      <c r="E192">
        <v>2</v>
      </c>
      <c r="F192">
        <v>8</v>
      </c>
      <c r="G192">
        <v>2011</v>
      </c>
      <c r="H192" s="4" t="s">
        <v>17</v>
      </c>
      <c r="I192" t="s">
        <v>17</v>
      </c>
      <c r="J192" t="s">
        <v>17</v>
      </c>
      <c r="K192" t="s">
        <v>17</v>
      </c>
      <c r="L192">
        <v>1</v>
      </c>
      <c r="M192">
        <v>0</v>
      </c>
      <c r="N192">
        <v>1</v>
      </c>
      <c r="O192">
        <v>2</v>
      </c>
    </row>
    <row r="193" spans="1:15" x14ac:dyDescent="0.2">
      <c r="A193" t="s">
        <v>236</v>
      </c>
      <c r="B193" s="3">
        <v>40763</v>
      </c>
      <c r="C193">
        <v>11128</v>
      </c>
      <c r="D193" s="4" t="s">
        <v>21</v>
      </c>
      <c r="E193">
        <v>3</v>
      </c>
      <c r="F193">
        <v>8</v>
      </c>
      <c r="G193">
        <v>2011</v>
      </c>
      <c r="H193" s="4" t="s">
        <v>17</v>
      </c>
      <c r="I193" t="s">
        <v>17</v>
      </c>
      <c r="J193" t="s">
        <v>17</v>
      </c>
      <c r="K193" t="s">
        <v>17</v>
      </c>
      <c r="L193">
        <v>1</v>
      </c>
      <c r="M193">
        <v>0</v>
      </c>
      <c r="N193">
        <v>3</v>
      </c>
      <c r="O193">
        <v>2</v>
      </c>
    </row>
    <row r="194" spans="1:15" x14ac:dyDescent="0.2">
      <c r="A194" t="s">
        <v>237</v>
      </c>
      <c r="B194" s="3">
        <v>40764</v>
      </c>
      <c r="C194">
        <v>11128</v>
      </c>
      <c r="D194" s="4" t="s">
        <v>23</v>
      </c>
      <c r="E194">
        <v>4</v>
      </c>
      <c r="F194">
        <v>8</v>
      </c>
      <c r="G194">
        <v>2011</v>
      </c>
      <c r="H194" s="4" t="s">
        <v>17</v>
      </c>
      <c r="I194" t="s">
        <v>17</v>
      </c>
      <c r="J194" t="s">
        <v>17</v>
      </c>
      <c r="K194" t="s">
        <v>17</v>
      </c>
      <c r="L194">
        <v>1</v>
      </c>
      <c r="M194">
        <v>0</v>
      </c>
      <c r="N194">
        <v>1</v>
      </c>
      <c r="O194">
        <v>0</v>
      </c>
    </row>
    <row r="195" spans="1:15" x14ac:dyDescent="0.2">
      <c r="A195" t="s">
        <v>238</v>
      </c>
      <c r="B195" s="3">
        <v>40765</v>
      </c>
      <c r="C195">
        <v>11128</v>
      </c>
      <c r="D195" s="4" t="s">
        <v>25</v>
      </c>
      <c r="E195">
        <v>5</v>
      </c>
      <c r="F195">
        <v>8</v>
      </c>
      <c r="G195">
        <v>2011</v>
      </c>
      <c r="H195" s="4" t="s">
        <v>17</v>
      </c>
      <c r="I195" t="s">
        <v>17</v>
      </c>
      <c r="J195" t="s">
        <v>17</v>
      </c>
      <c r="K195" t="s">
        <v>17</v>
      </c>
      <c r="L195">
        <v>1</v>
      </c>
      <c r="M195">
        <v>0</v>
      </c>
      <c r="N195">
        <v>0</v>
      </c>
      <c r="O195">
        <v>2</v>
      </c>
    </row>
    <row r="196" spans="1:15" x14ac:dyDescent="0.2">
      <c r="A196" t="s">
        <v>239</v>
      </c>
      <c r="B196" s="3">
        <v>40766</v>
      </c>
      <c r="C196">
        <v>11128</v>
      </c>
      <c r="D196" s="4" t="s">
        <v>27</v>
      </c>
      <c r="E196">
        <v>6</v>
      </c>
      <c r="F196">
        <v>8</v>
      </c>
      <c r="G196">
        <v>2011</v>
      </c>
      <c r="H196" s="4" t="s">
        <v>17</v>
      </c>
      <c r="I196" t="s">
        <v>17</v>
      </c>
      <c r="J196" t="s">
        <v>17</v>
      </c>
      <c r="K196" t="s">
        <v>17</v>
      </c>
      <c r="L196">
        <v>0</v>
      </c>
      <c r="M196">
        <v>0</v>
      </c>
      <c r="N196">
        <v>1</v>
      </c>
      <c r="O196">
        <v>0</v>
      </c>
    </row>
    <row r="197" spans="1:15" x14ac:dyDescent="0.2">
      <c r="A197" t="s">
        <v>240</v>
      </c>
      <c r="B197" s="3">
        <v>40767</v>
      </c>
      <c r="C197">
        <v>11128</v>
      </c>
      <c r="D197" s="4" t="s">
        <v>29</v>
      </c>
      <c r="E197">
        <v>7</v>
      </c>
      <c r="F197">
        <v>8</v>
      </c>
      <c r="G197">
        <v>2011</v>
      </c>
      <c r="H197" s="4" t="s">
        <v>17</v>
      </c>
      <c r="I197" t="s">
        <v>17</v>
      </c>
      <c r="J197" t="s">
        <v>17</v>
      </c>
      <c r="K197" t="s">
        <v>17</v>
      </c>
      <c r="L197">
        <v>0</v>
      </c>
      <c r="M197">
        <v>0</v>
      </c>
      <c r="N197">
        <v>5</v>
      </c>
      <c r="O197">
        <v>4</v>
      </c>
    </row>
    <row r="198" spans="1:15" x14ac:dyDescent="0.2">
      <c r="A198" t="s">
        <v>241</v>
      </c>
      <c r="B198" s="3">
        <v>40768</v>
      </c>
      <c r="C198">
        <v>11129</v>
      </c>
      <c r="D198" s="4" t="s">
        <v>16</v>
      </c>
      <c r="E198">
        <v>1</v>
      </c>
      <c r="F198">
        <v>8</v>
      </c>
      <c r="G198">
        <v>2011</v>
      </c>
      <c r="H198" s="4" t="s">
        <v>17</v>
      </c>
      <c r="I198" t="s">
        <v>17</v>
      </c>
      <c r="J198" t="s">
        <v>17</v>
      </c>
      <c r="K198" t="s">
        <v>17</v>
      </c>
      <c r="L198">
        <v>0</v>
      </c>
      <c r="M198">
        <v>0</v>
      </c>
      <c r="N198">
        <v>2</v>
      </c>
      <c r="O198">
        <v>5</v>
      </c>
    </row>
    <row r="199" spans="1:15" x14ac:dyDescent="0.2">
      <c r="A199" t="s">
        <v>242</v>
      </c>
      <c r="B199" s="3">
        <v>40769</v>
      </c>
      <c r="C199">
        <v>11129</v>
      </c>
      <c r="D199" s="4" t="s">
        <v>19</v>
      </c>
      <c r="E199">
        <v>2</v>
      </c>
      <c r="F199">
        <v>8</v>
      </c>
      <c r="G199">
        <v>2011</v>
      </c>
      <c r="H199" s="4" t="s">
        <v>17</v>
      </c>
      <c r="I199" t="s">
        <v>17</v>
      </c>
      <c r="J199" t="s">
        <v>17</v>
      </c>
      <c r="K199" t="s">
        <v>17</v>
      </c>
      <c r="L199">
        <v>0</v>
      </c>
      <c r="M199">
        <v>0</v>
      </c>
      <c r="N199">
        <v>0</v>
      </c>
      <c r="O199">
        <v>0</v>
      </c>
    </row>
    <row r="200" spans="1:15" x14ac:dyDescent="0.2">
      <c r="A200" t="s">
        <v>243</v>
      </c>
      <c r="B200" s="3">
        <v>40770</v>
      </c>
      <c r="C200">
        <v>11129</v>
      </c>
      <c r="D200" s="4" t="s">
        <v>21</v>
      </c>
      <c r="E200">
        <v>3</v>
      </c>
      <c r="F200">
        <v>8</v>
      </c>
      <c r="G200">
        <v>2011</v>
      </c>
      <c r="H200" s="4" t="s">
        <v>17</v>
      </c>
      <c r="I200" t="s">
        <v>17</v>
      </c>
      <c r="J200" t="s">
        <v>17</v>
      </c>
      <c r="K200" t="s">
        <v>17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 t="s">
        <v>244</v>
      </c>
      <c r="B201" s="3">
        <v>40771</v>
      </c>
      <c r="C201">
        <v>11129</v>
      </c>
      <c r="D201" s="4" t="s">
        <v>23</v>
      </c>
      <c r="E201">
        <v>4</v>
      </c>
      <c r="F201">
        <v>8</v>
      </c>
      <c r="G201">
        <v>2011</v>
      </c>
      <c r="H201" s="4" t="s">
        <v>17</v>
      </c>
      <c r="I201" t="s">
        <v>17</v>
      </c>
      <c r="J201" t="s">
        <v>17</v>
      </c>
      <c r="K201" t="s">
        <v>17</v>
      </c>
      <c r="L201">
        <v>0</v>
      </c>
      <c r="M201">
        <v>0</v>
      </c>
      <c r="N201">
        <v>0</v>
      </c>
      <c r="O201">
        <v>1</v>
      </c>
    </row>
    <row r="202" spans="1:15" x14ac:dyDescent="0.2">
      <c r="A202" t="s">
        <v>245</v>
      </c>
      <c r="B202" s="3">
        <v>40772</v>
      </c>
      <c r="C202">
        <v>11129</v>
      </c>
      <c r="D202" s="4" t="s">
        <v>25</v>
      </c>
      <c r="E202">
        <v>5</v>
      </c>
      <c r="F202">
        <v>8</v>
      </c>
      <c r="G202">
        <v>2011</v>
      </c>
      <c r="H202" s="4" t="s">
        <v>17</v>
      </c>
      <c r="I202" t="s">
        <v>17</v>
      </c>
      <c r="J202" t="s">
        <v>17</v>
      </c>
      <c r="K202" t="s">
        <v>17</v>
      </c>
      <c r="L202">
        <v>0</v>
      </c>
      <c r="M202">
        <v>0</v>
      </c>
      <c r="N202">
        <v>1</v>
      </c>
      <c r="O202">
        <v>0</v>
      </c>
    </row>
    <row r="203" spans="1:15" x14ac:dyDescent="0.2">
      <c r="A203" t="s">
        <v>246</v>
      </c>
      <c r="B203" s="3">
        <v>40773</v>
      </c>
      <c r="C203">
        <v>11129</v>
      </c>
      <c r="D203" s="4" t="s">
        <v>27</v>
      </c>
      <c r="E203">
        <v>6</v>
      </c>
      <c r="F203">
        <v>8</v>
      </c>
      <c r="G203">
        <v>2011</v>
      </c>
      <c r="H203" s="4" t="s">
        <v>17</v>
      </c>
      <c r="I203" t="s">
        <v>17</v>
      </c>
      <c r="J203" t="s">
        <v>17</v>
      </c>
      <c r="K203" t="s">
        <v>17</v>
      </c>
      <c r="L203">
        <v>0</v>
      </c>
      <c r="M203">
        <v>0</v>
      </c>
      <c r="N203">
        <v>1</v>
      </c>
      <c r="O203">
        <v>0</v>
      </c>
    </row>
    <row r="204" spans="1:15" x14ac:dyDescent="0.2">
      <c r="A204" t="s">
        <v>247</v>
      </c>
      <c r="B204" s="3">
        <v>40774</v>
      </c>
      <c r="C204">
        <v>11129</v>
      </c>
      <c r="D204" s="4" t="s">
        <v>29</v>
      </c>
      <c r="E204">
        <v>7</v>
      </c>
      <c r="F204">
        <v>8</v>
      </c>
      <c r="G204">
        <v>2011</v>
      </c>
      <c r="H204" s="4" t="s">
        <v>17</v>
      </c>
      <c r="I204" t="s">
        <v>17</v>
      </c>
      <c r="J204" t="s">
        <v>17</v>
      </c>
      <c r="K204" t="s">
        <v>17</v>
      </c>
      <c r="L204">
        <v>0</v>
      </c>
      <c r="M204">
        <v>0</v>
      </c>
      <c r="N204">
        <v>0</v>
      </c>
      <c r="O204">
        <v>1</v>
      </c>
    </row>
    <row r="205" spans="1:15" x14ac:dyDescent="0.2">
      <c r="A205" t="s">
        <v>248</v>
      </c>
      <c r="B205" s="3">
        <v>40775</v>
      </c>
      <c r="C205">
        <v>11130</v>
      </c>
      <c r="D205" s="4" t="s">
        <v>16</v>
      </c>
      <c r="E205">
        <v>1</v>
      </c>
      <c r="F205">
        <v>8</v>
      </c>
      <c r="G205">
        <v>2011</v>
      </c>
      <c r="H205" s="4" t="s">
        <v>17</v>
      </c>
      <c r="I205" t="s">
        <v>17</v>
      </c>
      <c r="J205" t="s">
        <v>17</v>
      </c>
      <c r="K205" t="s">
        <v>17</v>
      </c>
      <c r="L205">
        <v>0</v>
      </c>
      <c r="M205">
        <v>0</v>
      </c>
      <c r="N205">
        <v>1</v>
      </c>
      <c r="O205">
        <v>2</v>
      </c>
    </row>
    <row r="206" spans="1:15" x14ac:dyDescent="0.2">
      <c r="A206" t="s">
        <v>249</v>
      </c>
      <c r="B206" s="3">
        <v>40776</v>
      </c>
      <c r="C206">
        <v>11130</v>
      </c>
      <c r="D206" s="4" t="s">
        <v>19</v>
      </c>
      <c r="E206">
        <v>2</v>
      </c>
      <c r="F206">
        <v>8</v>
      </c>
      <c r="G206">
        <v>2011</v>
      </c>
      <c r="H206" s="4" t="s">
        <v>17</v>
      </c>
      <c r="I206" t="s">
        <v>17</v>
      </c>
      <c r="J206" t="s">
        <v>17</v>
      </c>
      <c r="K206" t="s">
        <v>17</v>
      </c>
      <c r="L206">
        <v>0</v>
      </c>
      <c r="M206">
        <v>0</v>
      </c>
      <c r="N206">
        <v>2</v>
      </c>
      <c r="O206">
        <v>0</v>
      </c>
    </row>
    <row r="207" spans="1:15" x14ac:dyDescent="0.2">
      <c r="A207" t="s">
        <v>250</v>
      </c>
      <c r="B207" s="3">
        <v>40777</v>
      </c>
      <c r="C207">
        <v>11130</v>
      </c>
      <c r="D207" s="4" t="s">
        <v>21</v>
      </c>
      <c r="E207">
        <v>3</v>
      </c>
      <c r="F207">
        <v>8</v>
      </c>
      <c r="G207">
        <v>2011</v>
      </c>
      <c r="H207" s="4" t="s">
        <v>17</v>
      </c>
      <c r="I207" t="s">
        <v>17</v>
      </c>
      <c r="J207" t="s">
        <v>17</v>
      </c>
      <c r="K207" t="s">
        <v>17</v>
      </c>
      <c r="L207">
        <v>0</v>
      </c>
      <c r="M207">
        <v>0</v>
      </c>
      <c r="N207">
        <v>1</v>
      </c>
      <c r="O207">
        <v>2</v>
      </c>
    </row>
    <row r="208" spans="1:15" x14ac:dyDescent="0.2">
      <c r="A208" t="s">
        <v>251</v>
      </c>
      <c r="B208" s="3">
        <v>40778</v>
      </c>
      <c r="C208">
        <v>11130</v>
      </c>
      <c r="D208" s="4" t="s">
        <v>23</v>
      </c>
      <c r="E208">
        <v>4</v>
      </c>
      <c r="F208">
        <v>8</v>
      </c>
      <c r="G208">
        <v>2011</v>
      </c>
      <c r="H208" s="4" t="s">
        <v>17</v>
      </c>
      <c r="I208" t="s">
        <v>17</v>
      </c>
      <c r="J208" t="s">
        <v>17</v>
      </c>
      <c r="K208" t="s">
        <v>17</v>
      </c>
      <c r="L208">
        <v>0</v>
      </c>
      <c r="M208">
        <v>0</v>
      </c>
      <c r="N208">
        <v>1</v>
      </c>
      <c r="O208">
        <v>1</v>
      </c>
    </row>
    <row r="209" spans="1:15" x14ac:dyDescent="0.2">
      <c r="A209" t="s">
        <v>252</v>
      </c>
      <c r="B209" s="3">
        <v>40779</v>
      </c>
      <c r="C209">
        <v>11130</v>
      </c>
      <c r="D209" s="4" t="s">
        <v>25</v>
      </c>
      <c r="E209">
        <v>5</v>
      </c>
      <c r="F209">
        <v>8</v>
      </c>
      <c r="G209">
        <v>2011</v>
      </c>
      <c r="H209" s="4" t="s">
        <v>17</v>
      </c>
      <c r="I209" t="s">
        <v>17</v>
      </c>
      <c r="J209" t="s">
        <v>17</v>
      </c>
      <c r="K209" t="s">
        <v>17</v>
      </c>
      <c r="L209">
        <v>0</v>
      </c>
      <c r="M209">
        <v>0</v>
      </c>
      <c r="N209">
        <v>0</v>
      </c>
      <c r="O209">
        <v>0</v>
      </c>
    </row>
    <row r="210" spans="1:15" x14ac:dyDescent="0.2">
      <c r="A210" t="s">
        <v>253</v>
      </c>
      <c r="B210" s="3">
        <v>40780</v>
      </c>
      <c r="C210">
        <v>11130</v>
      </c>
      <c r="D210" s="4" t="s">
        <v>27</v>
      </c>
      <c r="E210">
        <v>6</v>
      </c>
      <c r="F210">
        <v>8</v>
      </c>
      <c r="G210">
        <v>2011</v>
      </c>
      <c r="H210" s="4" t="s">
        <v>17</v>
      </c>
      <c r="I210" t="s">
        <v>17</v>
      </c>
      <c r="J210" t="s">
        <v>17</v>
      </c>
      <c r="K210" t="s">
        <v>17</v>
      </c>
      <c r="L210">
        <v>0</v>
      </c>
      <c r="M210">
        <v>0</v>
      </c>
      <c r="N210">
        <v>1</v>
      </c>
      <c r="O210">
        <v>4</v>
      </c>
    </row>
    <row r="211" spans="1:15" x14ac:dyDescent="0.2">
      <c r="A211" t="s">
        <v>254</v>
      </c>
      <c r="B211" s="3">
        <v>40781</v>
      </c>
      <c r="C211">
        <v>11130</v>
      </c>
      <c r="D211" s="4" t="s">
        <v>29</v>
      </c>
      <c r="E211">
        <v>7</v>
      </c>
      <c r="F211">
        <v>8</v>
      </c>
      <c r="G211">
        <v>2011</v>
      </c>
      <c r="H211" s="4" t="s">
        <v>17</v>
      </c>
      <c r="I211" t="s">
        <v>17</v>
      </c>
      <c r="J211" t="s">
        <v>17</v>
      </c>
      <c r="K211" t="s">
        <v>17</v>
      </c>
      <c r="L211">
        <v>0</v>
      </c>
      <c r="M211">
        <v>0</v>
      </c>
      <c r="N211">
        <v>0</v>
      </c>
      <c r="O211">
        <v>2</v>
      </c>
    </row>
    <row r="212" spans="1:15" x14ac:dyDescent="0.2">
      <c r="A212" t="s">
        <v>255</v>
      </c>
      <c r="B212" s="3">
        <v>40782</v>
      </c>
      <c r="C212">
        <v>11131</v>
      </c>
      <c r="D212" s="4" t="s">
        <v>16</v>
      </c>
      <c r="E212">
        <v>1</v>
      </c>
      <c r="F212">
        <v>8</v>
      </c>
      <c r="G212">
        <v>2011</v>
      </c>
      <c r="H212" s="4" t="s">
        <v>17</v>
      </c>
      <c r="I212" t="s">
        <v>17</v>
      </c>
      <c r="J212" t="s">
        <v>17</v>
      </c>
      <c r="K212" t="s">
        <v>17</v>
      </c>
      <c r="L212">
        <v>0</v>
      </c>
      <c r="M212">
        <v>0</v>
      </c>
      <c r="N212">
        <v>0</v>
      </c>
      <c r="O212">
        <v>2</v>
      </c>
    </row>
    <row r="213" spans="1:15" x14ac:dyDescent="0.2">
      <c r="A213" t="s">
        <v>256</v>
      </c>
      <c r="B213" s="3">
        <v>40783</v>
      </c>
      <c r="C213">
        <v>11131</v>
      </c>
      <c r="D213" s="4" t="s">
        <v>19</v>
      </c>
      <c r="E213">
        <v>2</v>
      </c>
      <c r="F213">
        <v>8</v>
      </c>
      <c r="G213">
        <v>2011</v>
      </c>
      <c r="H213" s="4" t="s">
        <v>17</v>
      </c>
      <c r="I213" t="s">
        <v>17</v>
      </c>
      <c r="J213" t="s">
        <v>17</v>
      </c>
      <c r="K213" t="s">
        <v>17</v>
      </c>
      <c r="L213">
        <v>0</v>
      </c>
      <c r="M213">
        <v>0</v>
      </c>
      <c r="N213">
        <v>1</v>
      </c>
      <c r="O213">
        <v>0</v>
      </c>
    </row>
    <row r="214" spans="1:15" x14ac:dyDescent="0.2">
      <c r="A214" t="s">
        <v>257</v>
      </c>
      <c r="B214" s="3">
        <v>40784</v>
      </c>
      <c r="C214">
        <v>11131</v>
      </c>
      <c r="D214" s="4" t="s">
        <v>21</v>
      </c>
      <c r="E214">
        <v>3</v>
      </c>
      <c r="F214">
        <v>8</v>
      </c>
      <c r="G214">
        <v>2011</v>
      </c>
      <c r="H214" s="4" t="s">
        <v>17</v>
      </c>
      <c r="I214" t="s">
        <v>17</v>
      </c>
      <c r="J214" t="s">
        <v>17</v>
      </c>
      <c r="K214" t="s">
        <v>17</v>
      </c>
      <c r="L214">
        <v>0</v>
      </c>
      <c r="M214">
        <v>0</v>
      </c>
      <c r="N214">
        <v>2</v>
      </c>
      <c r="O214">
        <v>0</v>
      </c>
    </row>
    <row r="215" spans="1:15" x14ac:dyDescent="0.2">
      <c r="A215" t="s">
        <v>258</v>
      </c>
      <c r="B215" s="3">
        <v>40785</v>
      </c>
      <c r="C215">
        <v>11131</v>
      </c>
      <c r="D215" s="4" t="s">
        <v>23</v>
      </c>
      <c r="E215">
        <v>4</v>
      </c>
      <c r="F215">
        <v>8</v>
      </c>
      <c r="G215">
        <v>2011</v>
      </c>
      <c r="H215" s="4" t="s">
        <v>17</v>
      </c>
      <c r="I215" t="s">
        <v>17</v>
      </c>
      <c r="J215" t="s">
        <v>17</v>
      </c>
      <c r="K215" t="s">
        <v>17</v>
      </c>
      <c r="L215">
        <v>0</v>
      </c>
      <c r="M215">
        <v>0</v>
      </c>
      <c r="N215">
        <v>1</v>
      </c>
      <c r="O215">
        <v>0</v>
      </c>
    </row>
    <row r="216" spans="1:15" x14ac:dyDescent="0.2">
      <c r="A216" t="s">
        <v>259</v>
      </c>
      <c r="B216" s="3">
        <v>40786</v>
      </c>
      <c r="C216">
        <v>11131</v>
      </c>
      <c r="D216" s="4" t="s">
        <v>25</v>
      </c>
      <c r="E216">
        <v>5</v>
      </c>
      <c r="F216">
        <v>8</v>
      </c>
      <c r="G216">
        <v>2011</v>
      </c>
      <c r="H216" s="4" t="s">
        <v>260</v>
      </c>
      <c r="I216" t="s">
        <v>70</v>
      </c>
      <c r="J216" t="s">
        <v>17</v>
      </c>
      <c r="K216" t="s">
        <v>17</v>
      </c>
      <c r="L216">
        <v>0</v>
      </c>
      <c r="M216">
        <v>0</v>
      </c>
      <c r="N216">
        <v>3</v>
      </c>
      <c r="O216">
        <v>1</v>
      </c>
    </row>
    <row r="217" spans="1:15" x14ac:dyDescent="0.2">
      <c r="A217" t="s">
        <v>261</v>
      </c>
      <c r="B217" s="3">
        <v>40787</v>
      </c>
      <c r="C217">
        <v>11131</v>
      </c>
      <c r="D217" s="4" t="s">
        <v>27</v>
      </c>
      <c r="E217">
        <v>6</v>
      </c>
      <c r="F217">
        <v>9</v>
      </c>
      <c r="G217">
        <v>2011</v>
      </c>
      <c r="H217" s="4" t="s">
        <v>17</v>
      </c>
      <c r="I217" t="s">
        <v>17</v>
      </c>
      <c r="J217" t="s">
        <v>17</v>
      </c>
      <c r="K217" t="s">
        <v>17</v>
      </c>
      <c r="L217">
        <v>1</v>
      </c>
      <c r="M217">
        <v>0</v>
      </c>
      <c r="N217">
        <v>2</v>
      </c>
      <c r="O217">
        <v>1</v>
      </c>
    </row>
    <row r="218" spans="1:15" x14ac:dyDescent="0.2">
      <c r="A218" t="s">
        <v>262</v>
      </c>
      <c r="B218" s="3">
        <v>40788</v>
      </c>
      <c r="C218">
        <v>11131</v>
      </c>
      <c r="D218" s="4" t="s">
        <v>29</v>
      </c>
      <c r="E218">
        <v>7</v>
      </c>
      <c r="F218">
        <v>9</v>
      </c>
      <c r="G218">
        <v>2011</v>
      </c>
      <c r="H218" s="4" t="s">
        <v>17</v>
      </c>
      <c r="I218" t="s">
        <v>17</v>
      </c>
      <c r="J218" t="s">
        <v>17</v>
      </c>
      <c r="K218" t="s">
        <v>17</v>
      </c>
      <c r="L218">
        <v>1</v>
      </c>
      <c r="M218">
        <v>0</v>
      </c>
      <c r="N218">
        <v>1</v>
      </c>
      <c r="O218">
        <v>2</v>
      </c>
    </row>
    <row r="219" spans="1:15" x14ac:dyDescent="0.2">
      <c r="A219" t="s">
        <v>263</v>
      </c>
      <c r="B219" s="3">
        <v>40789</v>
      </c>
      <c r="C219">
        <v>11132</v>
      </c>
      <c r="D219" s="4" t="s">
        <v>16</v>
      </c>
      <c r="E219">
        <v>1</v>
      </c>
      <c r="F219">
        <v>9</v>
      </c>
      <c r="G219">
        <v>2011</v>
      </c>
      <c r="H219" s="4" t="s">
        <v>17</v>
      </c>
      <c r="I219" t="s">
        <v>17</v>
      </c>
      <c r="J219" t="s">
        <v>17</v>
      </c>
      <c r="K219" t="s">
        <v>17</v>
      </c>
      <c r="L219">
        <v>1</v>
      </c>
      <c r="M219">
        <v>0</v>
      </c>
      <c r="N219">
        <v>1</v>
      </c>
      <c r="O219">
        <v>1</v>
      </c>
    </row>
    <row r="220" spans="1:15" x14ac:dyDescent="0.2">
      <c r="A220" t="s">
        <v>264</v>
      </c>
      <c r="B220" s="3">
        <v>40790</v>
      </c>
      <c r="C220">
        <v>11132</v>
      </c>
      <c r="D220" s="4" t="s">
        <v>19</v>
      </c>
      <c r="E220">
        <v>2</v>
      </c>
      <c r="F220">
        <v>9</v>
      </c>
      <c r="G220">
        <v>2011</v>
      </c>
      <c r="H220" s="4" t="s">
        <v>17</v>
      </c>
      <c r="I220" t="s">
        <v>17</v>
      </c>
      <c r="J220" t="s">
        <v>17</v>
      </c>
      <c r="K220" t="s">
        <v>17</v>
      </c>
      <c r="L220">
        <v>1</v>
      </c>
      <c r="M220">
        <v>0</v>
      </c>
      <c r="N220">
        <v>0</v>
      </c>
      <c r="O220">
        <v>0</v>
      </c>
    </row>
    <row r="221" spans="1:15" x14ac:dyDescent="0.2">
      <c r="A221" t="s">
        <v>265</v>
      </c>
      <c r="B221" s="3">
        <v>40791</v>
      </c>
      <c r="C221">
        <v>11132</v>
      </c>
      <c r="D221" s="4" t="s">
        <v>21</v>
      </c>
      <c r="E221">
        <v>3</v>
      </c>
      <c r="F221">
        <v>9</v>
      </c>
      <c r="G221">
        <v>2011</v>
      </c>
      <c r="H221" s="4" t="s">
        <v>266</v>
      </c>
      <c r="I221" t="s">
        <v>52</v>
      </c>
      <c r="J221" t="s">
        <v>17</v>
      </c>
      <c r="K221" t="s">
        <v>17</v>
      </c>
      <c r="L221">
        <v>1</v>
      </c>
      <c r="M221">
        <v>0</v>
      </c>
      <c r="N221">
        <v>1</v>
      </c>
      <c r="O221">
        <v>0</v>
      </c>
    </row>
    <row r="222" spans="1:15" x14ac:dyDescent="0.2">
      <c r="A222" t="s">
        <v>267</v>
      </c>
      <c r="B222" s="3">
        <v>40792</v>
      </c>
      <c r="C222">
        <v>11132</v>
      </c>
      <c r="D222" s="4" t="s">
        <v>23</v>
      </c>
      <c r="E222">
        <v>4</v>
      </c>
      <c r="F222">
        <v>9</v>
      </c>
      <c r="G222">
        <v>2011</v>
      </c>
      <c r="H222" s="4" t="s">
        <v>17</v>
      </c>
      <c r="I222" t="s">
        <v>17</v>
      </c>
      <c r="J222" t="s">
        <v>17</v>
      </c>
      <c r="K222" t="s">
        <v>17</v>
      </c>
      <c r="L222">
        <v>1</v>
      </c>
      <c r="M222">
        <v>0</v>
      </c>
      <c r="N222">
        <v>0</v>
      </c>
      <c r="O222">
        <v>1</v>
      </c>
    </row>
    <row r="223" spans="1:15" x14ac:dyDescent="0.2">
      <c r="A223" t="s">
        <v>268</v>
      </c>
      <c r="B223" s="3">
        <v>40793</v>
      </c>
      <c r="C223">
        <v>11132</v>
      </c>
      <c r="D223" s="4" t="s">
        <v>25</v>
      </c>
      <c r="E223">
        <v>5</v>
      </c>
      <c r="F223">
        <v>9</v>
      </c>
      <c r="G223">
        <v>2011</v>
      </c>
      <c r="H223" s="4" t="s">
        <v>17</v>
      </c>
      <c r="I223" t="s">
        <v>17</v>
      </c>
      <c r="J223" t="s">
        <v>17</v>
      </c>
      <c r="K223" t="s">
        <v>17</v>
      </c>
      <c r="L223">
        <v>1</v>
      </c>
      <c r="M223">
        <v>0</v>
      </c>
      <c r="N223">
        <v>0</v>
      </c>
      <c r="O223">
        <v>2</v>
      </c>
    </row>
    <row r="224" spans="1:15" x14ac:dyDescent="0.2">
      <c r="A224" t="s">
        <v>269</v>
      </c>
      <c r="B224" s="3">
        <v>40794</v>
      </c>
      <c r="C224">
        <v>11132</v>
      </c>
      <c r="D224" s="4" t="s">
        <v>27</v>
      </c>
      <c r="E224">
        <v>6</v>
      </c>
      <c r="F224">
        <v>9</v>
      </c>
      <c r="G224">
        <v>2011</v>
      </c>
      <c r="H224" s="4" t="s">
        <v>17</v>
      </c>
      <c r="I224" t="s">
        <v>17</v>
      </c>
      <c r="J224" t="s">
        <v>17</v>
      </c>
      <c r="K224" t="s">
        <v>17</v>
      </c>
      <c r="L224">
        <v>1</v>
      </c>
      <c r="M224">
        <v>0</v>
      </c>
      <c r="N224">
        <v>1</v>
      </c>
      <c r="O224">
        <v>0</v>
      </c>
    </row>
    <row r="225" spans="1:15" x14ac:dyDescent="0.2">
      <c r="A225" t="s">
        <v>270</v>
      </c>
      <c r="B225" s="3">
        <v>40795</v>
      </c>
      <c r="C225">
        <v>11132</v>
      </c>
      <c r="D225" s="4" t="s">
        <v>29</v>
      </c>
      <c r="E225">
        <v>7</v>
      </c>
      <c r="F225">
        <v>9</v>
      </c>
      <c r="G225">
        <v>2011</v>
      </c>
      <c r="H225" s="4" t="s">
        <v>17</v>
      </c>
      <c r="I225" t="s">
        <v>17</v>
      </c>
      <c r="J225" t="s">
        <v>17</v>
      </c>
      <c r="K225" t="s">
        <v>17</v>
      </c>
      <c r="L225">
        <v>1</v>
      </c>
      <c r="M225">
        <v>0</v>
      </c>
      <c r="N225">
        <v>0</v>
      </c>
      <c r="O225">
        <v>0</v>
      </c>
    </row>
    <row r="226" spans="1:15" x14ac:dyDescent="0.2">
      <c r="A226" t="s">
        <v>271</v>
      </c>
      <c r="B226" s="3">
        <v>40796</v>
      </c>
      <c r="C226">
        <v>11133</v>
      </c>
      <c r="D226" s="4" t="s">
        <v>16</v>
      </c>
      <c r="E226">
        <v>1</v>
      </c>
      <c r="F226">
        <v>9</v>
      </c>
      <c r="G226">
        <v>2011</v>
      </c>
      <c r="H226" s="4" t="s">
        <v>17</v>
      </c>
      <c r="I226" t="s">
        <v>17</v>
      </c>
      <c r="J226" t="s">
        <v>17</v>
      </c>
      <c r="K226" t="s">
        <v>17</v>
      </c>
      <c r="L226">
        <v>1</v>
      </c>
      <c r="M226">
        <v>0</v>
      </c>
      <c r="N226">
        <v>1</v>
      </c>
      <c r="O226">
        <v>0</v>
      </c>
    </row>
    <row r="227" spans="1:15" x14ac:dyDescent="0.2">
      <c r="A227" t="s">
        <v>272</v>
      </c>
      <c r="B227" s="3">
        <v>40797</v>
      </c>
      <c r="C227">
        <v>11133</v>
      </c>
      <c r="D227" s="4" t="s">
        <v>19</v>
      </c>
      <c r="E227">
        <v>2</v>
      </c>
      <c r="F227">
        <v>9</v>
      </c>
      <c r="G227">
        <v>2011</v>
      </c>
      <c r="H227" s="4" t="s">
        <v>17</v>
      </c>
      <c r="I227" t="s">
        <v>17</v>
      </c>
      <c r="J227" t="s">
        <v>17</v>
      </c>
      <c r="K227" t="s">
        <v>17</v>
      </c>
      <c r="L227">
        <v>0</v>
      </c>
      <c r="M227">
        <v>0</v>
      </c>
      <c r="N227">
        <v>1</v>
      </c>
      <c r="O227">
        <v>0</v>
      </c>
    </row>
    <row r="228" spans="1:15" x14ac:dyDescent="0.2">
      <c r="A228" t="s">
        <v>273</v>
      </c>
      <c r="B228" s="3">
        <v>40798</v>
      </c>
      <c r="C228">
        <v>11133</v>
      </c>
      <c r="D228" s="4" t="s">
        <v>21</v>
      </c>
      <c r="E228">
        <v>3</v>
      </c>
      <c r="F228">
        <v>9</v>
      </c>
      <c r="G228">
        <v>2011</v>
      </c>
      <c r="H228" s="4" t="s">
        <v>17</v>
      </c>
      <c r="I228" t="s">
        <v>17</v>
      </c>
      <c r="J228" t="s">
        <v>17</v>
      </c>
      <c r="K228" t="s">
        <v>17</v>
      </c>
      <c r="L228">
        <v>0</v>
      </c>
      <c r="M228">
        <v>0</v>
      </c>
      <c r="N228">
        <v>0</v>
      </c>
      <c r="O228">
        <v>0</v>
      </c>
    </row>
    <row r="229" spans="1:15" x14ac:dyDescent="0.2">
      <c r="A229" t="s">
        <v>274</v>
      </c>
      <c r="B229" s="3">
        <v>40799</v>
      </c>
      <c r="C229">
        <v>11133</v>
      </c>
      <c r="D229" s="4" t="s">
        <v>23</v>
      </c>
      <c r="E229">
        <v>4</v>
      </c>
      <c r="F229">
        <v>9</v>
      </c>
      <c r="G229">
        <v>2011</v>
      </c>
      <c r="H229" s="4" t="s">
        <v>17</v>
      </c>
      <c r="I229" t="s">
        <v>17</v>
      </c>
      <c r="J229" t="s">
        <v>17</v>
      </c>
      <c r="K229" t="s">
        <v>17</v>
      </c>
      <c r="L229">
        <v>0</v>
      </c>
      <c r="M229">
        <v>0</v>
      </c>
      <c r="N229">
        <v>0</v>
      </c>
      <c r="O229">
        <v>0</v>
      </c>
    </row>
    <row r="230" spans="1:15" x14ac:dyDescent="0.2">
      <c r="A230" t="s">
        <v>275</v>
      </c>
      <c r="B230" s="3">
        <v>40800</v>
      </c>
      <c r="C230">
        <v>11133</v>
      </c>
      <c r="D230" s="4" t="s">
        <v>25</v>
      </c>
      <c r="E230">
        <v>5</v>
      </c>
      <c r="F230">
        <v>9</v>
      </c>
      <c r="G230">
        <v>2011</v>
      </c>
      <c r="H230" s="4" t="s">
        <v>17</v>
      </c>
      <c r="I230" t="s">
        <v>17</v>
      </c>
      <c r="J230" t="s">
        <v>17</v>
      </c>
      <c r="K230" t="s">
        <v>17</v>
      </c>
      <c r="L230">
        <v>0</v>
      </c>
      <c r="M230">
        <v>0</v>
      </c>
      <c r="N230">
        <v>0</v>
      </c>
      <c r="O230">
        <v>0</v>
      </c>
    </row>
    <row r="231" spans="1:15" x14ac:dyDescent="0.2">
      <c r="A231" t="s">
        <v>276</v>
      </c>
      <c r="B231" s="3">
        <v>40801</v>
      </c>
      <c r="C231">
        <v>11133</v>
      </c>
      <c r="D231" s="4" t="s">
        <v>27</v>
      </c>
      <c r="E231">
        <v>6</v>
      </c>
      <c r="F231">
        <v>9</v>
      </c>
      <c r="G231">
        <v>2011</v>
      </c>
      <c r="H231" s="4" t="s">
        <v>17</v>
      </c>
      <c r="I231" t="s">
        <v>17</v>
      </c>
      <c r="J231" t="s">
        <v>17</v>
      </c>
      <c r="K231" t="s">
        <v>17</v>
      </c>
      <c r="L231">
        <v>0</v>
      </c>
      <c r="M231">
        <v>0</v>
      </c>
      <c r="N231">
        <v>0</v>
      </c>
      <c r="O231">
        <v>1</v>
      </c>
    </row>
    <row r="232" spans="1:15" x14ac:dyDescent="0.2">
      <c r="A232" t="s">
        <v>277</v>
      </c>
      <c r="B232" s="3">
        <v>40802</v>
      </c>
      <c r="C232">
        <v>11133</v>
      </c>
      <c r="D232" s="4" t="s">
        <v>29</v>
      </c>
      <c r="E232">
        <v>7</v>
      </c>
      <c r="F232">
        <v>9</v>
      </c>
      <c r="G232">
        <v>2011</v>
      </c>
      <c r="H232" s="4" t="s">
        <v>17</v>
      </c>
      <c r="I232" t="s">
        <v>17</v>
      </c>
      <c r="J232" t="s">
        <v>17</v>
      </c>
      <c r="K232" t="s">
        <v>17</v>
      </c>
      <c r="L232">
        <v>0</v>
      </c>
      <c r="M232">
        <v>0</v>
      </c>
      <c r="N232">
        <v>0</v>
      </c>
      <c r="O232">
        <v>0</v>
      </c>
    </row>
    <row r="233" spans="1:15" x14ac:dyDescent="0.2">
      <c r="A233" t="s">
        <v>278</v>
      </c>
      <c r="B233" s="3">
        <v>40803</v>
      </c>
      <c r="C233">
        <v>11134</v>
      </c>
      <c r="D233" s="4" t="s">
        <v>16</v>
      </c>
      <c r="E233">
        <v>1</v>
      </c>
      <c r="F233">
        <v>9</v>
      </c>
      <c r="G233">
        <v>2011</v>
      </c>
      <c r="H233" s="4" t="s">
        <v>17</v>
      </c>
      <c r="I233" t="s">
        <v>17</v>
      </c>
      <c r="J233" t="s">
        <v>17</v>
      </c>
      <c r="K233" t="s">
        <v>17</v>
      </c>
      <c r="L233">
        <v>0</v>
      </c>
      <c r="M233">
        <v>0</v>
      </c>
      <c r="N233">
        <v>3</v>
      </c>
      <c r="O233">
        <v>8</v>
      </c>
    </row>
    <row r="234" spans="1:15" x14ac:dyDescent="0.2">
      <c r="A234" t="s">
        <v>279</v>
      </c>
      <c r="B234" s="3">
        <v>40804</v>
      </c>
      <c r="C234">
        <v>11134</v>
      </c>
      <c r="D234" s="4" t="s">
        <v>19</v>
      </c>
      <c r="E234">
        <v>2</v>
      </c>
      <c r="F234">
        <v>9</v>
      </c>
      <c r="G234">
        <v>2011</v>
      </c>
      <c r="H234" s="4" t="s">
        <v>17</v>
      </c>
      <c r="I234" t="s">
        <v>17</v>
      </c>
      <c r="J234" t="s">
        <v>17</v>
      </c>
      <c r="K234" t="s">
        <v>17</v>
      </c>
      <c r="L234">
        <v>0</v>
      </c>
      <c r="M234">
        <v>0</v>
      </c>
      <c r="N234">
        <v>2</v>
      </c>
      <c r="O234">
        <v>0</v>
      </c>
    </row>
    <row r="235" spans="1:15" x14ac:dyDescent="0.2">
      <c r="A235" t="s">
        <v>280</v>
      </c>
      <c r="B235" s="3">
        <v>40805</v>
      </c>
      <c r="C235">
        <v>11134</v>
      </c>
      <c r="D235" s="4" t="s">
        <v>21</v>
      </c>
      <c r="E235">
        <v>3</v>
      </c>
      <c r="F235">
        <v>9</v>
      </c>
      <c r="G235">
        <v>2011</v>
      </c>
      <c r="H235" s="4" t="s">
        <v>17</v>
      </c>
      <c r="I235" t="s">
        <v>17</v>
      </c>
      <c r="J235" t="s">
        <v>17</v>
      </c>
      <c r="K235" t="s">
        <v>17</v>
      </c>
      <c r="L235">
        <v>0</v>
      </c>
      <c r="M235">
        <v>0</v>
      </c>
      <c r="N235">
        <v>0</v>
      </c>
      <c r="O235">
        <v>1</v>
      </c>
    </row>
    <row r="236" spans="1:15" x14ac:dyDescent="0.2">
      <c r="A236" t="s">
        <v>281</v>
      </c>
      <c r="B236" s="3">
        <v>40806</v>
      </c>
      <c r="C236">
        <v>11134</v>
      </c>
      <c r="D236" s="4" t="s">
        <v>23</v>
      </c>
      <c r="E236">
        <v>4</v>
      </c>
      <c r="F236">
        <v>9</v>
      </c>
      <c r="G236">
        <v>2011</v>
      </c>
      <c r="H236" s="4" t="s">
        <v>17</v>
      </c>
      <c r="I236" t="s">
        <v>17</v>
      </c>
      <c r="J236" t="s">
        <v>17</v>
      </c>
      <c r="K236" t="s">
        <v>17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 t="s">
        <v>282</v>
      </c>
      <c r="B237" s="3">
        <v>40807</v>
      </c>
      <c r="C237">
        <v>11134</v>
      </c>
      <c r="D237" s="4" t="s">
        <v>25</v>
      </c>
      <c r="E237">
        <v>5</v>
      </c>
      <c r="F237">
        <v>9</v>
      </c>
      <c r="G237">
        <v>2011</v>
      </c>
      <c r="H237" s="4" t="s">
        <v>17</v>
      </c>
      <c r="I237" t="s">
        <v>17</v>
      </c>
      <c r="J237" t="s">
        <v>17</v>
      </c>
      <c r="K237" t="s">
        <v>17</v>
      </c>
      <c r="L237">
        <v>0</v>
      </c>
      <c r="M237">
        <v>0</v>
      </c>
      <c r="N237">
        <v>0</v>
      </c>
      <c r="O237">
        <v>0</v>
      </c>
    </row>
    <row r="238" spans="1:15" x14ac:dyDescent="0.2">
      <c r="A238" t="s">
        <v>283</v>
      </c>
      <c r="B238" s="3">
        <v>40808</v>
      </c>
      <c r="C238">
        <v>11134</v>
      </c>
      <c r="D238" s="4" t="s">
        <v>27</v>
      </c>
      <c r="E238">
        <v>6</v>
      </c>
      <c r="F238">
        <v>9</v>
      </c>
      <c r="G238">
        <v>2011</v>
      </c>
      <c r="H238" s="4" t="s">
        <v>17</v>
      </c>
      <c r="I238" t="s">
        <v>17</v>
      </c>
      <c r="J238" t="s">
        <v>17</v>
      </c>
      <c r="K238" t="s">
        <v>17</v>
      </c>
      <c r="L238">
        <v>0</v>
      </c>
      <c r="M238">
        <v>0</v>
      </c>
      <c r="N238">
        <v>0</v>
      </c>
      <c r="O238">
        <v>1</v>
      </c>
    </row>
    <row r="239" spans="1:15" x14ac:dyDescent="0.2">
      <c r="A239" t="s">
        <v>284</v>
      </c>
      <c r="B239" s="3">
        <v>40809</v>
      </c>
      <c r="C239">
        <v>11134</v>
      </c>
      <c r="D239" s="4" t="s">
        <v>29</v>
      </c>
      <c r="E239">
        <v>7</v>
      </c>
      <c r="F239">
        <v>9</v>
      </c>
      <c r="G239">
        <v>2011</v>
      </c>
      <c r="H239" s="4" t="s">
        <v>17</v>
      </c>
      <c r="I239" t="s">
        <v>17</v>
      </c>
      <c r="J239" t="s">
        <v>17</v>
      </c>
      <c r="K239" t="s">
        <v>17</v>
      </c>
      <c r="L239">
        <v>0</v>
      </c>
      <c r="M239">
        <v>0</v>
      </c>
      <c r="N239">
        <v>0</v>
      </c>
      <c r="O239">
        <v>0</v>
      </c>
    </row>
    <row r="240" spans="1:15" x14ac:dyDescent="0.2">
      <c r="A240" t="s">
        <v>285</v>
      </c>
      <c r="B240" s="3">
        <v>40810</v>
      </c>
      <c r="C240">
        <v>11135</v>
      </c>
      <c r="D240" s="4" t="s">
        <v>16</v>
      </c>
      <c r="E240">
        <v>1</v>
      </c>
      <c r="F240">
        <v>9</v>
      </c>
      <c r="G240">
        <v>2011</v>
      </c>
      <c r="H240" s="4" t="s">
        <v>17</v>
      </c>
      <c r="I240" t="s">
        <v>17</v>
      </c>
      <c r="J240" t="s">
        <v>17</v>
      </c>
      <c r="K240" t="s">
        <v>17</v>
      </c>
      <c r="L240">
        <v>0</v>
      </c>
      <c r="M240">
        <v>0</v>
      </c>
      <c r="N240">
        <v>0</v>
      </c>
      <c r="O240">
        <v>2</v>
      </c>
    </row>
    <row r="241" spans="1:15" x14ac:dyDescent="0.2">
      <c r="A241" t="s">
        <v>286</v>
      </c>
      <c r="B241" s="3">
        <v>40811</v>
      </c>
      <c r="C241">
        <v>11135</v>
      </c>
      <c r="D241" s="4" t="s">
        <v>19</v>
      </c>
      <c r="E241">
        <v>2</v>
      </c>
      <c r="F241">
        <v>9</v>
      </c>
      <c r="G241">
        <v>2011</v>
      </c>
      <c r="H241" s="4" t="s">
        <v>17</v>
      </c>
      <c r="I241" t="s">
        <v>17</v>
      </c>
      <c r="J241" t="s">
        <v>17</v>
      </c>
      <c r="K241" t="s">
        <v>17</v>
      </c>
      <c r="L241">
        <v>0</v>
      </c>
      <c r="M241">
        <v>0</v>
      </c>
      <c r="N241">
        <v>0</v>
      </c>
      <c r="O241">
        <v>1</v>
      </c>
    </row>
    <row r="242" spans="1:15" x14ac:dyDescent="0.2">
      <c r="A242" t="s">
        <v>287</v>
      </c>
      <c r="B242" s="3">
        <v>40812</v>
      </c>
      <c r="C242">
        <v>11135</v>
      </c>
      <c r="D242" s="4" t="s">
        <v>21</v>
      </c>
      <c r="E242">
        <v>3</v>
      </c>
      <c r="F242">
        <v>9</v>
      </c>
      <c r="G242">
        <v>2011</v>
      </c>
      <c r="H242" s="4" t="s">
        <v>17</v>
      </c>
      <c r="I242" t="s">
        <v>17</v>
      </c>
      <c r="J242" t="s">
        <v>17</v>
      </c>
      <c r="K242" t="s">
        <v>17</v>
      </c>
      <c r="L242">
        <v>0</v>
      </c>
      <c r="M242">
        <v>0</v>
      </c>
      <c r="N242">
        <v>1</v>
      </c>
      <c r="O242">
        <v>0</v>
      </c>
    </row>
    <row r="243" spans="1:15" x14ac:dyDescent="0.2">
      <c r="A243" t="s">
        <v>288</v>
      </c>
      <c r="B243" s="3">
        <v>40813</v>
      </c>
      <c r="C243">
        <v>11135</v>
      </c>
      <c r="D243" s="4" t="s">
        <v>23</v>
      </c>
      <c r="E243">
        <v>4</v>
      </c>
      <c r="F243">
        <v>9</v>
      </c>
      <c r="G243">
        <v>2011</v>
      </c>
      <c r="H243" s="4" t="s">
        <v>17</v>
      </c>
      <c r="I243" t="s">
        <v>17</v>
      </c>
      <c r="J243" t="s">
        <v>17</v>
      </c>
      <c r="K243" t="s">
        <v>17</v>
      </c>
      <c r="L243">
        <v>0</v>
      </c>
      <c r="M243">
        <v>0</v>
      </c>
      <c r="N243">
        <v>3</v>
      </c>
      <c r="O243">
        <v>0</v>
      </c>
    </row>
    <row r="244" spans="1:15" x14ac:dyDescent="0.2">
      <c r="A244" t="s">
        <v>289</v>
      </c>
      <c r="B244" s="3">
        <v>40814</v>
      </c>
      <c r="C244">
        <v>11135</v>
      </c>
      <c r="D244" s="4" t="s">
        <v>25</v>
      </c>
      <c r="E244">
        <v>5</v>
      </c>
      <c r="F244">
        <v>9</v>
      </c>
      <c r="G244">
        <v>2011</v>
      </c>
      <c r="H244" s="4" t="s">
        <v>17</v>
      </c>
      <c r="I244" t="s">
        <v>17</v>
      </c>
      <c r="J244" t="s">
        <v>17</v>
      </c>
      <c r="K244" t="s">
        <v>17</v>
      </c>
      <c r="L244">
        <v>0</v>
      </c>
      <c r="M244">
        <v>0</v>
      </c>
      <c r="N244">
        <v>2</v>
      </c>
      <c r="O244">
        <v>0</v>
      </c>
    </row>
    <row r="245" spans="1:15" x14ac:dyDescent="0.2">
      <c r="A245" t="s">
        <v>290</v>
      </c>
      <c r="B245" s="3">
        <v>40815</v>
      </c>
      <c r="C245">
        <v>11135</v>
      </c>
      <c r="D245" s="4" t="s">
        <v>27</v>
      </c>
      <c r="E245">
        <v>6</v>
      </c>
      <c r="F245">
        <v>9</v>
      </c>
      <c r="G245">
        <v>2011</v>
      </c>
      <c r="H245" s="4" t="s">
        <v>17</v>
      </c>
      <c r="I245" t="s">
        <v>17</v>
      </c>
      <c r="J245" t="s">
        <v>17</v>
      </c>
      <c r="K245" t="s">
        <v>17</v>
      </c>
      <c r="L245">
        <v>0</v>
      </c>
      <c r="M245">
        <v>0</v>
      </c>
      <c r="N245">
        <v>0</v>
      </c>
      <c r="O245">
        <v>0</v>
      </c>
    </row>
    <row r="246" spans="1:15" x14ac:dyDescent="0.2">
      <c r="A246" t="s">
        <v>291</v>
      </c>
      <c r="B246" s="3">
        <v>40816</v>
      </c>
      <c r="C246">
        <v>11135</v>
      </c>
      <c r="D246" s="4" t="s">
        <v>29</v>
      </c>
      <c r="E246">
        <v>7</v>
      </c>
      <c r="F246">
        <v>9</v>
      </c>
      <c r="G246">
        <v>2011</v>
      </c>
      <c r="H246" s="4" t="s">
        <v>17</v>
      </c>
      <c r="I246" t="s">
        <v>17</v>
      </c>
      <c r="J246" t="s">
        <v>17</v>
      </c>
      <c r="K246" t="s">
        <v>17</v>
      </c>
      <c r="L246">
        <v>0</v>
      </c>
      <c r="M246">
        <v>0</v>
      </c>
      <c r="N246">
        <v>0</v>
      </c>
      <c r="O246">
        <v>1</v>
      </c>
    </row>
    <row r="247" spans="1:15" x14ac:dyDescent="0.2">
      <c r="A247" t="s">
        <v>292</v>
      </c>
      <c r="B247" s="3">
        <v>40817</v>
      </c>
      <c r="C247">
        <v>11136</v>
      </c>
      <c r="D247" s="4" t="s">
        <v>16</v>
      </c>
      <c r="E247">
        <v>1</v>
      </c>
      <c r="F247">
        <v>10</v>
      </c>
      <c r="G247">
        <v>2011</v>
      </c>
      <c r="H247" s="4" t="s">
        <v>17</v>
      </c>
      <c r="I247" t="s">
        <v>17</v>
      </c>
      <c r="J247" t="s">
        <v>17</v>
      </c>
      <c r="K247" t="s">
        <v>17</v>
      </c>
      <c r="L247">
        <v>1</v>
      </c>
      <c r="M247">
        <v>0</v>
      </c>
      <c r="N247">
        <v>3</v>
      </c>
      <c r="O247">
        <v>0</v>
      </c>
    </row>
    <row r="248" spans="1:15" x14ac:dyDescent="0.2">
      <c r="A248" t="s">
        <v>293</v>
      </c>
      <c r="B248" s="3">
        <v>40818</v>
      </c>
      <c r="C248">
        <v>11136</v>
      </c>
      <c r="D248" s="4" t="s">
        <v>19</v>
      </c>
      <c r="E248">
        <v>2</v>
      </c>
      <c r="F248">
        <v>10</v>
      </c>
      <c r="G248">
        <v>2011</v>
      </c>
      <c r="H248" s="4" t="s">
        <v>17</v>
      </c>
      <c r="I248" t="s">
        <v>17</v>
      </c>
      <c r="J248" t="s">
        <v>17</v>
      </c>
      <c r="K248" t="s">
        <v>17</v>
      </c>
      <c r="L248">
        <v>1</v>
      </c>
      <c r="M248">
        <v>0</v>
      </c>
      <c r="N248">
        <v>0</v>
      </c>
      <c r="O248">
        <v>0</v>
      </c>
    </row>
    <row r="249" spans="1:15" x14ac:dyDescent="0.2">
      <c r="A249" t="s">
        <v>294</v>
      </c>
      <c r="B249" s="3">
        <v>40819</v>
      </c>
      <c r="C249">
        <v>11136</v>
      </c>
      <c r="D249" s="4" t="s">
        <v>21</v>
      </c>
      <c r="E249">
        <v>3</v>
      </c>
      <c r="F249">
        <v>10</v>
      </c>
      <c r="G249">
        <v>2011</v>
      </c>
      <c r="H249" s="4" t="s">
        <v>17</v>
      </c>
      <c r="I249" t="s">
        <v>17</v>
      </c>
      <c r="J249" t="s">
        <v>17</v>
      </c>
      <c r="K249" t="s">
        <v>17</v>
      </c>
      <c r="L249">
        <v>1</v>
      </c>
      <c r="M249">
        <v>0</v>
      </c>
      <c r="N249">
        <v>1</v>
      </c>
      <c r="O249">
        <v>1</v>
      </c>
    </row>
    <row r="250" spans="1:15" x14ac:dyDescent="0.2">
      <c r="A250" t="s">
        <v>295</v>
      </c>
      <c r="B250" s="3">
        <v>40820</v>
      </c>
      <c r="C250">
        <v>11136</v>
      </c>
      <c r="D250" s="4" t="s">
        <v>23</v>
      </c>
      <c r="E250">
        <v>4</v>
      </c>
      <c r="F250">
        <v>10</v>
      </c>
      <c r="G250">
        <v>2011</v>
      </c>
      <c r="H250" s="4" t="s">
        <v>17</v>
      </c>
      <c r="I250" t="s">
        <v>17</v>
      </c>
      <c r="J250" t="s">
        <v>17</v>
      </c>
      <c r="K250" t="s">
        <v>17</v>
      </c>
      <c r="L250">
        <v>1</v>
      </c>
      <c r="M250">
        <v>0</v>
      </c>
      <c r="N250">
        <v>0</v>
      </c>
      <c r="O250">
        <v>2</v>
      </c>
    </row>
    <row r="251" spans="1:15" x14ac:dyDescent="0.2">
      <c r="A251" t="s">
        <v>296</v>
      </c>
      <c r="B251" s="3">
        <v>40821</v>
      </c>
      <c r="C251">
        <v>11136</v>
      </c>
      <c r="D251" s="4" t="s">
        <v>25</v>
      </c>
      <c r="E251">
        <v>5</v>
      </c>
      <c r="F251">
        <v>10</v>
      </c>
      <c r="G251">
        <v>2011</v>
      </c>
      <c r="H251" s="4" t="s">
        <v>17</v>
      </c>
      <c r="I251" t="s">
        <v>17</v>
      </c>
      <c r="J251" t="s">
        <v>17</v>
      </c>
      <c r="K251" t="s">
        <v>17</v>
      </c>
      <c r="L251">
        <v>1</v>
      </c>
      <c r="M251">
        <v>0</v>
      </c>
      <c r="N251">
        <v>0</v>
      </c>
      <c r="O251">
        <v>0</v>
      </c>
    </row>
    <row r="252" spans="1:15" x14ac:dyDescent="0.2">
      <c r="A252" t="s">
        <v>297</v>
      </c>
      <c r="B252" s="3">
        <v>40822</v>
      </c>
      <c r="C252">
        <v>11136</v>
      </c>
      <c r="D252" s="4" t="s">
        <v>27</v>
      </c>
      <c r="E252">
        <v>6</v>
      </c>
      <c r="F252">
        <v>10</v>
      </c>
      <c r="G252">
        <v>2011</v>
      </c>
      <c r="H252" s="4" t="s">
        <v>17</v>
      </c>
      <c r="I252" t="s">
        <v>17</v>
      </c>
      <c r="J252" t="s">
        <v>17</v>
      </c>
      <c r="K252" t="s">
        <v>17</v>
      </c>
      <c r="L252">
        <v>1</v>
      </c>
      <c r="M252">
        <v>0</v>
      </c>
      <c r="N252">
        <v>0</v>
      </c>
      <c r="O252">
        <v>2</v>
      </c>
    </row>
    <row r="253" spans="1:15" x14ac:dyDescent="0.2">
      <c r="A253" t="s">
        <v>298</v>
      </c>
      <c r="B253" s="3">
        <v>40823</v>
      </c>
      <c r="C253">
        <v>11136</v>
      </c>
      <c r="D253" s="4" t="s">
        <v>29</v>
      </c>
      <c r="E253">
        <v>7</v>
      </c>
      <c r="F253">
        <v>10</v>
      </c>
      <c r="G253">
        <v>2011</v>
      </c>
      <c r="H253" s="4" t="s">
        <v>17</v>
      </c>
      <c r="I253" t="s">
        <v>17</v>
      </c>
      <c r="J253" t="s">
        <v>17</v>
      </c>
      <c r="K253" t="s">
        <v>17</v>
      </c>
      <c r="L253">
        <v>1</v>
      </c>
      <c r="M253">
        <v>0</v>
      </c>
      <c r="N253">
        <v>0</v>
      </c>
      <c r="O253">
        <v>1</v>
      </c>
    </row>
    <row r="254" spans="1:15" x14ac:dyDescent="0.2">
      <c r="A254" t="s">
        <v>299</v>
      </c>
      <c r="B254" s="3">
        <v>40824</v>
      </c>
      <c r="C254">
        <v>11137</v>
      </c>
      <c r="D254" s="4" t="s">
        <v>16</v>
      </c>
      <c r="E254">
        <v>1</v>
      </c>
      <c r="F254">
        <v>10</v>
      </c>
      <c r="G254">
        <v>2011</v>
      </c>
      <c r="H254" s="4" t="s">
        <v>17</v>
      </c>
      <c r="I254" t="s">
        <v>17</v>
      </c>
      <c r="J254" t="s">
        <v>17</v>
      </c>
      <c r="K254" t="s">
        <v>17</v>
      </c>
      <c r="L254">
        <v>1</v>
      </c>
      <c r="M254">
        <v>0</v>
      </c>
      <c r="N254">
        <v>1</v>
      </c>
      <c r="O254">
        <v>2</v>
      </c>
    </row>
    <row r="255" spans="1:15" x14ac:dyDescent="0.2">
      <c r="A255" t="s">
        <v>300</v>
      </c>
      <c r="B255" s="3">
        <v>40825</v>
      </c>
      <c r="C255">
        <v>11137</v>
      </c>
      <c r="D255" s="4" t="s">
        <v>19</v>
      </c>
      <c r="E255">
        <v>2</v>
      </c>
      <c r="F255">
        <v>10</v>
      </c>
      <c r="G255">
        <v>2011</v>
      </c>
      <c r="H255" s="4" t="s">
        <v>17</v>
      </c>
      <c r="I255" t="s">
        <v>17</v>
      </c>
      <c r="J255" t="s">
        <v>17</v>
      </c>
      <c r="K255" t="s">
        <v>17</v>
      </c>
      <c r="L255">
        <v>1</v>
      </c>
      <c r="M255">
        <v>0</v>
      </c>
      <c r="N255">
        <v>2</v>
      </c>
      <c r="O255">
        <v>1</v>
      </c>
    </row>
    <row r="256" spans="1:15" x14ac:dyDescent="0.2">
      <c r="A256" t="s">
        <v>301</v>
      </c>
      <c r="B256" s="3">
        <v>40826</v>
      </c>
      <c r="C256">
        <v>11137</v>
      </c>
      <c r="D256" s="4" t="s">
        <v>21</v>
      </c>
      <c r="E256">
        <v>3</v>
      </c>
      <c r="F256">
        <v>10</v>
      </c>
      <c r="G256">
        <v>2011</v>
      </c>
      <c r="H256" s="4" t="s">
        <v>302</v>
      </c>
      <c r="I256" t="s">
        <v>52</v>
      </c>
      <c r="J256" t="s">
        <v>17</v>
      </c>
      <c r="K256" t="s">
        <v>17</v>
      </c>
      <c r="L256">
        <v>1</v>
      </c>
      <c r="M256">
        <v>0</v>
      </c>
      <c r="N256">
        <v>1</v>
      </c>
      <c r="O256">
        <v>2</v>
      </c>
    </row>
    <row r="257" spans="1:15" x14ac:dyDescent="0.2">
      <c r="A257" t="s">
        <v>303</v>
      </c>
      <c r="B257" s="3">
        <v>40827</v>
      </c>
      <c r="C257">
        <v>11137</v>
      </c>
      <c r="D257" s="4" t="s">
        <v>23</v>
      </c>
      <c r="E257">
        <v>4</v>
      </c>
      <c r="F257">
        <v>10</v>
      </c>
      <c r="G257">
        <v>2011</v>
      </c>
      <c r="H257" s="4" t="s">
        <v>17</v>
      </c>
      <c r="I257" t="s">
        <v>17</v>
      </c>
      <c r="J257" t="s">
        <v>17</v>
      </c>
      <c r="K257" t="s">
        <v>17</v>
      </c>
      <c r="L257">
        <v>0</v>
      </c>
      <c r="M257">
        <v>0</v>
      </c>
      <c r="N257">
        <v>0</v>
      </c>
      <c r="O257">
        <v>2</v>
      </c>
    </row>
    <row r="258" spans="1:15" x14ac:dyDescent="0.2">
      <c r="A258" t="s">
        <v>304</v>
      </c>
      <c r="B258" s="3">
        <v>40828</v>
      </c>
      <c r="C258">
        <v>11137</v>
      </c>
      <c r="D258" s="4" t="s">
        <v>25</v>
      </c>
      <c r="E258">
        <v>5</v>
      </c>
      <c r="F258">
        <v>10</v>
      </c>
      <c r="G258">
        <v>2011</v>
      </c>
      <c r="H258" s="4" t="s">
        <v>17</v>
      </c>
      <c r="I258" t="s">
        <v>17</v>
      </c>
      <c r="J258" t="s">
        <v>17</v>
      </c>
      <c r="K258" t="s">
        <v>17</v>
      </c>
      <c r="L258">
        <v>0</v>
      </c>
      <c r="M258">
        <v>0</v>
      </c>
      <c r="N258">
        <v>0</v>
      </c>
      <c r="O258">
        <v>0</v>
      </c>
    </row>
    <row r="259" spans="1:15" x14ac:dyDescent="0.2">
      <c r="A259" t="s">
        <v>305</v>
      </c>
      <c r="B259" s="3">
        <v>40829</v>
      </c>
      <c r="C259">
        <v>11137</v>
      </c>
      <c r="D259" s="4" t="s">
        <v>27</v>
      </c>
      <c r="E259">
        <v>6</v>
      </c>
      <c r="F259">
        <v>10</v>
      </c>
      <c r="G259">
        <v>2011</v>
      </c>
      <c r="H259" s="4" t="s">
        <v>17</v>
      </c>
      <c r="I259" t="s">
        <v>17</v>
      </c>
      <c r="J259" t="s">
        <v>17</v>
      </c>
      <c r="K259" t="s">
        <v>17</v>
      </c>
      <c r="L259">
        <v>0</v>
      </c>
      <c r="M259">
        <v>0</v>
      </c>
      <c r="N259">
        <v>0</v>
      </c>
      <c r="O259">
        <v>0</v>
      </c>
    </row>
    <row r="260" spans="1:15" x14ac:dyDescent="0.2">
      <c r="A260" t="s">
        <v>306</v>
      </c>
      <c r="B260" s="3">
        <v>40830</v>
      </c>
      <c r="C260">
        <v>11137</v>
      </c>
      <c r="D260" s="4" t="s">
        <v>29</v>
      </c>
      <c r="E260">
        <v>7</v>
      </c>
      <c r="F260">
        <v>10</v>
      </c>
      <c r="G260">
        <v>2011</v>
      </c>
      <c r="H260" s="4" t="s">
        <v>17</v>
      </c>
      <c r="I260" t="s">
        <v>17</v>
      </c>
      <c r="J260" t="s">
        <v>17</v>
      </c>
      <c r="K260" t="s">
        <v>17</v>
      </c>
      <c r="L260">
        <v>0</v>
      </c>
      <c r="M260">
        <v>0</v>
      </c>
      <c r="N260">
        <v>2</v>
      </c>
      <c r="O260">
        <v>0</v>
      </c>
    </row>
    <row r="261" spans="1:15" x14ac:dyDescent="0.2">
      <c r="A261" t="s">
        <v>307</v>
      </c>
      <c r="B261" s="3">
        <v>40831</v>
      </c>
      <c r="C261">
        <v>11138</v>
      </c>
      <c r="D261" s="4" t="s">
        <v>16</v>
      </c>
      <c r="E261">
        <v>1</v>
      </c>
      <c r="F261">
        <v>10</v>
      </c>
      <c r="G261">
        <v>2011</v>
      </c>
      <c r="H261" s="4" t="s">
        <v>17</v>
      </c>
      <c r="I261" t="s">
        <v>17</v>
      </c>
      <c r="J261" t="s">
        <v>17</v>
      </c>
      <c r="K261" t="s">
        <v>17</v>
      </c>
      <c r="L261">
        <v>0</v>
      </c>
      <c r="M261">
        <v>0</v>
      </c>
      <c r="N261">
        <v>1</v>
      </c>
      <c r="O261">
        <v>1</v>
      </c>
    </row>
    <row r="262" spans="1:15" x14ac:dyDescent="0.2">
      <c r="A262" t="s">
        <v>308</v>
      </c>
      <c r="B262" s="3">
        <v>40832</v>
      </c>
      <c r="C262">
        <v>11138</v>
      </c>
      <c r="D262" s="4" t="s">
        <v>19</v>
      </c>
      <c r="E262">
        <v>2</v>
      </c>
      <c r="F262">
        <v>10</v>
      </c>
      <c r="G262">
        <v>2011</v>
      </c>
      <c r="H262" s="4" t="s">
        <v>17</v>
      </c>
      <c r="I262" t="s">
        <v>17</v>
      </c>
      <c r="J262" t="s">
        <v>17</v>
      </c>
      <c r="K262" t="s">
        <v>17</v>
      </c>
      <c r="L262">
        <v>0</v>
      </c>
      <c r="M262">
        <v>0</v>
      </c>
      <c r="N262">
        <v>3</v>
      </c>
      <c r="O262">
        <v>0</v>
      </c>
    </row>
    <row r="263" spans="1:15" x14ac:dyDescent="0.2">
      <c r="A263" t="s">
        <v>309</v>
      </c>
      <c r="B263" s="3">
        <v>40833</v>
      </c>
      <c r="C263">
        <v>11138</v>
      </c>
      <c r="D263" s="4" t="s">
        <v>21</v>
      </c>
      <c r="E263">
        <v>3</v>
      </c>
      <c r="F263">
        <v>10</v>
      </c>
      <c r="G263">
        <v>2011</v>
      </c>
      <c r="H263" s="4" t="s">
        <v>17</v>
      </c>
      <c r="I263" t="s">
        <v>17</v>
      </c>
      <c r="J263" t="s">
        <v>17</v>
      </c>
      <c r="K263" t="s">
        <v>17</v>
      </c>
      <c r="L263">
        <v>0</v>
      </c>
      <c r="M263">
        <v>0</v>
      </c>
      <c r="N263">
        <v>1</v>
      </c>
      <c r="O263">
        <v>1</v>
      </c>
    </row>
    <row r="264" spans="1:15" x14ac:dyDescent="0.2">
      <c r="A264" t="s">
        <v>310</v>
      </c>
      <c r="B264" s="3">
        <v>40834</v>
      </c>
      <c r="C264">
        <v>11138</v>
      </c>
      <c r="D264" s="4" t="s">
        <v>23</v>
      </c>
      <c r="E264">
        <v>4</v>
      </c>
      <c r="F264">
        <v>10</v>
      </c>
      <c r="G264">
        <v>2011</v>
      </c>
      <c r="H264" s="4" t="s">
        <v>17</v>
      </c>
      <c r="I264" t="s">
        <v>17</v>
      </c>
      <c r="J264" t="s">
        <v>17</v>
      </c>
      <c r="K264" t="s">
        <v>17</v>
      </c>
      <c r="L264">
        <v>0</v>
      </c>
      <c r="M264">
        <v>0</v>
      </c>
      <c r="N264">
        <v>0</v>
      </c>
      <c r="O264">
        <v>2</v>
      </c>
    </row>
    <row r="265" spans="1:15" x14ac:dyDescent="0.2">
      <c r="A265" t="s">
        <v>311</v>
      </c>
      <c r="B265" s="3">
        <v>40835</v>
      </c>
      <c r="C265">
        <v>11138</v>
      </c>
      <c r="D265" s="4" t="s">
        <v>25</v>
      </c>
      <c r="E265">
        <v>5</v>
      </c>
      <c r="F265">
        <v>10</v>
      </c>
      <c r="G265">
        <v>2011</v>
      </c>
      <c r="H265" s="4" t="s">
        <v>17</v>
      </c>
      <c r="I265" t="s">
        <v>17</v>
      </c>
      <c r="J265" t="s">
        <v>17</v>
      </c>
      <c r="K265" t="s">
        <v>17</v>
      </c>
      <c r="L265">
        <v>0</v>
      </c>
      <c r="M265">
        <v>0</v>
      </c>
      <c r="N265">
        <v>0</v>
      </c>
      <c r="O265">
        <v>0</v>
      </c>
    </row>
    <row r="266" spans="1:15" x14ac:dyDescent="0.2">
      <c r="A266" t="s">
        <v>312</v>
      </c>
      <c r="B266" s="3">
        <v>40836</v>
      </c>
      <c r="C266">
        <v>11138</v>
      </c>
      <c r="D266" s="4" t="s">
        <v>27</v>
      </c>
      <c r="E266">
        <v>6</v>
      </c>
      <c r="F266">
        <v>10</v>
      </c>
      <c r="G266">
        <v>2011</v>
      </c>
      <c r="H266" s="4" t="s">
        <v>17</v>
      </c>
      <c r="I266" t="s">
        <v>17</v>
      </c>
      <c r="J266" t="s">
        <v>17</v>
      </c>
      <c r="K266" t="s">
        <v>17</v>
      </c>
      <c r="L266">
        <v>0</v>
      </c>
      <c r="M266">
        <v>0</v>
      </c>
      <c r="N266">
        <v>1</v>
      </c>
      <c r="O266">
        <v>1</v>
      </c>
    </row>
    <row r="267" spans="1:15" x14ac:dyDescent="0.2">
      <c r="A267" t="s">
        <v>313</v>
      </c>
      <c r="B267" s="3">
        <v>40837</v>
      </c>
      <c r="C267">
        <v>11138</v>
      </c>
      <c r="D267" s="4" t="s">
        <v>29</v>
      </c>
      <c r="E267">
        <v>7</v>
      </c>
      <c r="F267">
        <v>10</v>
      </c>
      <c r="G267">
        <v>2011</v>
      </c>
      <c r="H267" s="4" t="s">
        <v>17</v>
      </c>
      <c r="I267" t="s">
        <v>17</v>
      </c>
      <c r="J267" t="s">
        <v>17</v>
      </c>
      <c r="K267" t="s">
        <v>17</v>
      </c>
      <c r="L267">
        <v>0</v>
      </c>
      <c r="M267">
        <v>0</v>
      </c>
      <c r="N267">
        <v>0</v>
      </c>
      <c r="O267">
        <v>1</v>
      </c>
    </row>
    <row r="268" spans="1:15" x14ac:dyDescent="0.2">
      <c r="A268" t="s">
        <v>314</v>
      </c>
      <c r="B268" s="3">
        <v>40838</v>
      </c>
      <c r="C268">
        <v>11139</v>
      </c>
      <c r="D268" s="4" t="s">
        <v>16</v>
      </c>
      <c r="E268">
        <v>1</v>
      </c>
      <c r="F268">
        <v>10</v>
      </c>
      <c r="G268">
        <v>2011</v>
      </c>
      <c r="H268" s="4" t="s">
        <v>17</v>
      </c>
      <c r="I268" t="s">
        <v>17</v>
      </c>
      <c r="J268" t="s">
        <v>17</v>
      </c>
      <c r="K268" t="s">
        <v>17</v>
      </c>
      <c r="L268">
        <v>0</v>
      </c>
      <c r="M268">
        <v>0</v>
      </c>
      <c r="N268">
        <v>0</v>
      </c>
      <c r="O268">
        <v>0</v>
      </c>
    </row>
    <row r="269" spans="1:15" x14ac:dyDescent="0.2">
      <c r="A269" t="s">
        <v>315</v>
      </c>
      <c r="B269" s="3">
        <v>40839</v>
      </c>
      <c r="C269">
        <v>11139</v>
      </c>
      <c r="D269" s="4" t="s">
        <v>19</v>
      </c>
      <c r="E269">
        <v>2</v>
      </c>
      <c r="F269">
        <v>10</v>
      </c>
      <c r="G269">
        <v>2011</v>
      </c>
      <c r="H269" s="4" t="s">
        <v>17</v>
      </c>
      <c r="I269" t="s">
        <v>17</v>
      </c>
      <c r="J269" t="s">
        <v>17</v>
      </c>
      <c r="K269" t="s">
        <v>17</v>
      </c>
      <c r="L269">
        <v>0</v>
      </c>
      <c r="M269">
        <v>0</v>
      </c>
      <c r="N269">
        <v>0</v>
      </c>
      <c r="O269">
        <v>3</v>
      </c>
    </row>
    <row r="270" spans="1:15" x14ac:dyDescent="0.2">
      <c r="A270" t="s">
        <v>316</v>
      </c>
      <c r="B270" s="3">
        <v>40840</v>
      </c>
      <c r="C270">
        <v>11139</v>
      </c>
      <c r="D270" s="4" t="s">
        <v>21</v>
      </c>
      <c r="E270">
        <v>3</v>
      </c>
      <c r="F270">
        <v>10</v>
      </c>
      <c r="G270">
        <v>2011</v>
      </c>
      <c r="H270" s="4" t="s">
        <v>17</v>
      </c>
      <c r="I270" t="s">
        <v>17</v>
      </c>
      <c r="J270" t="s">
        <v>17</v>
      </c>
      <c r="K270" t="s">
        <v>17</v>
      </c>
      <c r="L270">
        <v>0</v>
      </c>
      <c r="M270">
        <v>0</v>
      </c>
      <c r="N270">
        <v>2</v>
      </c>
      <c r="O270">
        <v>0</v>
      </c>
    </row>
    <row r="271" spans="1:15" x14ac:dyDescent="0.2">
      <c r="A271" t="s">
        <v>317</v>
      </c>
      <c r="B271" s="3">
        <v>40841</v>
      </c>
      <c r="C271">
        <v>11139</v>
      </c>
      <c r="D271" s="4" t="s">
        <v>23</v>
      </c>
      <c r="E271">
        <v>4</v>
      </c>
      <c r="F271">
        <v>10</v>
      </c>
      <c r="G271">
        <v>2011</v>
      </c>
      <c r="H271" s="4" t="s">
        <v>17</v>
      </c>
      <c r="I271" t="s">
        <v>17</v>
      </c>
      <c r="J271" t="s">
        <v>17</v>
      </c>
      <c r="K271" t="s">
        <v>17</v>
      </c>
      <c r="L271">
        <v>0</v>
      </c>
      <c r="M271">
        <v>0</v>
      </c>
      <c r="N271">
        <v>0</v>
      </c>
      <c r="O271">
        <v>0</v>
      </c>
    </row>
    <row r="272" spans="1:15" x14ac:dyDescent="0.2">
      <c r="A272" t="s">
        <v>318</v>
      </c>
      <c r="B272" s="3">
        <v>40842</v>
      </c>
      <c r="C272">
        <v>11139</v>
      </c>
      <c r="D272" s="4" t="s">
        <v>25</v>
      </c>
      <c r="E272">
        <v>5</v>
      </c>
      <c r="F272">
        <v>10</v>
      </c>
      <c r="G272">
        <v>2011</v>
      </c>
      <c r="H272" s="4" t="s">
        <v>17</v>
      </c>
      <c r="I272" t="s">
        <v>17</v>
      </c>
      <c r="J272" t="s">
        <v>17</v>
      </c>
      <c r="K272" t="s">
        <v>17</v>
      </c>
      <c r="L272">
        <v>0</v>
      </c>
      <c r="M272">
        <v>0</v>
      </c>
      <c r="N272">
        <v>0</v>
      </c>
      <c r="O272">
        <v>4</v>
      </c>
    </row>
    <row r="273" spans="1:15" x14ac:dyDescent="0.2">
      <c r="A273" t="s">
        <v>319</v>
      </c>
      <c r="B273" s="3">
        <v>40843</v>
      </c>
      <c r="C273">
        <v>11139</v>
      </c>
      <c r="D273" s="4" t="s">
        <v>27</v>
      </c>
      <c r="E273">
        <v>6</v>
      </c>
      <c r="F273">
        <v>10</v>
      </c>
      <c r="G273">
        <v>2011</v>
      </c>
      <c r="H273" s="4" t="s">
        <v>17</v>
      </c>
      <c r="I273" t="s">
        <v>17</v>
      </c>
      <c r="J273" t="s">
        <v>17</v>
      </c>
      <c r="K273" t="s">
        <v>17</v>
      </c>
      <c r="L273">
        <v>0</v>
      </c>
      <c r="M273">
        <v>0</v>
      </c>
      <c r="N273">
        <v>0</v>
      </c>
      <c r="O273">
        <v>0</v>
      </c>
    </row>
    <row r="274" spans="1:15" x14ac:dyDescent="0.2">
      <c r="A274" t="s">
        <v>320</v>
      </c>
      <c r="B274" s="3">
        <v>40844</v>
      </c>
      <c r="C274">
        <v>11139</v>
      </c>
      <c r="D274" s="4" t="s">
        <v>29</v>
      </c>
      <c r="E274">
        <v>7</v>
      </c>
      <c r="F274">
        <v>10</v>
      </c>
      <c r="G274">
        <v>2011</v>
      </c>
      <c r="H274" s="4" t="s">
        <v>17</v>
      </c>
      <c r="I274" t="s">
        <v>17</v>
      </c>
      <c r="J274" t="s">
        <v>17</v>
      </c>
      <c r="K274" t="s">
        <v>17</v>
      </c>
      <c r="L274">
        <v>0</v>
      </c>
      <c r="M274">
        <v>0</v>
      </c>
      <c r="N274">
        <v>2</v>
      </c>
      <c r="O274">
        <v>2</v>
      </c>
    </row>
    <row r="275" spans="1:15" x14ac:dyDescent="0.2">
      <c r="A275" t="s">
        <v>321</v>
      </c>
      <c r="B275" s="3">
        <v>40845</v>
      </c>
      <c r="C275">
        <v>11140</v>
      </c>
      <c r="D275" s="4" t="s">
        <v>16</v>
      </c>
      <c r="E275">
        <v>1</v>
      </c>
      <c r="F275">
        <v>10</v>
      </c>
      <c r="G275">
        <v>2011</v>
      </c>
      <c r="H275" s="4" t="s">
        <v>17</v>
      </c>
      <c r="I275" t="s">
        <v>17</v>
      </c>
      <c r="J275" t="s">
        <v>17</v>
      </c>
      <c r="K275" t="s">
        <v>17</v>
      </c>
      <c r="L275">
        <v>0</v>
      </c>
      <c r="M275">
        <v>0</v>
      </c>
      <c r="N275">
        <v>1</v>
      </c>
      <c r="O275">
        <v>3</v>
      </c>
    </row>
    <row r="276" spans="1:15" x14ac:dyDescent="0.2">
      <c r="A276" t="s">
        <v>322</v>
      </c>
      <c r="B276" s="3">
        <v>40846</v>
      </c>
      <c r="C276">
        <v>11140</v>
      </c>
      <c r="D276" s="4" t="s">
        <v>19</v>
      </c>
      <c r="E276">
        <v>2</v>
      </c>
      <c r="F276">
        <v>10</v>
      </c>
      <c r="G276">
        <v>2011</v>
      </c>
      <c r="H276" s="4" t="s">
        <v>17</v>
      </c>
      <c r="I276" t="s">
        <v>17</v>
      </c>
      <c r="J276" t="s">
        <v>17</v>
      </c>
      <c r="K276" t="s">
        <v>17</v>
      </c>
      <c r="L276">
        <v>0</v>
      </c>
      <c r="M276">
        <v>0</v>
      </c>
      <c r="N276">
        <v>2</v>
      </c>
      <c r="O276">
        <v>2</v>
      </c>
    </row>
    <row r="277" spans="1:15" x14ac:dyDescent="0.2">
      <c r="A277" t="s">
        <v>323</v>
      </c>
      <c r="B277" s="3">
        <v>40847</v>
      </c>
      <c r="C277">
        <v>11140</v>
      </c>
      <c r="D277" s="4" t="s">
        <v>21</v>
      </c>
      <c r="E277">
        <v>3</v>
      </c>
      <c r="F277">
        <v>10</v>
      </c>
      <c r="G277">
        <v>2011</v>
      </c>
      <c r="H277" s="4" t="s">
        <v>324</v>
      </c>
      <c r="I277" t="s">
        <v>43</v>
      </c>
      <c r="J277" t="s">
        <v>17</v>
      </c>
      <c r="K277" t="s">
        <v>17</v>
      </c>
      <c r="L277">
        <v>0</v>
      </c>
      <c r="M277">
        <v>0</v>
      </c>
      <c r="N277">
        <v>1</v>
      </c>
      <c r="O277">
        <v>0</v>
      </c>
    </row>
    <row r="278" spans="1:15" x14ac:dyDescent="0.2">
      <c r="A278" t="s">
        <v>325</v>
      </c>
      <c r="B278" s="3">
        <v>40848</v>
      </c>
      <c r="C278">
        <v>11140</v>
      </c>
      <c r="D278" s="4" t="s">
        <v>23</v>
      </c>
      <c r="E278">
        <v>4</v>
      </c>
      <c r="F278">
        <v>11</v>
      </c>
      <c r="G278">
        <v>2011</v>
      </c>
      <c r="H278" s="4" t="s">
        <v>17</v>
      </c>
      <c r="I278" t="s">
        <v>17</v>
      </c>
      <c r="J278" t="s">
        <v>17</v>
      </c>
      <c r="K278" t="s">
        <v>17</v>
      </c>
      <c r="L278">
        <v>1</v>
      </c>
      <c r="M278">
        <v>0</v>
      </c>
      <c r="N278">
        <v>0</v>
      </c>
      <c r="O278">
        <v>1</v>
      </c>
    </row>
    <row r="279" spans="1:15" x14ac:dyDescent="0.2">
      <c r="A279" t="s">
        <v>326</v>
      </c>
      <c r="B279" s="3">
        <v>40849</v>
      </c>
      <c r="C279">
        <v>11140</v>
      </c>
      <c r="D279" s="4" t="s">
        <v>25</v>
      </c>
      <c r="E279">
        <v>5</v>
      </c>
      <c r="F279">
        <v>11</v>
      </c>
      <c r="G279">
        <v>2011</v>
      </c>
      <c r="H279" s="4" t="s">
        <v>17</v>
      </c>
      <c r="I279" t="s">
        <v>17</v>
      </c>
      <c r="J279" t="s">
        <v>17</v>
      </c>
      <c r="K279" t="s">
        <v>17</v>
      </c>
      <c r="L279">
        <v>1</v>
      </c>
      <c r="M279">
        <v>3</v>
      </c>
      <c r="N279">
        <v>0</v>
      </c>
      <c r="O279">
        <v>1</v>
      </c>
    </row>
    <row r="280" spans="1:15" x14ac:dyDescent="0.2">
      <c r="A280" t="s">
        <v>327</v>
      </c>
      <c r="B280" s="3">
        <v>40850</v>
      </c>
      <c r="C280">
        <v>11140</v>
      </c>
      <c r="D280" s="4" t="s">
        <v>27</v>
      </c>
      <c r="E280">
        <v>6</v>
      </c>
      <c r="F280">
        <v>11</v>
      </c>
      <c r="G280">
        <v>2011</v>
      </c>
      <c r="H280" s="4" t="s">
        <v>17</v>
      </c>
      <c r="I280" t="s">
        <v>17</v>
      </c>
      <c r="J280" t="s">
        <v>17</v>
      </c>
      <c r="K280" t="s">
        <v>17</v>
      </c>
      <c r="L280">
        <v>1</v>
      </c>
      <c r="M280">
        <v>1</v>
      </c>
      <c r="N280">
        <v>0</v>
      </c>
      <c r="O280">
        <v>0</v>
      </c>
    </row>
    <row r="281" spans="1:15" x14ac:dyDescent="0.2">
      <c r="A281" t="s">
        <v>328</v>
      </c>
      <c r="B281" s="3">
        <v>40851</v>
      </c>
      <c r="C281">
        <v>11140</v>
      </c>
      <c r="D281" s="4" t="s">
        <v>29</v>
      </c>
      <c r="E281">
        <v>7</v>
      </c>
      <c r="F281">
        <v>11</v>
      </c>
      <c r="G281">
        <v>2011</v>
      </c>
      <c r="H281" s="4" t="s">
        <v>17</v>
      </c>
      <c r="I281" t="s">
        <v>17</v>
      </c>
      <c r="J281" t="s">
        <v>17</v>
      </c>
      <c r="K281" t="s">
        <v>17</v>
      </c>
      <c r="L281">
        <v>1</v>
      </c>
      <c r="M281">
        <v>4</v>
      </c>
      <c r="N281">
        <v>3</v>
      </c>
      <c r="O281">
        <v>2</v>
      </c>
    </row>
    <row r="282" spans="1:15" x14ac:dyDescent="0.2">
      <c r="A282" t="s">
        <v>329</v>
      </c>
      <c r="B282" s="3">
        <v>40852</v>
      </c>
      <c r="C282">
        <v>11141</v>
      </c>
      <c r="D282" s="4" t="s">
        <v>16</v>
      </c>
      <c r="E282">
        <v>1</v>
      </c>
      <c r="F282">
        <v>11</v>
      </c>
      <c r="G282">
        <v>2011</v>
      </c>
      <c r="H282" s="4" t="s">
        <v>17</v>
      </c>
      <c r="I282" t="s">
        <v>17</v>
      </c>
      <c r="J282" t="s">
        <v>17</v>
      </c>
      <c r="K282" t="s">
        <v>17</v>
      </c>
      <c r="L282">
        <v>1</v>
      </c>
      <c r="M282">
        <v>2</v>
      </c>
      <c r="N282">
        <v>1</v>
      </c>
      <c r="O282">
        <v>0</v>
      </c>
    </row>
    <row r="283" spans="1:15" x14ac:dyDescent="0.2">
      <c r="A283" t="s">
        <v>330</v>
      </c>
      <c r="B283" s="3">
        <v>40853</v>
      </c>
      <c r="C283">
        <v>11141</v>
      </c>
      <c r="D283" s="4" t="s">
        <v>19</v>
      </c>
      <c r="E283">
        <v>2</v>
      </c>
      <c r="F283">
        <v>11</v>
      </c>
      <c r="G283">
        <v>2011</v>
      </c>
      <c r="H283" s="4" t="s">
        <v>17</v>
      </c>
      <c r="I283" t="s">
        <v>17</v>
      </c>
      <c r="J283" t="s">
        <v>17</v>
      </c>
      <c r="K283" t="s">
        <v>17</v>
      </c>
      <c r="L283">
        <v>1</v>
      </c>
      <c r="M283">
        <v>1</v>
      </c>
      <c r="N283">
        <v>1</v>
      </c>
      <c r="O283">
        <v>0</v>
      </c>
    </row>
    <row r="284" spans="1:15" x14ac:dyDescent="0.2">
      <c r="A284" t="s">
        <v>331</v>
      </c>
      <c r="B284" s="3">
        <v>40854</v>
      </c>
      <c r="C284">
        <v>11141</v>
      </c>
      <c r="D284" s="4" t="s">
        <v>21</v>
      </c>
      <c r="E284">
        <v>3</v>
      </c>
      <c r="F284">
        <v>11</v>
      </c>
      <c r="G284">
        <v>2011</v>
      </c>
      <c r="H284" s="4" t="s">
        <v>332</v>
      </c>
      <c r="I284" t="s">
        <v>70</v>
      </c>
      <c r="J284" t="s">
        <v>17</v>
      </c>
      <c r="K284" t="s">
        <v>17</v>
      </c>
      <c r="L284">
        <v>1</v>
      </c>
      <c r="M284">
        <v>0</v>
      </c>
      <c r="N284">
        <v>0</v>
      </c>
      <c r="O284">
        <v>0</v>
      </c>
    </row>
    <row r="285" spans="1:15" x14ac:dyDescent="0.2">
      <c r="A285" t="s">
        <v>333</v>
      </c>
      <c r="B285" s="3">
        <v>40855</v>
      </c>
      <c r="C285">
        <v>11141</v>
      </c>
      <c r="D285" s="4" t="s">
        <v>23</v>
      </c>
      <c r="E285">
        <v>4</v>
      </c>
      <c r="F285">
        <v>11</v>
      </c>
      <c r="G285">
        <v>2011</v>
      </c>
      <c r="H285" s="4" t="s">
        <v>17</v>
      </c>
      <c r="I285" t="s">
        <v>17</v>
      </c>
      <c r="J285" t="s">
        <v>17</v>
      </c>
      <c r="K285" t="s">
        <v>17</v>
      </c>
      <c r="L285">
        <v>1</v>
      </c>
      <c r="M285">
        <v>2</v>
      </c>
      <c r="N285">
        <v>1</v>
      </c>
      <c r="O285">
        <v>0</v>
      </c>
    </row>
    <row r="286" spans="1:15" x14ac:dyDescent="0.2">
      <c r="A286" t="s">
        <v>334</v>
      </c>
      <c r="B286" s="3">
        <v>40856</v>
      </c>
      <c r="C286">
        <v>11141</v>
      </c>
      <c r="D286" s="4" t="s">
        <v>25</v>
      </c>
      <c r="E286">
        <v>5</v>
      </c>
      <c r="F286">
        <v>11</v>
      </c>
      <c r="G286">
        <v>2011</v>
      </c>
      <c r="H286" s="4" t="s">
        <v>17</v>
      </c>
      <c r="I286" t="s">
        <v>17</v>
      </c>
      <c r="J286" t="s">
        <v>17</v>
      </c>
      <c r="K286" t="s">
        <v>17</v>
      </c>
      <c r="L286">
        <v>1</v>
      </c>
      <c r="M286">
        <v>1</v>
      </c>
      <c r="N286">
        <v>3</v>
      </c>
      <c r="O286">
        <v>1</v>
      </c>
    </row>
    <row r="287" spans="1:15" x14ac:dyDescent="0.2">
      <c r="A287" t="s">
        <v>335</v>
      </c>
      <c r="B287" s="3">
        <v>40857</v>
      </c>
      <c r="C287">
        <v>11141</v>
      </c>
      <c r="D287" s="4" t="s">
        <v>27</v>
      </c>
      <c r="E287">
        <v>6</v>
      </c>
      <c r="F287">
        <v>11</v>
      </c>
      <c r="G287">
        <v>2011</v>
      </c>
      <c r="H287" s="4" t="s">
        <v>17</v>
      </c>
      <c r="I287" t="s">
        <v>17</v>
      </c>
      <c r="J287" t="s">
        <v>17</v>
      </c>
      <c r="K287" t="s">
        <v>17</v>
      </c>
      <c r="L287">
        <v>1</v>
      </c>
      <c r="M287">
        <v>0</v>
      </c>
      <c r="N287">
        <v>0</v>
      </c>
      <c r="O287">
        <v>1</v>
      </c>
    </row>
    <row r="288" spans="1:15" x14ac:dyDescent="0.2">
      <c r="A288" t="s">
        <v>336</v>
      </c>
      <c r="B288" s="3">
        <v>40858</v>
      </c>
      <c r="C288">
        <v>11141</v>
      </c>
      <c r="D288" s="4" t="s">
        <v>29</v>
      </c>
      <c r="E288">
        <v>7</v>
      </c>
      <c r="F288">
        <v>11</v>
      </c>
      <c r="G288">
        <v>2011</v>
      </c>
      <c r="H288" s="4" t="s">
        <v>337</v>
      </c>
      <c r="I288" t="s">
        <v>52</v>
      </c>
      <c r="J288" t="s">
        <v>17</v>
      </c>
      <c r="K288" t="s">
        <v>17</v>
      </c>
      <c r="L288">
        <v>0</v>
      </c>
      <c r="M288">
        <v>1</v>
      </c>
      <c r="N288">
        <v>0</v>
      </c>
      <c r="O288">
        <v>0</v>
      </c>
    </row>
    <row r="289" spans="1:15" x14ac:dyDescent="0.2">
      <c r="A289" t="s">
        <v>338</v>
      </c>
      <c r="B289" s="3">
        <v>40859</v>
      </c>
      <c r="C289">
        <v>11142</v>
      </c>
      <c r="D289" s="4" t="s">
        <v>16</v>
      </c>
      <c r="E289">
        <v>1</v>
      </c>
      <c r="F289">
        <v>11</v>
      </c>
      <c r="G289">
        <v>2011</v>
      </c>
      <c r="H289" s="4" t="s">
        <v>17</v>
      </c>
      <c r="I289" t="s">
        <v>17</v>
      </c>
      <c r="J289" t="s">
        <v>17</v>
      </c>
      <c r="K289" t="s">
        <v>17</v>
      </c>
      <c r="L289">
        <v>0</v>
      </c>
      <c r="M289">
        <v>0</v>
      </c>
      <c r="N289">
        <v>0</v>
      </c>
      <c r="O289">
        <v>2</v>
      </c>
    </row>
    <row r="290" spans="1:15" x14ac:dyDescent="0.2">
      <c r="A290" t="s">
        <v>339</v>
      </c>
      <c r="B290" s="3">
        <v>40860</v>
      </c>
      <c r="C290">
        <v>11142</v>
      </c>
      <c r="D290" s="4" t="s">
        <v>19</v>
      </c>
      <c r="E290">
        <v>2</v>
      </c>
      <c r="F290">
        <v>11</v>
      </c>
      <c r="G290">
        <v>2011</v>
      </c>
      <c r="H290" s="4" t="s">
        <v>17</v>
      </c>
      <c r="I290" t="s">
        <v>17</v>
      </c>
      <c r="J290" t="s">
        <v>17</v>
      </c>
      <c r="K290" t="s">
        <v>17</v>
      </c>
      <c r="L290">
        <v>0</v>
      </c>
      <c r="M290">
        <v>6</v>
      </c>
      <c r="N290">
        <v>0</v>
      </c>
      <c r="O290">
        <v>0</v>
      </c>
    </row>
    <row r="291" spans="1:15" x14ac:dyDescent="0.2">
      <c r="A291" t="s">
        <v>340</v>
      </c>
      <c r="B291" s="3">
        <v>40861</v>
      </c>
      <c r="C291">
        <v>11142</v>
      </c>
      <c r="D291" s="4" t="s">
        <v>21</v>
      </c>
      <c r="E291">
        <v>3</v>
      </c>
      <c r="F291">
        <v>11</v>
      </c>
      <c r="G291">
        <v>2011</v>
      </c>
      <c r="H291" s="4" t="s">
        <v>17</v>
      </c>
      <c r="I291" t="s">
        <v>17</v>
      </c>
      <c r="J291" t="s">
        <v>17</v>
      </c>
      <c r="K291" t="s">
        <v>17</v>
      </c>
      <c r="L291">
        <v>0</v>
      </c>
      <c r="M291">
        <v>1</v>
      </c>
      <c r="N291">
        <v>1</v>
      </c>
      <c r="O291">
        <v>0</v>
      </c>
    </row>
    <row r="292" spans="1:15" x14ac:dyDescent="0.2">
      <c r="A292" t="s">
        <v>341</v>
      </c>
      <c r="B292" s="3">
        <v>40862</v>
      </c>
      <c r="C292">
        <v>11142</v>
      </c>
      <c r="D292" s="4" t="s">
        <v>23</v>
      </c>
      <c r="E292">
        <v>4</v>
      </c>
      <c r="F292">
        <v>11</v>
      </c>
      <c r="G292">
        <v>2011</v>
      </c>
      <c r="H292" s="4" t="s">
        <v>17</v>
      </c>
      <c r="I292" t="s">
        <v>17</v>
      </c>
      <c r="J292" t="s">
        <v>17</v>
      </c>
      <c r="K292" t="s">
        <v>17</v>
      </c>
      <c r="L292">
        <v>0</v>
      </c>
      <c r="M292">
        <v>0</v>
      </c>
      <c r="N292">
        <v>1</v>
      </c>
      <c r="O292">
        <v>1</v>
      </c>
    </row>
    <row r="293" spans="1:15" x14ac:dyDescent="0.2">
      <c r="A293" t="s">
        <v>342</v>
      </c>
      <c r="B293" s="3">
        <v>40863</v>
      </c>
      <c r="C293">
        <v>11142</v>
      </c>
      <c r="D293" s="4" t="s">
        <v>25</v>
      </c>
      <c r="E293">
        <v>5</v>
      </c>
      <c r="F293">
        <v>11</v>
      </c>
      <c r="G293">
        <v>2011</v>
      </c>
      <c r="H293" s="4" t="s">
        <v>17</v>
      </c>
      <c r="I293" t="s">
        <v>17</v>
      </c>
      <c r="J293" t="s">
        <v>17</v>
      </c>
      <c r="K293" t="s">
        <v>17</v>
      </c>
      <c r="L293">
        <v>0</v>
      </c>
      <c r="M293">
        <v>0</v>
      </c>
      <c r="N293">
        <v>1</v>
      </c>
      <c r="O293">
        <v>0</v>
      </c>
    </row>
    <row r="294" spans="1:15" x14ac:dyDescent="0.2">
      <c r="A294" t="s">
        <v>343</v>
      </c>
      <c r="B294" s="3">
        <v>40864</v>
      </c>
      <c r="C294">
        <v>11142</v>
      </c>
      <c r="D294" s="4" t="s">
        <v>27</v>
      </c>
      <c r="E294">
        <v>6</v>
      </c>
      <c r="F294">
        <v>11</v>
      </c>
      <c r="G294">
        <v>2011</v>
      </c>
      <c r="H294" s="4" t="s">
        <v>17</v>
      </c>
      <c r="I294" t="s">
        <v>17</v>
      </c>
      <c r="J294" t="s">
        <v>17</v>
      </c>
      <c r="K294" t="s">
        <v>17</v>
      </c>
      <c r="L294">
        <v>0</v>
      </c>
      <c r="M294">
        <v>0</v>
      </c>
      <c r="N294">
        <v>1</v>
      </c>
      <c r="O294">
        <v>1</v>
      </c>
    </row>
    <row r="295" spans="1:15" x14ac:dyDescent="0.2">
      <c r="A295" t="s">
        <v>344</v>
      </c>
      <c r="B295" s="3">
        <v>40865</v>
      </c>
      <c r="C295">
        <v>11142</v>
      </c>
      <c r="D295" s="4" t="s">
        <v>29</v>
      </c>
      <c r="E295">
        <v>7</v>
      </c>
      <c r="F295">
        <v>11</v>
      </c>
      <c r="G295">
        <v>2011</v>
      </c>
      <c r="H295" s="4" t="s">
        <v>17</v>
      </c>
      <c r="I295" t="s">
        <v>17</v>
      </c>
      <c r="J295" t="s">
        <v>17</v>
      </c>
      <c r="K295" t="s">
        <v>17</v>
      </c>
      <c r="L295">
        <v>0</v>
      </c>
      <c r="M295">
        <v>1</v>
      </c>
      <c r="N295">
        <v>4</v>
      </c>
      <c r="O295">
        <v>1</v>
      </c>
    </row>
    <row r="296" spans="1:15" x14ac:dyDescent="0.2">
      <c r="A296" t="s">
        <v>345</v>
      </c>
      <c r="B296" s="3">
        <v>40866</v>
      </c>
      <c r="C296">
        <v>11143</v>
      </c>
      <c r="D296" s="4" t="s">
        <v>16</v>
      </c>
      <c r="E296">
        <v>1</v>
      </c>
      <c r="F296">
        <v>11</v>
      </c>
      <c r="G296">
        <v>2011</v>
      </c>
      <c r="H296" s="4" t="s">
        <v>17</v>
      </c>
      <c r="I296" t="s">
        <v>17</v>
      </c>
      <c r="J296" t="s">
        <v>17</v>
      </c>
      <c r="K296" t="s">
        <v>17</v>
      </c>
      <c r="L296">
        <v>0</v>
      </c>
      <c r="M296">
        <v>3</v>
      </c>
      <c r="N296">
        <v>0</v>
      </c>
      <c r="O296">
        <v>3</v>
      </c>
    </row>
    <row r="297" spans="1:15" x14ac:dyDescent="0.2">
      <c r="A297" t="s">
        <v>346</v>
      </c>
      <c r="B297" s="3">
        <v>40867</v>
      </c>
      <c r="C297">
        <v>11143</v>
      </c>
      <c r="D297" s="4" t="s">
        <v>19</v>
      </c>
      <c r="E297">
        <v>2</v>
      </c>
      <c r="F297">
        <v>11</v>
      </c>
      <c r="G297">
        <v>2011</v>
      </c>
      <c r="H297" s="4" t="s">
        <v>17</v>
      </c>
      <c r="I297" t="s">
        <v>17</v>
      </c>
      <c r="J297" t="s">
        <v>17</v>
      </c>
      <c r="K297" t="s">
        <v>17</v>
      </c>
      <c r="L297">
        <v>0</v>
      </c>
      <c r="M297">
        <v>4</v>
      </c>
      <c r="N297">
        <v>2</v>
      </c>
      <c r="O297">
        <v>3</v>
      </c>
    </row>
    <row r="298" spans="1:15" x14ac:dyDescent="0.2">
      <c r="A298" t="s">
        <v>347</v>
      </c>
      <c r="B298" s="3">
        <v>40868</v>
      </c>
      <c r="C298">
        <v>11143</v>
      </c>
      <c r="D298" s="4" t="s">
        <v>21</v>
      </c>
      <c r="E298">
        <v>3</v>
      </c>
      <c r="F298">
        <v>11</v>
      </c>
      <c r="G298">
        <v>2011</v>
      </c>
      <c r="H298" s="4" t="s">
        <v>17</v>
      </c>
      <c r="I298" t="s">
        <v>17</v>
      </c>
      <c r="J298" t="s">
        <v>17</v>
      </c>
      <c r="K298" t="s">
        <v>17</v>
      </c>
      <c r="L298">
        <v>0</v>
      </c>
      <c r="M298">
        <v>0</v>
      </c>
      <c r="N298">
        <v>1</v>
      </c>
      <c r="O298">
        <v>0</v>
      </c>
    </row>
    <row r="299" spans="1:15" x14ac:dyDescent="0.2">
      <c r="A299" t="s">
        <v>348</v>
      </c>
      <c r="B299" s="3">
        <v>40869</v>
      </c>
      <c r="C299">
        <v>11143</v>
      </c>
      <c r="D299" s="4" t="s">
        <v>23</v>
      </c>
      <c r="E299">
        <v>4</v>
      </c>
      <c r="F299">
        <v>11</v>
      </c>
      <c r="G299">
        <v>2011</v>
      </c>
      <c r="H299" s="4" t="s">
        <v>17</v>
      </c>
      <c r="I299" t="s">
        <v>17</v>
      </c>
      <c r="J299" t="s">
        <v>17</v>
      </c>
      <c r="K299" t="s">
        <v>17</v>
      </c>
      <c r="L299">
        <v>0</v>
      </c>
      <c r="M299">
        <v>0</v>
      </c>
      <c r="N299">
        <v>2</v>
      </c>
      <c r="O299">
        <v>1</v>
      </c>
    </row>
    <row r="300" spans="1:15" x14ac:dyDescent="0.2">
      <c r="A300" t="s">
        <v>349</v>
      </c>
      <c r="B300" s="3">
        <v>40870</v>
      </c>
      <c r="C300">
        <v>11143</v>
      </c>
      <c r="D300" s="4" t="s">
        <v>25</v>
      </c>
      <c r="E300">
        <v>5</v>
      </c>
      <c r="F300">
        <v>11</v>
      </c>
      <c r="G300">
        <v>2011</v>
      </c>
      <c r="H300" s="4" t="s">
        <v>17</v>
      </c>
      <c r="I300" t="s">
        <v>17</v>
      </c>
      <c r="J300" t="s">
        <v>17</v>
      </c>
      <c r="K300" t="s">
        <v>17</v>
      </c>
      <c r="L300">
        <v>0</v>
      </c>
      <c r="M300">
        <v>1</v>
      </c>
      <c r="N300">
        <v>1</v>
      </c>
      <c r="O300">
        <v>0</v>
      </c>
    </row>
    <row r="301" spans="1:15" x14ac:dyDescent="0.2">
      <c r="A301" t="s">
        <v>350</v>
      </c>
      <c r="B301" s="3">
        <v>40871</v>
      </c>
      <c r="C301">
        <v>11143</v>
      </c>
      <c r="D301" s="4" t="s">
        <v>27</v>
      </c>
      <c r="E301">
        <v>6</v>
      </c>
      <c r="F301">
        <v>11</v>
      </c>
      <c r="G301">
        <v>2011</v>
      </c>
      <c r="H301" s="4" t="s">
        <v>351</v>
      </c>
      <c r="I301" t="s">
        <v>52</v>
      </c>
      <c r="J301" t="s">
        <v>17</v>
      </c>
      <c r="K301" t="s">
        <v>17</v>
      </c>
      <c r="L301">
        <v>0</v>
      </c>
      <c r="M301">
        <v>0</v>
      </c>
      <c r="N301">
        <v>0</v>
      </c>
      <c r="O301">
        <v>0</v>
      </c>
    </row>
    <row r="302" spans="1:15" x14ac:dyDescent="0.2">
      <c r="A302" t="s">
        <v>352</v>
      </c>
      <c r="B302" s="3">
        <v>40872</v>
      </c>
      <c r="C302">
        <v>11143</v>
      </c>
      <c r="D302" s="4" t="s">
        <v>29</v>
      </c>
      <c r="E302">
        <v>7</v>
      </c>
      <c r="F302">
        <v>11</v>
      </c>
      <c r="G302">
        <v>2011</v>
      </c>
      <c r="H302" s="4" t="s">
        <v>17</v>
      </c>
      <c r="I302" t="s">
        <v>17</v>
      </c>
      <c r="J302" t="s">
        <v>17</v>
      </c>
      <c r="K302" t="s">
        <v>17</v>
      </c>
      <c r="L302">
        <v>0</v>
      </c>
      <c r="M302">
        <v>2</v>
      </c>
      <c r="N302">
        <v>1</v>
      </c>
      <c r="O302">
        <v>2</v>
      </c>
    </row>
    <row r="303" spans="1:15" x14ac:dyDescent="0.2">
      <c r="A303" t="s">
        <v>353</v>
      </c>
      <c r="B303" s="3">
        <v>40873</v>
      </c>
      <c r="C303">
        <v>11144</v>
      </c>
      <c r="D303" s="4" t="s">
        <v>16</v>
      </c>
      <c r="E303">
        <v>1</v>
      </c>
      <c r="F303">
        <v>11</v>
      </c>
      <c r="G303">
        <v>2011</v>
      </c>
      <c r="H303" s="4" t="s">
        <v>17</v>
      </c>
      <c r="I303" t="s">
        <v>17</v>
      </c>
      <c r="J303" t="s">
        <v>17</v>
      </c>
      <c r="K303" t="s">
        <v>17</v>
      </c>
      <c r="L303">
        <v>0</v>
      </c>
      <c r="M303">
        <v>0</v>
      </c>
      <c r="N303">
        <v>0</v>
      </c>
      <c r="O303">
        <v>0</v>
      </c>
    </row>
    <row r="304" spans="1:15" x14ac:dyDescent="0.2">
      <c r="A304" t="s">
        <v>354</v>
      </c>
      <c r="B304" s="3">
        <v>40874</v>
      </c>
      <c r="C304">
        <v>11144</v>
      </c>
      <c r="D304" s="4" t="s">
        <v>19</v>
      </c>
      <c r="E304">
        <v>2</v>
      </c>
      <c r="F304">
        <v>11</v>
      </c>
      <c r="G304">
        <v>2011</v>
      </c>
      <c r="H304" s="4" t="s">
        <v>17</v>
      </c>
      <c r="I304" t="s">
        <v>17</v>
      </c>
      <c r="J304" t="s">
        <v>17</v>
      </c>
      <c r="K304" t="s">
        <v>17</v>
      </c>
      <c r="L304">
        <v>0</v>
      </c>
      <c r="M304">
        <v>0</v>
      </c>
      <c r="N304">
        <v>1</v>
      </c>
      <c r="O304">
        <v>0</v>
      </c>
    </row>
    <row r="305" spans="1:15" x14ac:dyDescent="0.2">
      <c r="A305" t="s">
        <v>355</v>
      </c>
      <c r="B305" s="3">
        <v>40875</v>
      </c>
      <c r="C305">
        <v>11144</v>
      </c>
      <c r="D305" s="4" t="s">
        <v>21</v>
      </c>
      <c r="E305">
        <v>3</v>
      </c>
      <c r="F305">
        <v>11</v>
      </c>
      <c r="G305">
        <v>2011</v>
      </c>
      <c r="H305" s="4" t="s">
        <v>17</v>
      </c>
      <c r="I305" t="s">
        <v>17</v>
      </c>
      <c r="J305" t="s">
        <v>17</v>
      </c>
      <c r="K305" t="s">
        <v>17</v>
      </c>
      <c r="L305">
        <v>0</v>
      </c>
      <c r="M305">
        <v>1</v>
      </c>
      <c r="N305">
        <v>1</v>
      </c>
      <c r="O305">
        <v>0</v>
      </c>
    </row>
    <row r="306" spans="1:15" x14ac:dyDescent="0.2">
      <c r="A306" t="s">
        <v>356</v>
      </c>
      <c r="B306" s="3">
        <v>40876</v>
      </c>
      <c r="C306">
        <v>11144</v>
      </c>
      <c r="D306" s="4" t="s">
        <v>23</v>
      </c>
      <c r="E306">
        <v>4</v>
      </c>
      <c r="F306">
        <v>11</v>
      </c>
      <c r="G306">
        <v>2011</v>
      </c>
      <c r="H306" s="4" t="s">
        <v>17</v>
      </c>
      <c r="I306" t="s">
        <v>17</v>
      </c>
      <c r="J306" t="s">
        <v>17</v>
      </c>
      <c r="K306" t="s">
        <v>17</v>
      </c>
      <c r="L306">
        <v>0</v>
      </c>
      <c r="M306">
        <v>0</v>
      </c>
      <c r="N306">
        <v>0</v>
      </c>
      <c r="O306">
        <v>0</v>
      </c>
    </row>
    <row r="307" spans="1:15" x14ac:dyDescent="0.2">
      <c r="A307" t="s">
        <v>357</v>
      </c>
      <c r="B307" s="3">
        <v>40877</v>
      </c>
      <c r="C307">
        <v>11144</v>
      </c>
      <c r="D307" s="4" t="s">
        <v>25</v>
      </c>
      <c r="E307">
        <v>5</v>
      </c>
      <c r="F307">
        <v>11</v>
      </c>
      <c r="G307">
        <v>2011</v>
      </c>
      <c r="H307" s="4" t="s">
        <v>17</v>
      </c>
      <c r="I307" t="s">
        <v>17</v>
      </c>
      <c r="J307" t="s">
        <v>17</v>
      </c>
      <c r="K307" t="s">
        <v>17</v>
      </c>
      <c r="L307">
        <v>0</v>
      </c>
      <c r="M307">
        <v>8</v>
      </c>
      <c r="N307">
        <v>0</v>
      </c>
      <c r="O307">
        <v>2</v>
      </c>
    </row>
    <row r="308" spans="1:15" x14ac:dyDescent="0.2">
      <c r="A308" t="s">
        <v>358</v>
      </c>
      <c r="B308" s="3">
        <v>40878</v>
      </c>
      <c r="C308">
        <v>11144</v>
      </c>
      <c r="D308" s="4" t="s">
        <v>27</v>
      </c>
      <c r="E308">
        <v>6</v>
      </c>
      <c r="F308">
        <v>12</v>
      </c>
      <c r="G308">
        <v>2011</v>
      </c>
      <c r="H308" s="4" t="s">
        <v>17</v>
      </c>
      <c r="I308" t="s">
        <v>17</v>
      </c>
      <c r="J308" t="s">
        <v>17</v>
      </c>
      <c r="K308" t="s">
        <v>17</v>
      </c>
      <c r="L308">
        <v>1</v>
      </c>
      <c r="M308">
        <v>3</v>
      </c>
      <c r="N308">
        <v>0</v>
      </c>
      <c r="O308">
        <v>1</v>
      </c>
    </row>
    <row r="309" spans="1:15" x14ac:dyDescent="0.2">
      <c r="A309" t="s">
        <v>359</v>
      </c>
      <c r="B309" s="3">
        <v>40879</v>
      </c>
      <c r="C309">
        <v>11144</v>
      </c>
      <c r="D309" s="4" t="s">
        <v>29</v>
      </c>
      <c r="E309">
        <v>7</v>
      </c>
      <c r="F309">
        <v>12</v>
      </c>
      <c r="G309">
        <v>2011</v>
      </c>
      <c r="H309" s="4" t="s">
        <v>17</v>
      </c>
      <c r="I309" t="s">
        <v>17</v>
      </c>
      <c r="J309" t="s">
        <v>17</v>
      </c>
      <c r="K309" t="s">
        <v>17</v>
      </c>
      <c r="L309">
        <v>1</v>
      </c>
      <c r="M309">
        <v>1</v>
      </c>
      <c r="N309">
        <v>2</v>
      </c>
      <c r="O309">
        <v>0</v>
      </c>
    </row>
    <row r="310" spans="1:15" x14ac:dyDescent="0.2">
      <c r="A310" t="s">
        <v>360</v>
      </c>
      <c r="B310" s="3">
        <v>40880</v>
      </c>
      <c r="C310">
        <v>11145</v>
      </c>
      <c r="D310" s="4" t="s">
        <v>16</v>
      </c>
      <c r="E310">
        <v>1</v>
      </c>
      <c r="F310">
        <v>12</v>
      </c>
      <c r="G310">
        <v>2011</v>
      </c>
      <c r="H310" s="4" t="s">
        <v>17</v>
      </c>
      <c r="I310" t="s">
        <v>17</v>
      </c>
      <c r="J310" t="s">
        <v>17</v>
      </c>
      <c r="K310" t="s">
        <v>17</v>
      </c>
      <c r="L310">
        <v>1</v>
      </c>
      <c r="M310">
        <v>1</v>
      </c>
      <c r="N310">
        <v>2</v>
      </c>
      <c r="O310">
        <v>1</v>
      </c>
    </row>
    <row r="311" spans="1:15" x14ac:dyDescent="0.2">
      <c r="A311" t="s">
        <v>361</v>
      </c>
      <c r="B311" s="3">
        <v>40881</v>
      </c>
      <c r="C311">
        <v>11145</v>
      </c>
      <c r="D311" s="4" t="s">
        <v>19</v>
      </c>
      <c r="E311">
        <v>2</v>
      </c>
      <c r="F311">
        <v>12</v>
      </c>
      <c r="G311">
        <v>2011</v>
      </c>
      <c r="H311" s="4" t="s">
        <v>17</v>
      </c>
      <c r="I311" t="s">
        <v>17</v>
      </c>
      <c r="J311" t="s">
        <v>17</v>
      </c>
      <c r="K311" t="s">
        <v>17</v>
      </c>
      <c r="L311">
        <v>1</v>
      </c>
      <c r="M311">
        <v>5</v>
      </c>
      <c r="N311">
        <v>1</v>
      </c>
      <c r="O311">
        <v>2</v>
      </c>
    </row>
    <row r="312" spans="1:15" x14ac:dyDescent="0.2">
      <c r="A312" t="s">
        <v>362</v>
      </c>
      <c r="B312" s="3">
        <v>40882</v>
      </c>
      <c r="C312">
        <v>11145</v>
      </c>
      <c r="D312" s="4" t="s">
        <v>21</v>
      </c>
      <c r="E312">
        <v>3</v>
      </c>
      <c r="F312">
        <v>12</v>
      </c>
      <c r="G312">
        <v>2011</v>
      </c>
      <c r="H312" s="4" t="s">
        <v>17</v>
      </c>
      <c r="I312" t="s">
        <v>17</v>
      </c>
      <c r="J312" t="s">
        <v>17</v>
      </c>
      <c r="K312" t="s">
        <v>17</v>
      </c>
      <c r="L312">
        <v>1</v>
      </c>
      <c r="M312">
        <v>3</v>
      </c>
      <c r="N312">
        <v>2</v>
      </c>
      <c r="O312">
        <v>0</v>
      </c>
    </row>
    <row r="313" spans="1:15" x14ac:dyDescent="0.2">
      <c r="A313" t="s">
        <v>363</v>
      </c>
      <c r="B313" s="3">
        <v>40883</v>
      </c>
      <c r="C313">
        <v>11145</v>
      </c>
      <c r="D313" s="4" t="s">
        <v>23</v>
      </c>
      <c r="E313">
        <v>4</v>
      </c>
      <c r="F313">
        <v>12</v>
      </c>
      <c r="G313">
        <v>2011</v>
      </c>
      <c r="H313" s="4" t="s">
        <v>17</v>
      </c>
      <c r="I313" t="s">
        <v>17</v>
      </c>
      <c r="J313" t="s">
        <v>17</v>
      </c>
      <c r="K313" t="s">
        <v>17</v>
      </c>
      <c r="L313">
        <v>1</v>
      </c>
      <c r="M313">
        <v>2</v>
      </c>
      <c r="N313">
        <v>3</v>
      </c>
      <c r="O313">
        <v>1</v>
      </c>
    </row>
    <row r="314" spans="1:15" x14ac:dyDescent="0.2">
      <c r="A314" t="s">
        <v>364</v>
      </c>
      <c r="B314" s="3">
        <v>40884</v>
      </c>
      <c r="C314">
        <v>11145</v>
      </c>
      <c r="D314" s="4" t="s">
        <v>25</v>
      </c>
      <c r="E314">
        <v>5</v>
      </c>
      <c r="F314">
        <v>12</v>
      </c>
      <c r="G314">
        <v>2011</v>
      </c>
      <c r="H314" s="4" t="s">
        <v>17</v>
      </c>
      <c r="I314" t="s">
        <v>17</v>
      </c>
      <c r="J314" t="s">
        <v>17</v>
      </c>
      <c r="K314" t="s">
        <v>17</v>
      </c>
      <c r="L314">
        <v>1</v>
      </c>
      <c r="M314">
        <v>0</v>
      </c>
      <c r="N314">
        <v>0</v>
      </c>
      <c r="O314">
        <v>0</v>
      </c>
    </row>
    <row r="315" spans="1:15" x14ac:dyDescent="0.2">
      <c r="A315" t="s">
        <v>365</v>
      </c>
      <c r="B315" s="3">
        <v>40885</v>
      </c>
      <c r="C315">
        <v>11145</v>
      </c>
      <c r="D315" s="4" t="s">
        <v>27</v>
      </c>
      <c r="E315">
        <v>6</v>
      </c>
      <c r="F315">
        <v>12</v>
      </c>
      <c r="G315">
        <v>2011</v>
      </c>
      <c r="H315" s="4" t="s">
        <v>17</v>
      </c>
      <c r="I315" t="s">
        <v>17</v>
      </c>
      <c r="J315" t="s">
        <v>17</v>
      </c>
      <c r="K315" t="s">
        <v>17</v>
      </c>
      <c r="L315">
        <v>1</v>
      </c>
      <c r="M315">
        <v>1</v>
      </c>
      <c r="N315">
        <v>2</v>
      </c>
      <c r="O315">
        <v>0</v>
      </c>
    </row>
    <row r="316" spans="1:15" x14ac:dyDescent="0.2">
      <c r="A316" t="s">
        <v>366</v>
      </c>
      <c r="B316" s="3">
        <v>40886</v>
      </c>
      <c r="C316">
        <v>11145</v>
      </c>
      <c r="D316" s="4" t="s">
        <v>29</v>
      </c>
      <c r="E316">
        <v>7</v>
      </c>
      <c r="F316">
        <v>12</v>
      </c>
      <c r="G316">
        <v>2011</v>
      </c>
      <c r="H316" s="4" t="s">
        <v>17</v>
      </c>
      <c r="I316" t="s">
        <v>17</v>
      </c>
      <c r="J316" t="s">
        <v>17</v>
      </c>
      <c r="K316" t="s">
        <v>17</v>
      </c>
      <c r="L316">
        <v>1</v>
      </c>
      <c r="M316">
        <v>0</v>
      </c>
      <c r="N316">
        <v>0</v>
      </c>
      <c r="O316">
        <v>0</v>
      </c>
    </row>
    <row r="317" spans="1:15" x14ac:dyDescent="0.2">
      <c r="A317" t="s">
        <v>367</v>
      </c>
      <c r="B317" s="3">
        <v>40887</v>
      </c>
      <c r="C317">
        <v>11146</v>
      </c>
      <c r="D317" s="4" t="s">
        <v>16</v>
      </c>
      <c r="E317">
        <v>1</v>
      </c>
      <c r="F317">
        <v>12</v>
      </c>
      <c r="G317">
        <v>2011</v>
      </c>
      <c r="H317" s="4" t="s">
        <v>17</v>
      </c>
      <c r="I317" t="s">
        <v>17</v>
      </c>
      <c r="J317" t="s">
        <v>17</v>
      </c>
      <c r="K317" t="s">
        <v>17</v>
      </c>
      <c r="L317">
        <v>1</v>
      </c>
      <c r="M317">
        <v>0</v>
      </c>
      <c r="N317">
        <v>0</v>
      </c>
      <c r="O317">
        <v>2</v>
      </c>
    </row>
    <row r="318" spans="1:15" x14ac:dyDescent="0.2">
      <c r="A318" t="s">
        <v>368</v>
      </c>
      <c r="B318" s="3">
        <v>40888</v>
      </c>
      <c r="C318">
        <v>11146</v>
      </c>
      <c r="D318" s="4" t="s">
        <v>19</v>
      </c>
      <c r="E318">
        <v>2</v>
      </c>
      <c r="F318">
        <v>12</v>
      </c>
      <c r="G318">
        <v>2011</v>
      </c>
      <c r="H318" s="4" t="s">
        <v>17</v>
      </c>
      <c r="I318" t="s">
        <v>17</v>
      </c>
      <c r="J318" t="s">
        <v>17</v>
      </c>
      <c r="K318" t="s">
        <v>17</v>
      </c>
      <c r="L318">
        <v>0</v>
      </c>
      <c r="M318">
        <v>2</v>
      </c>
      <c r="N318">
        <v>0</v>
      </c>
      <c r="O318">
        <v>1</v>
      </c>
    </row>
    <row r="319" spans="1:15" x14ac:dyDescent="0.2">
      <c r="A319" t="s">
        <v>369</v>
      </c>
      <c r="B319" s="3">
        <v>40889</v>
      </c>
      <c r="C319">
        <v>11146</v>
      </c>
      <c r="D319" s="4" t="s">
        <v>21</v>
      </c>
      <c r="E319">
        <v>3</v>
      </c>
      <c r="F319">
        <v>12</v>
      </c>
      <c r="G319">
        <v>2011</v>
      </c>
      <c r="H319" s="4" t="s">
        <v>17</v>
      </c>
      <c r="I319" t="s">
        <v>17</v>
      </c>
      <c r="J319" t="s">
        <v>17</v>
      </c>
      <c r="K319" t="s">
        <v>17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 t="s">
        <v>370</v>
      </c>
      <c r="B320" s="3">
        <v>40890</v>
      </c>
      <c r="C320">
        <v>11146</v>
      </c>
      <c r="D320" s="4" t="s">
        <v>23</v>
      </c>
      <c r="E320">
        <v>4</v>
      </c>
      <c r="F320">
        <v>12</v>
      </c>
      <c r="G320">
        <v>2011</v>
      </c>
      <c r="H320" s="4" t="s">
        <v>17</v>
      </c>
      <c r="I320" t="s">
        <v>17</v>
      </c>
      <c r="J320" t="s">
        <v>17</v>
      </c>
      <c r="K320" t="s">
        <v>17</v>
      </c>
      <c r="L320">
        <v>0</v>
      </c>
      <c r="M320">
        <v>1</v>
      </c>
      <c r="N320">
        <v>2</v>
      </c>
      <c r="O320">
        <v>2</v>
      </c>
    </row>
    <row r="321" spans="1:15" x14ac:dyDescent="0.2">
      <c r="A321" t="s">
        <v>371</v>
      </c>
      <c r="B321" s="3">
        <v>40891</v>
      </c>
      <c r="C321">
        <v>11146</v>
      </c>
      <c r="D321" s="4" t="s">
        <v>25</v>
      </c>
      <c r="E321">
        <v>5</v>
      </c>
      <c r="F321">
        <v>12</v>
      </c>
      <c r="G321">
        <v>2011</v>
      </c>
      <c r="H321" s="4" t="s">
        <v>17</v>
      </c>
      <c r="I321" t="s">
        <v>17</v>
      </c>
      <c r="J321" t="s">
        <v>17</v>
      </c>
      <c r="K321" t="s">
        <v>17</v>
      </c>
      <c r="L321">
        <v>0</v>
      </c>
      <c r="M321">
        <v>0</v>
      </c>
      <c r="N321">
        <v>1</v>
      </c>
      <c r="O321">
        <v>2</v>
      </c>
    </row>
    <row r="322" spans="1:15" x14ac:dyDescent="0.2">
      <c r="A322" t="s">
        <v>372</v>
      </c>
      <c r="B322" s="3">
        <v>40892</v>
      </c>
      <c r="C322">
        <v>11146</v>
      </c>
      <c r="D322" s="4" t="s">
        <v>27</v>
      </c>
      <c r="E322">
        <v>6</v>
      </c>
      <c r="F322">
        <v>12</v>
      </c>
      <c r="G322">
        <v>2011</v>
      </c>
      <c r="H322" s="4" t="s">
        <v>17</v>
      </c>
      <c r="I322" t="s">
        <v>17</v>
      </c>
      <c r="J322" t="s">
        <v>17</v>
      </c>
      <c r="K322" t="s">
        <v>17</v>
      </c>
      <c r="L322">
        <v>0</v>
      </c>
      <c r="M322">
        <v>1</v>
      </c>
      <c r="N322">
        <v>1</v>
      </c>
      <c r="O322">
        <v>1</v>
      </c>
    </row>
    <row r="323" spans="1:15" x14ac:dyDescent="0.2">
      <c r="A323" t="s">
        <v>373</v>
      </c>
      <c r="B323" s="3">
        <v>40893</v>
      </c>
      <c r="C323">
        <v>11146</v>
      </c>
      <c r="D323" s="4" t="s">
        <v>29</v>
      </c>
      <c r="E323">
        <v>7</v>
      </c>
      <c r="F323">
        <v>12</v>
      </c>
      <c r="G323">
        <v>2011</v>
      </c>
      <c r="H323" s="4" t="s">
        <v>17</v>
      </c>
      <c r="I323" t="s">
        <v>17</v>
      </c>
      <c r="J323" t="s">
        <v>17</v>
      </c>
      <c r="K323" t="s">
        <v>17</v>
      </c>
      <c r="L323">
        <v>0</v>
      </c>
      <c r="M323">
        <v>2</v>
      </c>
      <c r="N323">
        <v>0</v>
      </c>
      <c r="O323">
        <v>1</v>
      </c>
    </row>
    <row r="324" spans="1:15" x14ac:dyDescent="0.2">
      <c r="A324" t="s">
        <v>374</v>
      </c>
      <c r="B324" s="3">
        <v>40894</v>
      </c>
      <c r="C324">
        <v>11147</v>
      </c>
      <c r="D324" s="4" t="s">
        <v>16</v>
      </c>
      <c r="E324">
        <v>1</v>
      </c>
      <c r="F324">
        <v>12</v>
      </c>
      <c r="G324">
        <v>2011</v>
      </c>
      <c r="H324" s="4" t="s">
        <v>17</v>
      </c>
      <c r="I324" t="s">
        <v>17</v>
      </c>
      <c r="J324" t="s">
        <v>17</v>
      </c>
      <c r="K324" t="s">
        <v>17</v>
      </c>
      <c r="L324">
        <v>0</v>
      </c>
      <c r="M324">
        <v>2</v>
      </c>
      <c r="N324">
        <v>0</v>
      </c>
      <c r="O324">
        <v>6</v>
      </c>
    </row>
    <row r="325" spans="1:15" x14ac:dyDescent="0.2">
      <c r="A325" t="s">
        <v>375</v>
      </c>
      <c r="B325" s="3">
        <v>40895</v>
      </c>
      <c r="C325">
        <v>11147</v>
      </c>
      <c r="D325" s="4" t="s">
        <v>19</v>
      </c>
      <c r="E325">
        <v>2</v>
      </c>
      <c r="F325">
        <v>12</v>
      </c>
      <c r="G325">
        <v>2011</v>
      </c>
      <c r="H325" s="4" t="s">
        <v>17</v>
      </c>
      <c r="I325" t="s">
        <v>17</v>
      </c>
      <c r="J325" t="s">
        <v>17</v>
      </c>
      <c r="K325" t="s">
        <v>17</v>
      </c>
      <c r="L325">
        <v>0</v>
      </c>
      <c r="M325">
        <v>6</v>
      </c>
      <c r="N325">
        <v>2</v>
      </c>
      <c r="O325">
        <v>0</v>
      </c>
    </row>
    <row r="326" spans="1:15" x14ac:dyDescent="0.2">
      <c r="A326" t="s">
        <v>376</v>
      </c>
      <c r="B326" s="3">
        <v>40896</v>
      </c>
      <c r="C326">
        <v>11147</v>
      </c>
      <c r="D326" s="4" t="s">
        <v>21</v>
      </c>
      <c r="E326">
        <v>3</v>
      </c>
      <c r="F326">
        <v>12</v>
      </c>
      <c r="G326">
        <v>2011</v>
      </c>
      <c r="H326" s="4" t="s">
        <v>17</v>
      </c>
      <c r="I326" t="s">
        <v>17</v>
      </c>
      <c r="J326" t="s">
        <v>17</v>
      </c>
      <c r="K326" t="s">
        <v>17</v>
      </c>
      <c r="L326">
        <v>0</v>
      </c>
      <c r="M326">
        <v>2</v>
      </c>
      <c r="N326">
        <v>4</v>
      </c>
      <c r="O326">
        <v>1</v>
      </c>
    </row>
    <row r="327" spans="1:15" x14ac:dyDescent="0.2">
      <c r="A327" t="s">
        <v>377</v>
      </c>
      <c r="B327" s="3">
        <v>40897</v>
      </c>
      <c r="C327">
        <v>11147</v>
      </c>
      <c r="D327" s="4" t="s">
        <v>23</v>
      </c>
      <c r="E327">
        <v>4</v>
      </c>
      <c r="F327">
        <v>12</v>
      </c>
      <c r="G327">
        <v>2011</v>
      </c>
      <c r="H327" s="4" t="s">
        <v>17</v>
      </c>
      <c r="I327" t="s">
        <v>17</v>
      </c>
      <c r="J327" t="s">
        <v>17</v>
      </c>
      <c r="K327" t="s">
        <v>17</v>
      </c>
      <c r="L327">
        <v>0</v>
      </c>
      <c r="M327">
        <v>3</v>
      </c>
      <c r="N327">
        <v>1</v>
      </c>
      <c r="O327">
        <v>0</v>
      </c>
    </row>
    <row r="328" spans="1:15" x14ac:dyDescent="0.2">
      <c r="A328" t="s">
        <v>378</v>
      </c>
      <c r="B328" s="3">
        <v>40898</v>
      </c>
      <c r="C328">
        <v>11147</v>
      </c>
      <c r="D328" s="4" t="s">
        <v>25</v>
      </c>
      <c r="E328">
        <v>5</v>
      </c>
      <c r="F328">
        <v>12</v>
      </c>
      <c r="G328">
        <v>2011</v>
      </c>
      <c r="H328" s="4" t="s">
        <v>17</v>
      </c>
      <c r="I328" t="s">
        <v>17</v>
      </c>
      <c r="J328" t="s">
        <v>17</v>
      </c>
      <c r="K328" t="s">
        <v>17</v>
      </c>
      <c r="L328">
        <v>0</v>
      </c>
      <c r="M328">
        <v>5</v>
      </c>
      <c r="N328">
        <v>0</v>
      </c>
      <c r="O328">
        <v>0</v>
      </c>
    </row>
    <row r="329" spans="1:15" x14ac:dyDescent="0.2">
      <c r="A329" t="s">
        <v>379</v>
      </c>
      <c r="B329" s="3">
        <v>40899</v>
      </c>
      <c r="C329">
        <v>11147</v>
      </c>
      <c r="D329" s="4" t="s">
        <v>27</v>
      </c>
      <c r="E329">
        <v>6</v>
      </c>
      <c r="F329">
        <v>12</v>
      </c>
      <c r="G329">
        <v>2011</v>
      </c>
      <c r="H329" s="4" t="s">
        <v>17</v>
      </c>
      <c r="I329" t="s">
        <v>17</v>
      </c>
      <c r="J329" t="s">
        <v>17</v>
      </c>
      <c r="K329" t="s">
        <v>17</v>
      </c>
      <c r="L329">
        <v>0</v>
      </c>
      <c r="M329">
        <v>3</v>
      </c>
      <c r="N329">
        <v>0</v>
      </c>
      <c r="O329">
        <v>2</v>
      </c>
    </row>
    <row r="330" spans="1:15" x14ac:dyDescent="0.2">
      <c r="A330" t="s">
        <v>380</v>
      </c>
      <c r="B330" s="3">
        <v>40900</v>
      </c>
      <c r="C330">
        <v>11147</v>
      </c>
      <c r="D330" s="4" t="s">
        <v>29</v>
      </c>
      <c r="E330">
        <v>7</v>
      </c>
      <c r="F330">
        <v>12</v>
      </c>
      <c r="G330">
        <v>2011</v>
      </c>
      <c r="H330" s="4" t="s">
        <v>17</v>
      </c>
      <c r="I330" t="s">
        <v>17</v>
      </c>
      <c r="J330" t="s">
        <v>17</v>
      </c>
      <c r="K330" t="s">
        <v>17</v>
      </c>
      <c r="L330">
        <v>0</v>
      </c>
      <c r="M330">
        <v>5</v>
      </c>
      <c r="N330">
        <v>1</v>
      </c>
      <c r="O330">
        <v>0</v>
      </c>
    </row>
    <row r="331" spans="1:15" x14ac:dyDescent="0.2">
      <c r="A331" t="s">
        <v>381</v>
      </c>
      <c r="B331" s="3">
        <v>40901</v>
      </c>
      <c r="C331">
        <v>11148</v>
      </c>
      <c r="D331" s="4" t="s">
        <v>16</v>
      </c>
      <c r="E331">
        <v>1</v>
      </c>
      <c r="F331">
        <v>12</v>
      </c>
      <c r="G331">
        <v>2011</v>
      </c>
      <c r="H331" s="4" t="s">
        <v>17</v>
      </c>
      <c r="I331" t="s">
        <v>17</v>
      </c>
      <c r="J331" t="s">
        <v>17</v>
      </c>
      <c r="K331" t="s">
        <v>17</v>
      </c>
      <c r="L331">
        <v>0</v>
      </c>
      <c r="M331">
        <v>1</v>
      </c>
      <c r="N331">
        <v>2</v>
      </c>
      <c r="O331">
        <v>0</v>
      </c>
    </row>
    <row r="332" spans="1:15" x14ac:dyDescent="0.2">
      <c r="A332" t="s">
        <v>382</v>
      </c>
      <c r="B332" s="3">
        <v>40902</v>
      </c>
      <c r="C332">
        <v>11148</v>
      </c>
      <c r="D332" s="4" t="s">
        <v>19</v>
      </c>
      <c r="E332">
        <v>2</v>
      </c>
      <c r="F332">
        <v>12</v>
      </c>
      <c r="G332">
        <v>2011</v>
      </c>
      <c r="H332" s="4" t="s">
        <v>383</v>
      </c>
      <c r="I332" t="s">
        <v>52</v>
      </c>
      <c r="J332" t="s">
        <v>17</v>
      </c>
      <c r="K332" t="s">
        <v>17</v>
      </c>
      <c r="L332">
        <v>0</v>
      </c>
      <c r="M332">
        <v>0</v>
      </c>
      <c r="N332">
        <v>0</v>
      </c>
      <c r="O332">
        <v>0</v>
      </c>
    </row>
    <row r="333" spans="1:15" x14ac:dyDescent="0.2">
      <c r="A333" t="s">
        <v>384</v>
      </c>
      <c r="B333" s="3">
        <v>40903</v>
      </c>
      <c r="C333">
        <v>11148</v>
      </c>
      <c r="D333" s="4" t="s">
        <v>21</v>
      </c>
      <c r="E333">
        <v>3</v>
      </c>
      <c r="F333">
        <v>12</v>
      </c>
      <c r="G333">
        <v>2011</v>
      </c>
      <c r="H333" s="4" t="s">
        <v>17</v>
      </c>
      <c r="I333" t="s">
        <v>17</v>
      </c>
      <c r="J333" t="s">
        <v>17</v>
      </c>
      <c r="K333" t="s">
        <v>17</v>
      </c>
      <c r="L333">
        <v>0</v>
      </c>
      <c r="M333">
        <v>1</v>
      </c>
      <c r="N333">
        <v>0</v>
      </c>
      <c r="O333">
        <v>0</v>
      </c>
    </row>
    <row r="334" spans="1:15" x14ac:dyDescent="0.2">
      <c r="A334" t="s">
        <v>385</v>
      </c>
      <c r="B334" s="3">
        <v>40904</v>
      </c>
      <c r="C334">
        <v>11148</v>
      </c>
      <c r="D334" s="4" t="s">
        <v>23</v>
      </c>
      <c r="E334">
        <v>4</v>
      </c>
      <c r="F334">
        <v>12</v>
      </c>
      <c r="G334">
        <v>2011</v>
      </c>
      <c r="H334" s="4" t="s">
        <v>17</v>
      </c>
      <c r="I334" t="s">
        <v>17</v>
      </c>
      <c r="J334" t="s">
        <v>17</v>
      </c>
      <c r="K334" t="s">
        <v>17</v>
      </c>
      <c r="L334">
        <v>0</v>
      </c>
      <c r="M334">
        <v>1</v>
      </c>
      <c r="N334">
        <v>1</v>
      </c>
      <c r="O334">
        <v>0</v>
      </c>
    </row>
    <row r="335" spans="1:15" x14ac:dyDescent="0.2">
      <c r="A335" t="s">
        <v>386</v>
      </c>
      <c r="B335" s="3">
        <v>40905</v>
      </c>
      <c r="C335">
        <v>11148</v>
      </c>
      <c r="D335" s="4" t="s">
        <v>25</v>
      </c>
      <c r="E335">
        <v>5</v>
      </c>
      <c r="F335">
        <v>12</v>
      </c>
      <c r="G335">
        <v>2011</v>
      </c>
      <c r="H335" s="4" t="s">
        <v>387</v>
      </c>
      <c r="I335" t="s">
        <v>70</v>
      </c>
      <c r="J335" t="s">
        <v>17</v>
      </c>
      <c r="K335" t="s">
        <v>17</v>
      </c>
      <c r="L335">
        <v>0</v>
      </c>
      <c r="M335">
        <v>1</v>
      </c>
      <c r="N335">
        <v>0</v>
      </c>
      <c r="O335">
        <v>0</v>
      </c>
    </row>
    <row r="336" spans="1:15" x14ac:dyDescent="0.2">
      <c r="A336" t="s">
        <v>388</v>
      </c>
      <c r="B336" s="3">
        <v>40906</v>
      </c>
      <c r="C336">
        <v>11148</v>
      </c>
      <c r="D336" s="4" t="s">
        <v>27</v>
      </c>
      <c r="E336">
        <v>6</v>
      </c>
      <c r="F336">
        <v>12</v>
      </c>
      <c r="G336">
        <v>2011</v>
      </c>
      <c r="H336" s="4" t="s">
        <v>17</v>
      </c>
      <c r="I336" t="s">
        <v>17</v>
      </c>
      <c r="J336" t="s">
        <v>17</v>
      </c>
      <c r="K336" t="s">
        <v>17</v>
      </c>
      <c r="L336">
        <v>0</v>
      </c>
      <c r="M336">
        <v>0</v>
      </c>
      <c r="N336">
        <v>1</v>
      </c>
      <c r="O336">
        <v>0</v>
      </c>
    </row>
    <row r="337" spans="1:15" x14ac:dyDescent="0.2">
      <c r="A337" t="s">
        <v>389</v>
      </c>
      <c r="B337" s="3">
        <v>40907</v>
      </c>
      <c r="C337">
        <v>11148</v>
      </c>
      <c r="D337" s="4" t="s">
        <v>29</v>
      </c>
      <c r="E337">
        <v>7</v>
      </c>
      <c r="F337">
        <v>12</v>
      </c>
      <c r="G337">
        <v>2011</v>
      </c>
      <c r="H337" s="4" t="s">
        <v>17</v>
      </c>
      <c r="I337" t="s">
        <v>17</v>
      </c>
      <c r="J337" t="s">
        <v>17</v>
      </c>
      <c r="K337" t="s">
        <v>17</v>
      </c>
      <c r="L337">
        <v>0</v>
      </c>
      <c r="M337">
        <v>0</v>
      </c>
      <c r="N337">
        <v>0</v>
      </c>
      <c r="O337">
        <v>1</v>
      </c>
    </row>
    <row r="338" spans="1:15" x14ac:dyDescent="0.2">
      <c r="A338" t="s">
        <v>390</v>
      </c>
      <c r="B338" s="3">
        <v>40908</v>
      </c>
      <c r="C338">
        <v>11149</v>
      </c>
      <c r="D338" s="4" t="s">
        <v>16</v>
      </c>
      <c r="E338">
        <v>1</v>
      </c>
      <c r="F338">
        <v>12</v>
      </c>
      <c r="G338">
        <v>2011</v>
      </c>
      <c r="H338" s="4" t="s">
        <v>17</v>
      </c>
      <c r="I338" t="s">
        <v>17</v>
      </c>
      <c r="J338" t="s">
        <v>17</v>
      </c>
      <c r="K338" t="s">
        <v>17</v>
      </c>
      <c r="L338">
        <v>0</v>
      </c>
      <c r="M338">
        <v>2</v>
      </c>
      <c r="N338">
        <v>1</v>
      </c>
      <c r="O338">
        <v>1</v>
      </c>
    </row>
    <row r="339" spans="1:15" x14ac:dyDescent="0.2">
      <c r="A339" t="s">
        <v>391</v>
      </c>
      <c r="B339" s="3">
        <v>40909</v>
      </c>
      <c r="C339">
        <v>11149</v>
      </c>
      <c r="D339" s="4" t="s">
        <v>19</v>
      </c>
      <c r="E339">
        <v>2</v>
      </c>
      <c r="F339">
        <v>1</v>
      </c>
      <c r="G339">
        <v>2012</v>
      </c>
      <c r="H339" s="4" t="s">
        <v>392</v>
      </c>
      <c r="I339" t="s">
        <v>52</v>
      </c>
      <c r="J339" t="s">
        <v>17</v>
      </c>
      <c r="K339" t="s">
        <v>17</v>
      </c>
      <c r="L339">
        <v>1</v>
      </c>
      <c r="M339">
        <v>2</v>
      </c>
      <c r="N339">
        <v>0</v>
      </c>
      <c r="O339">
        <v>0</v>
      </c>
    </row>
    <row r="340" spans="1:15" x14ac:dyDescent="0.2">
      <c r="A340" t="s">
        <v>393</v>
      </c>
      <c r="B340" s="3">
        <v>40910</v>
      </c>
      <c r="C340">
        <v>11149</v>
      </c>
      <c r="D340" s="4" t="s">
        <v>21</v>
      </c>
      <c r="E340">
        <v>3</v>
      </c>
      <c r="F340">
        <v>1</v>
      </c>
      <c r="G340">
        <v>2012</v>
      </c>
      <c r="H340" s="4" t="s">
        <v>17</v>
      </c>
      <c r="I340" t="s">
        <v>17</v>
      </c>
      <c r="J340" t="s">
        <v>17</v>
      </c>
      <c r="K340" t="s">
        <v>17</v>
      </c>
      <c r="L340">
        <v>1</v>
      </c>
      <c r="M340">
        <v>0</v>
      </c>
      <c r="N340">
        <v>2</v>
      </c>
      <c r="O340">
        <v>0</v>
      </c>
    </row>
    <row r="341" spans="1:15" x14ac:dyDescent="0.2">
      <c r="A341" t="s">
        <v>394</v>
      </c>
      <c r="B341" s="3">
        <v>40911</v>
      </c>
      <c r="C341">
        <v>11149</v>
      </c>
      <c r="D341" s="4" t="s">
        <v>23</v>
      </c>
      <c r="E341">
        <v>4</v>
      </c>
      <c r="F341">
        <v>1</v>
      </c>
      <c r="G341">
        <v>2012</v>
      </c>
      <c r="H341" s="4" t="s">
        <v>17</v>
      </c>
      <c r="I341" t="s">
        <v>17</v>
      </c>
      <c r="J341" t="s">
        <v>17</v>
      </c>
      <c r="K341" t="s">
        <v>17</v>
      </c>
      <c r="L341">
        <v>1</v>
      </c>
      <c r="M341">
        <v>0</v>
      </c>
      <c r="N341">
        <v>0</v>
      </c>
      <c r="O341">
        <v>0</v>
      </c>
    </row>
    <row r="342" spans="1:15" x14ac:dyDescent="0.2">
      <c r="A342" t="s">
        <v>395</v>
      </c>
      <c r="B342" s="3">
        <v>40912</v>
      </c>
      <c r="C342">
        <v>11149</v>
      </c>
      <c r="D342" s="4" t="s">
        <v>25</v>
      </c>
      <c r="E342">
        <v>5</v>
      </c>
      <c r="F342">
        <v>1</v>
      </c>
      <c r="G342">
        <v>2012</v>
      </c>
      <c r="H342" s="4" t="s">
        <v>17</v>
      </c>
      <c r="I342" t="s">
        <v>17</v>
      </c>
      <c r="J342" t="s">
        <v>17</v>
      </c>
      <c r="K342" t="s">
        <v>17</v>
      </c>
      <c r="L342">
        <v>1</v>
      </c>
      <c r="M342">
        <v>1</v>
      </c>
      <c r="N342">
        <v>2</v>
      </c>
      <c r="O342">
        <v>0</v>
      </c>
    </row>
    <row r="343" spans="1:15" x14ac:dyDescent="0.2">
      <c r="A343" t="s">
        <v>396</v>
      </c>
      <c r="B343" s="3">
        <v>40913</v>
      </c>
      <c r="C343">
        <v>11149</v>
      </c>
      <c r="D343" s="4" t="s">
        <v>27</v>
      </c>
      <c r="E343">
        <v>6</v>
      </c>
      <c r="F343">
        <v>1</v>
      </c>
      <c r="G343">
        <v>2012</v>
      </c>
      <c r="H343" s="4" t="s">
        <v>17</v>
      </c>
      <c r="I343" t="s">
        <v>17</v>
      </c>
      <c r="J343" t="s">
        <v>17</v>
      </c>
      <c r="K343" t="s">
        <v>17</v>
      </c>
      <c r="L343">
        <v>1</v>
      </c>
      <c r="M343">
        <v>1</v>
      </c>
      <c r="N343">
        <v>0</v>
      </c>
      <c r="O343">
        <v>1</v>
      </c>
    </row>
    <row r="344" spans="1:15" x14ac:dyDescent="0.2">
      <c r="A344" t="s">
        <v>397</v>
      </c>
      <c r="B344" s="3">
        <v>40914</v>
      </c>
      <c r="C344">
        <v>11149</v>
      </c>
      <c r="D344" s="4" t="s">
        <v>29</v>
      </c>
      <c r="E344">
        <v>7</v>
      </c>
      <c r="F344">
        <v>1</v>
      </c>
      <c r="G344">
        <v>2012</v>
      </c>
      <c r="H344" s="4" t="s">
        <v>17</v>
      </c>
      <c r="I344" t="s">
        <v>17</v>
      </c>
      <c r="J344" t="s">
        <v>17</v>
      </c>
      <c r="K344" t="s">
        <v>17</v>
      </c>
      <c r="L344">
        <v>1</v>
      </c>
      <c r="M344">
        <v>0</v>
      </c>
      <c r="N344">
        <v>0</v>
      </c>
      <c r="O344">
        <v>0</v>
      </c>
    </row>
    <row r="345" spans="1:15" x14ac:dyDescent="0.2">
      <c r="A345" t="s">
        <v>398</v>
      </c>
      <c r="B345" s="3">
        <v>40915</v>
      </c>
      <c r="C345">
        <v>11150</v>
      </c>
      <c r="D345" s="4" t="s">
        <v>16</v>
      </c>
      <c r="E345">
        <v>1</v>
      </c>
      <c r="F345">
        <v>1</v>
      </c>
      <c r="G345">
        <v>2012</v>
      </c>
      <c r="H345" s="4" t="s">
        <v>399</v>
      </c>
      <c r="I345" t="s">
        <v>70</v>
      </c>
      <c r="J345" t="s">
        <v>17</v>
      </c>
      <c r="K345" t="s">
        <v>17</v>
      </c>
      <c r="L345">
        <v>1</v>
      </c>
      <c r="M345">
        <v>1</v>
      </c>
      <c r="N345">
        <v>0</v>
      </c>
      <c r="O345">
        <v>0</v>
      </c>
    </row>
    <row r="346" spans="1:15" x14ac:dyDescent="0.2">
      <c r="A346" t="s">
        <v>400</v>
      </c>
      <c r="B346" s="3">
        <v>40916</v>
      </c>
      <c r="C346">
        <v>11150</v>
      </c>
      <c r="D346" s="4" t="s">
        <v>19</v>
      </c>
      <c r="E346">
        <v>2</v>
      </c>
      <c r="F346">
        <v>1</v>
      </c>
      <c r="G346">
        <v>2012</v>
      </c>
      <c r="H346" s="4" t="s">
        <v>17</v>
      </c>
      <c r="I346" t="s">
        <v>17</v>
      </c>
      <c r="J346" t="s">
        <v>17</v>
      </c>
      <c r="K346" t="s">
        <v>17</v>
      </c>
      <c r="L346">
        <v>1</v>
      </c>
      <c r="M346">
        <v>0</v>
      </c>
      <c r="N346">
        <v>4</v>
      </c>
      <c r="O346">
        <v>0</v>
      </c>
    </row>
    <row r="347" spans="1:15" x14ac:dyDescent="0.2">
      <c r="A347" t="s">
        <v>401</v>
      </c>
      <c r="B347" s="3">
        <v>40917</v>
      </c>
      <c r="C347">
        <v>11150</v>
      </c>
      <c r="D347" s="4" t="s">
        <v>21</v>
      </c>
      <c r="E347">
        <v>3</v>
      </c>
      <c r="F347">
        <v>1</v>
      </c>
      <c r="G347">
        <v>2012</v>
      </c>
      <c r="H347" s="4" t="s">
        <v>17</v>
      </c>
      <c r="I347" t="s">
        <v>17</v>
      </c>
      <c r="J347" t="s">
        <v>17</v>
      </c>
      <c r="K347" t="s">
        <v>17</v>
      </c>
      <c r="L347">
        <v>1</v>
      </c>
      <c r="M347">
        <v>0</v>
      </c>
      <c r="N347">
        <v>2</v>
      </c>
      <c r="O347">
        <v>0</v>
      </c>
    </row>
    <row r="348" spans="1:15" x14ac:dyDescent="0.2">
      <c r="A348" t="s">
        <v>402</v>
      </c>
      <c r="B348" s="3">
        <v>40918</v>
      </c>
      <c r="C348">
        <v>11150</v>
      </c>
      <c r="D348" s="4" t="s">
        <v>23</v>
      </c>
      <c r="E348">
        <v>4</v>
      </c>
      <c r="F348">
        <v>1</v>
      </c>
      <c r="G348">
        <v>2012</v>
      </c>
      <c r="H348" s="4" t="s">
        <v>17</v>
      </c>
      <c r="I348" t="s">
        <v>17</v>
      </c>
      <c r="J348" t="s">
        <v>17</v>
      </c>
      <c r="K348" t="s">
        <v>17</v>
      </c>
      <c r="L348">
        <v>1</v>
      </c>
      <c r="M348">
        <v>0</v>
      </c>
      <c r="N348">
        <v>0</v>
      </c>
      <c r="O348">
        <v>1</v>
      </c>
    </row>
    <row r="349" spans="1:15" x14ac:dyDescent="0.2">
      <c r="A349" t="s">
        <v>403</v>
      </c>
      <c r="B349" s="3">
        <v>40919</v>
      </c>
      <c r="C349">
        <v>11150</v>
      </c>
      <c r="D349" s="4" t="s">
        <v>25</v>
      </c>
      <c r="E349">
        <v>5</v>
      </c>
      <c r="F349">
        <v>1</v>
      </c>
      <c r="G349">
        <v>2012</v>
      </c>
      <c r="H349" s="4" t="s">
        <v>17</v>
      </c>
      <c r="I349" t="s">
        <v>17</v>
      </c>
      <c r="J349" t="s">
        <v>17</v>
      </c>
      <c r="K349" t="s">
        <v>17</v>
      </c>
      <c r="L349">
        <v>0</v>
      </c>
      <c r="M349">
        <v>2</v>
      </c>
      <c r="N349">
        <v>2</v>
      </c>
      <c r="O349">
        <v>1</v>
      </c>
    </row>
    <row r="350" spans="1:15" x14ac:dyDescent="0.2">
      <c r="A350" t="s">
        <v>404</v>
      </c>
      <c r="B350" s="3">
        <v>40920</v>
      </c>
      <c r="C350">
        <v>11150</v>
      </c>
      <c r="D350" s="4" t="s">
        <v>27</v>
      </c>
      <c r="E350">
        <v>6</v>
      </c>
      <c r="F350">
        <v>1</v>
      </c>
      <c r="G350">
        <v>2012</v>
      </c>
      <c r="H350" s="4" t="s">
        <v>17</v>
      </c>
      <c r="I350" t="s">
        <v>17</v>
      </c>
      <c r="J350" t="s">
        <v>17</v>
      </c>
      <c r="K350" t="s">
        <v>17</v>
      </c>
      <c r="L350">
        <v>0</v>
      </c>
      <c r="M350">
        <v>0</v>
      </c>
      <c r="N350">
        <v>1</v>
      </c>
      <c r="O350">
        <v>0</v>
      </c>
    </row>
    <row r="351" spans="1:15" x14ac:dyDescent="0.2">
      <c r="A351" t="s">
        <v>405</v>
      </c>
      <c r="B351" s="3">
        <v>40921</v>
      </c>
      <c r="C351">
        <v>11150</v>
      </c>
      <c r="D351" s="4" t="s">
        <v>29</v>
      </c>
      <c r="E351">
        <v>7</v>
      </c>
      <c r="F351">
        <v>1</v>
      </c>
      <c r="G351">
        <v>2012</v>
      </c>
      <c r="H351" s="4" t="s">
        <v>17</v>
      </c>
      <c r="I351" t="s">
        <v>17</v>
      </c>
      <c r="J351" t="s">
        <v>17</v>
      </c>
      <c r="K351" t="s">
        <v>17</v>
      </c>
      <c r="L351">
        <v>0</v>
      </c>
      <c r="M351">
        <v>1</v>
      </c>
      <c r="N351">
        <v>0</v>
      </c>
      <c r="O351">
        <v>1</v>
      </c>
    </row>
    <row r="352" spans="1:15" x14ac:dyDescent="0.2">
      <c r="A352" t="s">
        <v>406</v>
      </c>
      <c r="B352" s="3">
        <v>40922</v>
      </c>
      <c r="C352">
        <v>11151</v>
      </c>
      <c r="D352" s="4" t="s">
        <v>16</v>
      </c>
      <c r="E352">
        <v>1</v>
      </c>
      <c r="F352">
        <v>1</v>
      </c>
      <c r="G352">
        <v>2012</v>
      </c>
      <c r="H352" s="4" t="s">
        <v>17</v>
      </c>
      <c r="I352" t="s">
        <v>17</v>
      </c>
      <c r="J352" t="s">
        <v>17</v>
      </c>
      <c r="K352" t="s">
        <v>17</v>
      </c>
      <c r="L352">
        <v>0</v>
      </c>
      <c r="M352">
        <v>0</v>
      </c>
      <c r="N352">
        <v>1</v>
      </c>
      <c r="O352">
        <v>4</v>
      </c>
    </row>
    <row r="353" spans="1:15" x14ac:dyDescent="0.2">
      <c r="A353" t="s">
        <v>407</v>
      </c>
      <c r="B353" s="3">
        <v>40923</v>
      </c>
      <c r="C353">
        <v>11151</v>
      </c>
      <c r="D353" s="4" t="s">
        <v>19</v>
      </c>
      <c r="E353">
        <v>2</v>
      </c>
      <c r="F353">
        <v>1</v>
      </c>
      <c r="G353">
        <v>2012</v>
      </c>
      <c r="H353" s="4" t="s">
        <v>17</v>
      </c>
      <c r="I353" t="s">
        <v>17</v>
      </c>
      <c r="J353" t="s">
        <v>17</v>
      </c>
      <c r="K353" t="s">
        <v>17</v>
      </c>
      <c r="L353">
        <v>0</v>
      </c>
      <c r="M353">
        <v>1</v>
      </c>
      <c r="N353">
        <v>0</v>
      </c>
      <c r="O353">
        <v>0</v>
      </c>
    </row>
    <row r="354" spans="1:15" x14ac:dyDescent="0.2">
      <c r="A354" t="s">
        <v>408</v>
      </c>
      <c r="B354" s="3">
        <v>40924</v>
      </c>
      <c r="C354">
        <v>11151</v>
      </c>
      <c r="D354" s="4" t="s">
        <v>21</v>
      </c>
      <c r="E354">
        <v>3</v>
      </c>
      <c r="F354">
        <v>1</v>
      </c>
      <c r="G354">
        <v>2012</v>
      </c>
      <c r="H354" s="4" t="s">
        <v>409</v>
      </c>
      <c r="I354" t="s">
        <v>52</v>
      </c>
      <c r="J354" t="s">
        <v>17</v>
      </c>
      <c r="K354" t="s">
        <v>17</v>
      </c>
      <c r="L354">
        <v>0</v>
      </c>
      <c r="M354">
        <v>1</v>
      </c>
      <c r="N354">
        <v>0</v>
      </c>
      <c r="O354">
        <v>0</v>
      </c>
    </row>
    <row r="355" spans="1:15" x14ac:dyDescent="0.2">
      <c r="A355" t="s">
        <v>410</v>
      </c>
      <c r="B355" s="3">
        <v>40925</v>
      </c>
      <c r="C355">
        <v>11151</v>
      </c>
      <c r="D355" s="4" t="s">
        <v>23</v>
      </c>
      <c r="E355">
        <v>4</v>
      </c>
      <c r="F355">
        <v>1</v>
      </c>
      <c r="G355">
        <v>2012</v>
      </c>
      <c r="H355" s="4" t="s">
        <v>17</v>
      </c>
      <c r="I355" t="s">
        <v>17</v>
      </c>
      <c r="J355" t="s">
        <v>17</v>
      </c>
      <c r="K355" t="s">
        <v>17</v>
      </c>
      <c r="L355">
        <v>0</v>
      </c>
      <c r="M355">
        <v>1</v>
      </c>
      <c r="N355">
        <v>1</v>
      </c>
      <c r="O355">
        <v>2</v>
      </c>
    </row>
    <row r="356" spans="1:15" x14ac:dyDescent="0.2">
      <c r="A356" t="s">
        <v>411</v>
      </c>
      <c r="B356" s="3">
        <v>40926</v>
      </c>
      <c r="C356">
        <v>11151</v>
      </c>
      <c r="D356" s="4" t="s">
        <v>25</v>
      </c>
      <c r="E356">
        <v>5</v>
      </c>
      <c r="F356">
        <v>1</v>
      </c>
      <c r="G356">
        <v>2012</v>
      </c>
      <c r="H356" s="4" t="s">
        <v>17</v>
      </c>
      <c r="I356" t="s">
        <v>17</v>
      </c>
      <c r="J356" t="s">
        <v>17</v>
      </c>
      <c r="K356" t="s">
        <v>17</v>
      </c>
      <c r="L356">
        <v>0</v>
      </c>
      <c r="M356">
        <v>0</v>
      </c>
      <c r="N356">
        <v>1</v>
      </c>
      <c r="O356">
        <v>0</v>
      </c>
    </row>
    <row r="357" spans="1:15" x14ac:dyDescent="0.2">
      <c r="A357" t="s">
        <v>412</v>
      </c>
      <c r="B357" s="3">
        <v>40927</v>
      </c>
      <c r="C357">
        <v>11151</v>
      </c>
      <c r="D357" s="4" t="s">
        <v>27</v>
      </c>
      <c r="E357">
        <v>6</v>
      </c>
      <c r="F357">
        <v>1</v>
      </c>
      <c r="G357">
        <v>2012</v>
      </c>
      <c r="H357" s="4" t="s">
        <v>17</v>
      </c>
      <c r="I357" t="s">
        <v>17</v>
      </c>
      <c r="J357" t="s">
        <v>17</v>
      </c>
      <c r="K357" t="s">
        <v>17</v>
      </c>
      <c r="L357">
        <v>0</v>
      </c>
      <c r="M357">
        <v>0</v>
      </c>
      <c r="N357">
        <v>1</v>
      </c>
      <c r="O357">
        <v>0</v>
      </c>
    </row>
    <row r="358" spans="1:15" x14ac:dyDescent="0.2">
      <c r="A358" t="s">
        <v>413</v>
      </c>
      <c r="B358" s="3">
        <v>40928</v>
      </c>
      <c r="C358">
        <v>11151</v>
      </c>
      <c r="D358" s="4" t="s">
        <v>29</v>
      </c>
      <c r="E358">
        <v>7</v>
      </c>
      <c r="F358">
        <v>1</v>
      </c>
      <c r="G358">
        <v>2012</v>
      </c>
      <c r="H358" s="4" t="s">
        <v>17</v>
      </c>
      <c r="I358" t="s">
        <v>17</v>
      </c>
      <c r="J358" t="s">
        <v>17</v>
      </c>
      <c r="K358" t="s">
        <v>17</v>
      </c>
      <c r="L358">
        <v>0</v>
      </c>
      <c r="M358">
        <v>4</v>
      </c>
      <c r="N358">
        <v>0</v>
      </c>
      <c r="O358">
        <v>0</v>
      </c>
    </row>
    <row r="359" spans="1:15" x14ac:dyDescent="0.2">
      <c r="A359" t="s">
        <v>414</v>
      </c>
      <c r="B359" s="3">
        <v>40929</v>
      </c>
      <c r="C359">
        <v>11152</v>
      </c>
      <c r="D359" s="4" t="s">
        <v>16</v>
      </c>
      <c r="E359">
        <v>1</v>
      </c>
      <c r="F359">
        <v>1</v>
      </c>
      <c r="G359">
        <v>2012</v>
      </c>
      <c r="H359" s="4" t="s">
        <v>17</v>
      </c>
      <c r="I359" t="s">
        <v>17</v>
      </c>
      <c r="J359" t="s">
        <v>17</v>
      </c>
      <c r="K359" t="s">
        <v>17</v>
      </c>
      <c r="L359">
        <v>0</v>
      </c>
      <c r="M359">
        <v>1</v>
      </c>
      <c r="N359">
        <v>0</v>
      </c>
      <c r="O359">
        <v>0</v>
      </c>
    </row>
    <row r="360" spans="1:15" x14ac:dyDescent="0.2">
      <c r="A360" t="s">
        <v>415</v>
      </c>
      <c r="B360" s="3">
        <v>40930</v>
      </c>
      <c r="C360">
        <v>11152</v>
      </c>
      <c r="D360" s="4" t="s">
        <v>19</v>
      </c>
      <c r="E360">
        <v>2</v>
      </c>
      <c r="F360">
        <v>1</v>
      </c>
      <c r="G360">
        <v>2012</v>
      </c>
      <c r="H360" s="4" t="s">
        <v>17</v>
      </c>
      <c r="I360" t="s">
        <v>17</v>
      </c>
      <c r="J360" t="s">
        <v>17</v>
      </c>
      <c r="K360" t="s">
        <v>17</v>
      </c>
      <c r="L360">
        <v>0</v>
      </c>
      <c r="M360">
        <v>1</v>
      </c>
      <c r="N360">
        <v>0</v>
      </c>
      <c r="O360">
        <v>0</v>
      </c>
    </row>
    <row r="361" spans="1:15" x14ac:dyDescent="0.2">
      <c r="A361" t="s">
        <v>416</v>
      </c>
      <c r="B361" s="3">
        <v>40931</v>
      </c>
      <c r="C361">
        <v>11152</v>
      </c>
      <c r="D361" s="4" t="s">
        <v>21</v>
      </c>
      <c r="E361">
        <v>3</v>
      </c>
      <c r="F361">
        <v>1</v>
      </c>
      <c r="G361">
        <v>2012</v>
      </c>
      <c r="H361" s="4" t="s">
        <v>17</v>
      </c>
      <c r="I361" t="s">
        <v>17</v>
      </c>
      <c r="J361" t="s">
        <v>17</v>
      </c>
      <c r="K361" t="s">
        <v>17</v>
      </c>
      <c r="L361">
        <v>0</v>
      </c>
      <c r="M361">
        <v>0</v>
      </c>
      <c r="N361">
        <v>2</v>
      </c>
      <c r="O361">
        <v>0</v>
      </c>
    </row>
    <row r="362" spans="1:15" x14ac:dyDescent="0.2">
      <c r="A362" t="s">
        <v>417</v>
      </c>
      <c r="B362" s="3">
        <v>40932</v>
      </c>
      <c r="C362">
        <v>11152</v>
      </c>
      <c r="D362" s="4" t="s">
        <v>23</v>
      </c>
      <c r="E362">
        <v>4</v>
      </c>
      <c r="F362">
        <v>1</v>
      </c>
      <c r="G362">
        <v>2012</v>
      </c>
      <c r="H362" s="4" t="s">
        <v>17</v>
      </c>
      <c r="I362" t="s">
        <v>17</v>
      </c>
      <c r="J362" t="s">
        <v>17</v>
      </c>
      <c r="K362" t="s">
        <v>17</v>
      </c>
      <c r="L362">
        <v>0</v>
      </c>
      <c r="M362">
        <v>0</v>
      </c>
      <c r="N362">
        <v>0</v>
      </c>
      <c r="O362">
        <v>1</v>
      </c>
    </row>
    <row r="363" spans="1:15" x14ac:dyDescent="0.2">
      <c r="A363" t="s">
        <v>418</v>
      </c>
      <c r="B363" s="3">
        <v>40933</v>
      </c>
      <c r="C363">
        <v>11152</v>
      </c>
      <c r="D363" s="4" t="s">
        <v>25</v>
      </c>
      <c r="E363">
        <v>5</v>
      </c>
      <c r="F363">
        <v>1</v>
      </c>
      <c r="G363">
        <v>2012</v>
      </c>
      <c r="H363" s="4" t="s">
        <v>17</v>
      </c>
      <c r="I363" t="s">
        <v>17</v>
      </c>
      <c r="J363" t="s">
        <v>17</v>
      </c>
      <c r="K363" t="s">
        <v>17</v>
      </c>
      <c r="L363">
        <v>0</v>
      </c>
      <c r="M363">
        <v>0</v>
      </c>
      <c r="N363">
        <v>1</v>
      </c>
      <c r="O363">
        <v>1</v>
      </c>
    </row>
    <row r="364" spans="1:15" x14ac:dyDescent="0.2">
      <c r="A364" t="s">
        <v>419</v>
      </c>
      <c r="B364" s="3">
        <v>40934</v>
      </c>
      <c r="C364">
        <v>11152</v>
      </c>
      <c r="D364" s="4" t="s">
        <v>27</v>
      </c>
      <c r="E364">
        <v>6</v>
      </c>
      <c r="F364">
        <v>1</v>
      </c>
      <c r="G364">
        <v>2012</v>
      </c>
      <c r="H364" s="4" t="s">
        <v>17</v>
      </c>
      <c r="I364" t="s">
        <v>17</v>
      </c>
      <c r="J364" t="s">
        <v>17</v>
      </c>
      <c r="K364" t="s">
        <v>17</v>
      </c>
      <c r="L364">
        <v>0</v>
      </c>
      <c r="M364">
        <v>0</v>
      </c>
      <c r="N364">
        <v>3</v>
      </c>
      <c r="O364">
        <v>1</v>
      </c>
    </row>
    <row r="365" spans="1:15" x14ac:dyDescent="0.2">
      <c r="A365" t="s">
        <v>420</v>
      </c>
      <c r="B365" s="3">
        <v>40935</v>
      </c>
      <c r="C365">
        <v>11152</v>
      </c>
      <c r="D365" s="4" t="s">
        <v>29</v>
      </c>
      <c r="E365">
        <v>7</v>
      </c>
      <c r="F365">
        <v>1</v>
      </c>
      <c r="G365">
        <v>2012</v>
      </c>
      <c r="H365" s="4" t="s">
        <v>17</v>
      </c>
      <c r="I365" t="s">
        <v>17</v>
      </c>
      <c r="J365" t="s">
        <v>17</v>
      </c>
      <c r="K365" t="s">
        <v>17</v>
      </c>
      <c r="L365">
        <v>0</v>
      </c>
      <c r="M365">
        <v>0</v>
      </c>
      <c r="N365">
        <v>0</v>
      </c>
      <c r="O365">
        <v>0</v>
      </c>
    </row>
    <row r="366" spans="1:15" x14ac:dyDescent="0.2">
      <c r="A366" t="s">
        <v>421</v>
      </c>
      <c r="B366" s="3">
        <v>40936</v>
      </c>
      <c r="C366">
        <v>11201</v>
      </c>
      <c r="D366" s="4" t="s">
        <v>16</v>
      </c>
      <c r="E366">
        <v>1</v>
      </c>
      <c r="F366">
        <v>1</v>
      </c>
      <c r="G366">
        <v>2012</v>
      </c>
      <c r="H366" s="4" t="s">
        <v>17</v>
      </c>
      <c r="I366" t="s">
        <v>17</v>
      </c>
      <c r="J366" t="s">
        <v>17</v>
      </c>
      <c r="K366" t="s">
        <v>17</v>
      </c>
      <c r="L366">
        <v>0</v>
      </c>
      <c r="M366">
        <v>2</v>
      </c>
      <c r="N366">
        <v>0</v>
      </c>
      <c r="O36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A684-03EA-1648-BF5A-A2076FFD68B6}">
  <dimension ref="A1:D16"/>
  <sheetViews>
    <sheetView zoomScale="91" zoomScaleNormal="91" workbookViewId="0">
      <selection activeCell="C23" sqref="C23"/>
    </sheetView>
  </sheetViews>
  <sheetFormatPr baseColWidth="10" defaultRowHeight="16" x14ac:dyDescent="0.2"/>
  <cols>
    <col min="1" max="1" width="18.1640625" customWidth="1"/>
    <col min="2" max="2" width="14.5" customWidth="1"/>
    <col min="3" max="3" width="15.33203125" customWidth="1"/>
    <col min="4" max="4" width="14" customWidth="1"/>
  </cols>
  <sheetData>
    <row r="1" spans="1:4" x14ac:dyDescent="0.2">
      <c r="A1" t="s">
        <v>440</v>
      </c>
      <c r="B1" t="s">
        <v>422</v>
      </c>
      <c r="C1" t="s">
        <v>423</v>
      </c>
      <c r="D1" t="s">
        <v>424</v>
      </c>
    </row>
    <row r="2" spans="1:4" x14ac:dyDescent="0.2">
      <c r="A2" t="s">
        <v>425</v>
      </c>
      <c r="B2">
        <f>COUNTA(RawData!M2:M366)</f>
        <v>365</v>
      </c>
      <c r="C2">
        <f>COUNTA(RawData!N2:N366)</f>
        <v>365</v>
      </c>
      <c r="D2">
        <f>COUNTA(RawData!O2:O3660)</f>
        <v>365</v>
      </c>
    </row>
    <row r="3" spans="1:4" x14ac:dyDescent="0.2">
      <c r="A3" t="s">
        <v>426</v>
      </c>
      <c r="B3">
        <f>SUM(RawData!M2:M366)</f>
        <v>328</v>
      </c>
      <c r="C3">
        <f>SUM(RawData!N2:N366)</f>
        <v>292</v>
      </c>
      <c r="D3">
        <f>SUM(RawData!O2:O366)</f>
        <v>319</v>
      </c>
    </row>
    <row r="4" spans="1:4" x14ac:dyDescent="0.2">
      <c r="A4" t="s">
        <v>427</v>
      </c>
      <c r="B4">
        <f>AVERAGE(RawData!M2:M366)</f>
        <v>0.89863013698630134</v>
      </c>
      <c r="C4">
        <f>AVERAGE(RawData!N2:N366)</f>
        <v>0.8</v>
      </c>
      <c r="D4">
        <f>AVERAGE(RawData!O2:O366)</f>
        <v>0.87397260273972599</v>
      </c>
    </row>
    <row r="5" spans="1:4" x14ac:dyDescent="0.2">
      <c r="A5" t="s">
        <v>428</v>
      </c>
      <c r="B5">
        <f>MEDIAN(RawData!M2:M366)</f>
        <v>0</v>
      </c>
      <c r="C5">
        <f>MEDIAN(RawData!N2:N366)</f>
        <v>0</v>
      </c>
      <c r="D5">
        <f>MEDIAN(RawData!O2:O366)</f>
        <v>0</v>
      </c>
    </row>
    <row r="6" spans="1:4" x14ac:dyDescent="0.2">
      <c r="A6" t="s">
        <v>429</v>
      </c>
      <c r="B6">
        <f>STDEV(RawData!M2:M366)</f>
        <v>1.4056883213506381</v>
      </c>
      <c r="C6">
        <f>STDEV(RawData!N2:N366)</f>
        <v>1.0114726506816301</v>
      </c>
      <c r="D6">
        <f>STDEV(RawData!O2:O366)</f>
        <v>1.2137069044035214</v>
      </c>
    </row>
    <row r="7" spans="1:4" x14ac:dyDescent="0.2">
      <c r="A7" t="s">
        <v>430</v>
      </c>
      <c r="B7">
        <f>B6/B4</f>
        <v>1.5642568210151919</v>
      </c>
      <c r="C7">
        <f t="shared" ref="C7:D7" si="0">C6/C4</f>
        <v>1.2643408133520375</v>
      </c>
      <c r="D7">
        <f t="shared" si="0"/>
        <v>1.3887242009632768</v>
      </c>
    </row>
    <row r="8" spans="1:4" x14ac:dyDescent="0.2">
      <c r="A8" t="s">
        <v>431</v>
      </c>
      <c r="B8">
        <f>MIN(RawData!M2:M366)</f>
        <v>0</v>
      </c>
      <c r="C8">
        <f>MIN(RawData!N2:N366)</f>
        <v>0</v>
      </c>
      <c r="D8">
        <f>MIN(RawData!O2:O366)</f>
        <v>0</v>
      </c>
    </row>
    <row r="9" spans="1:4" x14ac:dyDescent="0.2">
      <c r="A9" t="s">
        <v>432</v>
      </c>
      <c r="B9">
        <f>MAX(RawData!M2:M366)</f>
        <v>9</v>
      </c>
      <c r="C9">
        <f>MAX(RawData!N2:N366)</f>
        <v>5</v>
      </c>
      <c r="D9">
        <f>MAX(RawData!O2:O366)</f>
        <v>8</v>
      </c>
    </row>
    <row r="10" spans="1:4" x14ac:dyDescent="0.2">
      <c r="A10" t="s">
        <v>433</v>
      </c>
      <c r="B10">
        <f>COUNTIF(RawData!M2:M366,0)</f>
        <v>203</v>
      </c>
      <c r="C10">
        <f>COUNTIF(RawData!N2:N366,0)</f>
        <v>185</v>
      </c>
      <c r="D10">
        <f>COUNTIF(RawData!O2:O366,0)</f>
        <v>187</v>
      </c>
    </row>
    <row r="11" spans="1:4" x14ac:dyDescent="0.2">
      <c r="A11" t="s">
        <v>434</v>
      </c>
      <c r="B11" s="2">
        <f>B10/365</f>
        <v>0.55616438356164388</v>
      </c>
      <c r="C11" s="2">
        <f t="shared" ref="C11:D11" si="1">C10/365</f>
        <v>0.50684931506849318</v>
      </c>
      <c r="D11" s="2">
        <f t="shared" si="1"/>
        <v>0.51232876712328768</v>
      </c>
    </row>
    <row r="12" spans="1:4" x14ac:dyDescent="0.2">
      <c r="A12" t="s">
        <v>435</v>
      </c>
      <c r="B12" t="str">
        <f>INDEX(RawData!A2:A356,MATCH(MAX(RawData!M2:M356),RawData!M2:M356,0))</f>
        <v>d_98</v>
      </c>
      <c r="C12" t="str">
        <f>INDEX(RawData!A2:A356,MATCH(MAX(RawData!N2:N356),RawData!N2:N356,0))</f>
        <v>d_196</v>
      </c>
      <c r="D12" t="str">
        <f>INDEX(RawData!A2:A356,MATCH(MAX(RawData!O2:O356),RawData!O2:O356,0))</f>
        <v>d_232</v>
      </c>
    </row>
    <row r="13" spans="1:4" x14ac:dyDescent="0.2">
      <c r="A13" t="s">
        <v>436</v>
      </c>
      <c r="B13">
        <f>INDEX(RawData!B2:B356,MATCH(MAX(RawData!M2:M356),RawData!M2:M356,0))</f>
        <v>40669</v>
      </c>
      <c r="C13">
        <f>INDEX(RawData!B2:B356,MATCH(MAX(RawData!N2:N356),RawData!N2:N356,0))</f>
        <v>40767</v>
      </c>
      <c r="D13">
        <f>INDEX(RawData!B2:B356,MATCH(MAX(RawData!O2:O356),RawData!O2:O356,0))</f>
        <v>40803</v>
      </c>
    </row>
    <row r="14" spans="1:4" x14ac:dyDescent="0.2">
      <c r="A14" t="s">
        <v>437</v>
      </c>
      <c r="B14">
        <f>PERCENTILE(RawData!M2:M366,0.75)</f>
        <v>1</v>
      </c>
      <c r="C14">
        <f>PERCENTILE(RawData!N2:N366,0.75)</f>
        <v>1</v>
      </c>
      <c r="D14">
        <f>PERCENTILE(RawData!O2:O366,0.75)</f>
        <v>1</v>
      </c>
    </row>
    <row r="15" spans="1:4" x14ac:dyDescent="0.2">
      <c r="A15" t="s">
        <v>438</v>
      </c>
      <c r="B15">
        <f>PERCENTILE(RawData!M2:M366,0.25)</f>
        <v>0</v>
      </c>
      <c r="C15">
        <f>PERCENTILE(RawData!N2:N366,0.25)</f>
        <v>0</v>
      </c>
      <c r="D15">
        <f>PERCENTILE(RawData!O2:O366,0.25)</f>
        <v>0</v>
      </c>
    </row>
    <row r="16" spans="1:4" x14ac:dyDescent="0.2">
      <c r="A16" t="s">
        <v>439</v>
      </c>
      <c r="B16">
        <f>B14-B15</f>
        <v>1</v>
      </c>
      <c r="C16">
        <f t="shared" ref="C16:D16" si="2">C14-C15</f>
        <v>1</v>
      </c>
      <c r="D16">
        <f t="shared" si="2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C41A-DAC6-0543-907B-2ADF3CE67DBE}">
  <dimension ref="A1:E18"/>
  <sheetViews>
    <sheetView zoomScale="150" zoomScaleNormal="150" workbookViewId="0">
      <selection activeCell="B9" sqref="B9"/>
    </sheetView>
  </sheetViews>
  <sheetFormatPr baseColWidth="10" defaultRowHeight="16" x14ac:dyDescent="0.2"/>
  <cols>
    <col min="1" max="1" width="16.6640625" customWidth="1"/>
    <col min="2" max="2" width="13.83203125" customWidth="1"/>
  </cols>
  <sheetData>
    <row r="1" spans="1:5" x14ac:dyDescent="0.2">
      <c r="A1" s="1" t="s">
        <v>441</v>
      </c>
      <c r="B1" s="1" t="s">
        <v>442</v>
      </c>
      <c r="C1" s="1" t="s">
        <v>443</v>
      </c>
      <c r="D1" s="1" t="s">
        <v>444</v>
      </c>
      <c r="E1" s="1"/>
    </row>
    <row r="2" spans="1:5" x14ac:dyDescent="0.2">
      <c r="A2" t="s">
        <v>16</v>
      </c>
      <c r="B2">
        <f>IFERROR(AVERAGEIF(RawData!$D$2:$D$356,A2,RawData!$M$2:$M$356),"No Data")</f>
        <v>1.0392156862745099</v>
      </c>
      <c r="C2">
        <f>IFERROR(AVERAGEIF(RawData!$D$2:$D$356,A2,RawData!$N$2:$N$356),"No Data")</f>
        <v>0.84313725490196079</v>
      </c>
      <c r="D2">
        <f>IFERROR(AVERAGEIF(RawData!$D$2:$D$356,A2,RawData!$O$2:$O$356),"No Data")</f>
        <v>1.5294117647058822</v>
      </c>
    </row>
    <row r="3" spans="1:5" x14ac:dyDescent="0.2">
      <c r="A3" t="s">
        <v>19</v>
      </c>
      <c r="B3">
        <f>IFERROR(AVERAGEIF(RawData!$D$2:$D$356,A3,RawData!$M$2:$M$356),"No Data")</f>
        <v>1.1764705882352942</v>
      </c>
      <c r="C3">
        <f>IFERROR(AVERAGEIF(RawData!$D$2:$D$356,A3,RawData!$N$2:$N$356),"No Data")</f>
        <v>0.88235294117647056</v>
      </c>
      <c r="D3">
        <f>IFERROR(AVERAGEIF(RawData!$D$2:$D$356,A3,RawData!$O$2:$O$356),"No Data")</f>
        <v>0.88235294117647056</v>
      </c>
    </row>
    <row r="4" spans="1:5" x14ac:dyDescent="0.2">
      <c r="A4" t="s">
        <v>21</v>
      </c>
      <c r="B4">
        <f>IFERROR(AVERAGEIF(RawData!$D$2:$D$356,A4,RawData!$M$2:$M$356),"No Data")</f>
        <v>0.66666666666666663</v>
      </c>
      <c r="C4">
        <f>IFERROR(AVERAGEIF(RawData!$D$2:$D$356,A4,RawData!$N$2:$N$356),"No Data")</f>
        <v>0.94117647058823528</v>
      </c>
      <c r="D4">
        <f>IFERROR(AVERAGEIF(RawData!$D$2:$D$356,A4,RawData!$O$2:$O$356),"No Data")</f>
        <v>0.62745098039215685</v>
      </c>
    </row>
    <row r="5" spans="1:5" x14ac:dyDescent="0.2">
      <c r="A5" t="s">
        <v>23</v>
      </c>
      <c r="B5">
        <f>IFERROR(AVERAGEIF(RawData!$D$2:$D$356,A5,RawData!$M$2:$M$356),"No Data")</f>
        <v>0.6470588235294118</v>
      </c>
      <c r="C5">
        <f>IFERROR(AVERAGEIF(RawData!$D$2:$D$356,A5,RawData!$N$2:$N$356),"No Data")</f>
        <v>0.70588235294117652</v>
      </c>
      <c r="D5">
        <f>IFERROR(AVERAGEIF(RawData!$D$2:$D$356,A5,RawData!$O$2:$O$356),"No Data")</f>
        <v>0.78431372549019607</v>
      </c>
    </row>
    <row r="6" spans="1:5" x14ac:dyDescent="0.2">
      <c r="A6" t="s">
        <v>25</v>
      </c>
      <c r="B6">
        <f>IFERROR(AVERAGEIF(RawData!$D$2:$D$356,A6,RawData!$M$2:$M$356),"No Data")</f>
        <v>0.94117647058823528</v>
      </c>
      <c r="C6">
        <f>IFERROR(AVERAGEIF(RawData!$D$2:$D$356,A6,RawData!$N$2:$N$356),"No Data")</f>
        <v>0.78431372549019607</v>
      </c>
      <c r="D6">
        <f>IFERROR(AVERAGEIF(RawData!$D$2:$D$356,A6,RawData!$O$2:$O$356),"No Data")</f>
        <v>0.50980392156862742</v>
      </c>
    </row>
    <row r="7" spans="1:5" x14ac:dyDescent="0.2">
      <c r="A7" t="s">
        <v>27</v>
      </c>
      <c r="B7">
        <f>IFERROR(AVERAGEIF(RawData!$D$2:$D$356,A7,RawData!$M$2:$M$356),"No Data")</f>
        <v>0.76</v>
      </c>
      <c r="C7">
        <f>IFERROR(AVERAGEIF(RawData!$D$2:$D$356,A7,RawData!$N$2:$N$356),"No Data")</f>
        <v>0.56000000000000005</v>
      </c>
      <c r="D7">
        <f>IFERROR(AVERAGEIF(RawData!$D$2:$D$356,A7,RawData!$O$2:$O$356),"No Data")</f>
        <v>0.94</v>
      </c>
    </row>
    <row r="8" spans="1:5" x14ac:dyDescent="0.2">
      <c r="A8" t="s">
        <v>29</v>
      </c>
      <c r="B8">
        <f>IFERROR(AVERAGEIF(RawData!$D$2:$D$356,A8,RawData!$M$2:$M$356),"No Data")</f>
        <v>1.08</v>
      </c>
      <c r="C8">
        <f>IFERROR(AVERAGEIF(RawData!$D$2:$D$356,A8,RawData!$N$2:$N$356),"No Data")</f>
        <v>0.9</v>
      </c>
      <c r="D8">
        <f>IFERROR(AVERAGEIF(RawData!$D$2:$D$356,A8,RawData!$O$2:$O$356),"No Data")</f>
        <v>0.94</v>
      </c>
    </row>
    <row r="9" spans="1:5" x14ac:dyDescent="0.2">
      <c r="A9" t="s">
        <v>445</v>
      </c>
      <c r="B9">
        <f>AVERAGE(Table2[SKU1_Sales])</f>
        <v>0.89863013698630134</v>
      </c>
      <c r="C9">
        <f>AVERAGE(Table2[SKU2_Sales])</f>
        <v>0.8</v>
      </c>
      <c r="D9">
        <f>AVERAGE(Table2[SKU3_Sales])</f>
        <v>0.87397260273972599</v>
      </c>
    </row>
    <row r="11" spans="1:5" x14ac:dyDescent="0.2">
      <c r="A11" s="1" t="s">
        <v>446</v>
      </c>
    </row>
    <row r="12" spans="1:5" x14ac:dyDescent="0.2">
      <c r="A12" t="s">
        <v>16</v>
      </c>
      <c r="B12">
        <f>B2/B9</f>
        <v>1.1564442850310857</v>
      </c>
      <c r="C12">
        <f t="shared" ref="C12:D12" si="0">C2/C9</f>
        <v>1.053921568627451</v>
      </c>
      <c r="D12">
        <f t="shared" si="0"/>
        <v>1.7499539000553199</v>
      </c>
    </row>
    <row r="13" spans="1:5" x14ac:dyDescent="0.2">
      <c r="A13" t="s">
        <v>19</v>
      </c>
      <c r="B13">
        <f>B3/B9</f>
        <v>1.3091822094691536</v>
      </c>
      <c r="C13">
        <f t="shared" ref="C13:D13" si="1">C3/C9</f>
        <v>1.1029411764705881</v>
      </c>
      <c r="D13">
        <f t="shared" si="1"/>
        <v>1.0095887884934538</v>
      </c>
    </row>
    <row r="14" spans="1:5" x14ac:dyDescent="0.2">
      <c r="A14" t="s">
        <v>21</v>
      </c>
      <c r="B14">
        <f>B4/B9</f>
        <v>0.74186991869918695</v>
      </c>
      <c r="C14">
        <f t="shared" ref="C14:D14" si="2">C4/C9</f>
        <v>1.1764705882352939</v>
      </c>
      <c r="D14">
        <f t="shared" si="2"/>
        <v>0.71792980515090055</v>
      </c>
    </row>
    <row r="15" spans="1:5" x14ac:dyDescent="0.2">
      <c r="A15" t="s">
        <v>23</v>
      </c>
      <c r="B15">
        <f>B5/B9</f>
        <v>0.72005021520803447</v>
      </c>
      <c r="C15">
        <f t="shared" ref="C15:D15" si="3">C5/C9</f>
        <v>0.88235294117647056</v>
      </c>
      <c r="D15">
        <f t="shared" si="3"/>
        <v>0.89741225643862566</v>
      </c>
    </row>
    <row r="16" spans="1:5" x14ac:dyDescent="0.2">
      <c r="A16" t="s">
        <v>25</v>
      </c>
      <c r="B16">
        <f>B6/B9</f>
        <v>1.0473457675753228</v>
      </c>
      <c r="C16">
        <f t="shared" ref="C16:D16" si="4">C6/C9</f>
        <v>0.98039215686274506</v>
      </c>
      <c r="D16">
        <f t="shared" si="4"/>
        <v>0.5833179666851066</v>
      </c>
    </row>
    <row r="17" spans="1:4" x14ac:dyDescent="0.2">
      <c r="A17" t="s">
        <v>27</v>
      </c>
      <c r="B17">
        <f>B7/B9</f>
        <v>0.84573170731707326</v>
      </c>
      <c r="C17">
        <f t="shared" ref="C17:D17" si="5">C7/C9</f>
        <v>0.70000000000000007</v>
      </c>
      <c r="D17">
        <f t="shared" si="5"/>
        <v>1.0755485893416927</v>
      </c>
    </row>
    <row r="18" spans="1:4" x14ac:dyDescent="0.2">
      <c r="A18" t="s">
        <v>29</v>
      </c>
      <c r="B18">
        <f>B8/B9</f>
        <v>1.201829268292683</v>
      </c>
      <c r="C18">
        <f t="shared" ref="C18:D18" si="6">C8/C9</f>
        <v>1.125</v>
      </c>
      <c r="D18">
        <f t="shared" si="6"/>
        <v>1.0755485893416927</v>
      </c>
    </row>
  </sheetData>
  <conditionalFormatting sqref="B2:D8">
    <cfRule type="cellIs" dxfId="1" priority="1" operator="greaterThan">
      <formula>0.8</formula>
    </cfRule>
  </conditionalFormatting>
  <conditionalFormatting sqref="B2:D9">
    <cfRule type="cellIs" dxfId="0" priority="2" operator="greaterThan"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FCDB-039A-9A43-A0F3-A0282D0DB505}">
  <dimension ref="A1:H13"/>
  <sheetViews>
    <sheetView zoomScale="140" zoomScaleNormal="140" workbookViewId="0">
      <selection activeCell="G22" sqref="G22"/>
    </sheetView>
  </sheetViews>
  <sheetFormatPr baseColWidth="10" defaultRowHeight="16" x14ac:dyDescent="0.2"/>
  <cols>
    <col min="2" max="2" width="13.5" customWidth="1"/>
    <col min="3" max="3" width="15" customWidth="1"/>
    <col min="4" max="4" width="13.6640625" customWidth="1"/>
    <col min="5" max="5" width="17.83203125" customWidth="1"/>
    <col min="6" max="6" width="25.5" customWidth="1"/>
    <col min="7" max="7" width="27" customWidth="1"/>
    <col min="8" max="8" width="24.6640625" customWidth="1"/>
  </cols>
  <sheetData>
    <row r="1" spans="1:8" x14ac:dyDescent="0.2">
      <c r="A1" t="s">
        <v>447</v>
      </c>
      <c r="B1" t="s">
        <v>448</v>
      </c>
      <c r="C1" t="s">
        <v>442</v>
      </c>
      <c r="D1" t="s">
        <v>443</v>
      </c>
      <c r="E1" t="s">
        <v>444</v>
      </c>
      <c r="F1" t="s">
        <v>461</v>
      </c>
      <c r="G1" t="s">
        <v>462</v>
      </c>
      <c r="H1" t="s">
        <v>463</v>
      </c>
    </row>
    <row r="2" spans="1:8" x14ac:dyDescent="0.2">
      <c r="A2">
        <v>1</v>
      </c>
      <c r="B2" t="s">
        <v>449</v>
      </c>
      <c r="C2">
        <f>AVERAGEIF(Table2[month],MonthlyPattern!A2,Table2[SKU1_Sales])</f>
        <v>0.70967741935483875</v>
      </c>
      <c r="D2">
        <f>AVERAGEIF(Table2[month],MonthlyPattern!A2,Table2[SKU2_Sales])</f>
        <v>0.77419354838709675</v>
      </c>
      <c r="E2">
        <f>AVERAGEIF(Table2[month],MonthlyPattern!A2,Table2[SKU3_Sales])</f>
        <v>0.45161290322580644</v>
      </c>
      <c r="F2">
        <f>C2/AVERAGE(RawData!$M$2:$M$356)</f>
        <v>0.78729838709677424</v>
      </c>
      <c r="G2">
        <f>D2/AVERAGE(RawData!$N$2:$N$356)</f>
        <v>0.96434634974533096</v>
      </c>
      <c r="H2">
        <f>E2/AVERAGE(RawData!$O$2:$O$356)</f>
        <v>0.50896057347670243</v>
      </c>
    </row>
    <row r="3" spans="1:8" x14ac:dyDescent="0.2">
      <c r="A3">
        <v>2</v>
      </c>
      <c r="B3" t="s">
        <v>450</v>
      </c>
      <c r="C3">
        <f>AVERAGEIF(Table2[month],MonthlyPattern!A3,Table2[SKU1_Sales])</f>
        <v>1.4285714285714286</v>
      </c>
      <c r="D3">
        <f>AVERAGEIF(Table2[month],MonthlyPattern!A3,Table2[SKU2_Sales])</f>
        <v>0.32142857142857145</v>
      </c>
      <c r="E3">
        <f>AVERAGEIF(Table2[month],MonthlyPattern!A3,Table2[SKU3_Sales])</f>
        <v>0.9642857142857143</v>
      </c>
      <c r="F3">
        <f>C3/AVERAGE(RawData!$M$2:$M$356)</f>
        <v>1.5848214285714286</v>
      </c>
      <c r="G3">
        <f>D3/AVERAGE(RawData!$N$2:$N$356)</f>
        <v>0.40037593984962405</v>
      </c>
      <c r="H3">
        <f>E3/AVERAGE(RawData!$O$2:$O$356)</f>
        <v>1.0867346938775511</v>
      </c>
    </row>
    <row r="4" spans="1:8" x14ac:dyDescent="0.2">
      <c r="A4">
        <v>3</v>
      </c>
      <c r="B4" t="s">
        <v>451</v>
      </c>
      <c r="C4">
        <f>AVERAGEIF(Table2[month],MonthlyPattern!A4,Table2[SKU1_Sales])</f>
        <v>1.2903225806451613</v>
      </c>
      <c r="D4">
        <f>AVERAGEIF(Table2[month],MonthlyPattern!A4,Table2[SKU2_Sales])</f>
        <v>0.45161290322580644</v>
      </c>
      <c r="E4">
        <f>AVERAGEIF(Table2[month],MonthlyPattern!A4,Table2[SKU3_Sales])</f>
        <v>0.93548387096774188</v>
      </c>
      <c r="F4">
        <f>C4/AVERAGE(RawData!$M$2:$M$356)</f>
        <v>1.4314516129032258</v>
      </c>
      <c r="G4">
        <f>D4/AVERAGE(RawData!$N$2:$N$356)</f>
        <v>0.56253537068477644</v>
      </c>
      <c r="H4">
        <f>E4/AVERAGE(RawData!$O$2:$O$356)</f>
        <v>1.0542754736303122</v>
      </c>
    </row>
    <row r="5" spans="1:8" x14ac:dyDescent="0.2">
      <c r="A5">
        <v>4</v>
      </c>
      <c r="B5" t="s">
        <v>452</v>
      </c>
      <c r="C5">
        <f>AVERAGEIF(Table2[month],MonthlyPattern!A5,Table2[SKU1_Sales])</f>
        <v>0.76666666666666672</v>
      </c>
      <c r="D5">
        <f>AVERAGEIF(Table2[month],MonthlyPattern!A5,Table2[SKU2_Sales])</f>
        <v>0.7</v>
      </c>
      <c r="E5">
        <f>AVERAGEIF(Table2[month],MonthlyPattern!A5,Table2[SKU3_Sales])</f>
        <v>0.96666666666666667</v>
      </c>
      <c r="F5">
        <f>C5/AVERAGE(RawData!$M$2:$M$356)</f>
        <v>0.85052083333333339</v>
      </c>
      <c r="G5">
        <f>D5/AVERAGE(RawData!$N$2:$N$356)</f>
        <v>0.87192982456140344</v>
      </c>
      <c r="H5">
        <f>E5/AVERAGE(RawData!$O$2:$O$356)</f>
        <v>1.0894179894179894</v>
      </c>
    </row>
    <row r="6" spans="1:8" x14ac:dyDescent="0.2">
      <c r="A6">
        <v>5</v>
      </c>
      <c r="B6" t="s">
        <v>453</v>
      </c>
      <c r="C6">
        <f>AVERAGEIF(Table2[month],MonthlyPattern!A6,Table2[SKU1_Sales])</f>
        <v>1.6129032258064515</v>
      </c>
      <c r="D6">
        <f>AVERAGEIF(Table2[month],MonthlyPattern!A6,Table2[SKU2_Sales])</f>
        <v>0.80645161290322576</v>
      </c>
      <c r="E6">
        <f>AVERAGEIF(Table2[month],MonthlyPattern!A6,Table2[SKU3_Sales])</f>
        <v>1.2258064516129032</v>
      </c>
      <c r="F6">
        <f>C6/AVERAGE(RawData!$M$2:$M$356)</f>
        <v>1.789314516129032</v>
      </c>
      <c r="G6">
        <f>D6/AVERAGE(RawData!$N$2:$N$356)</f>
        <v>1.0045274476513864</v>
      </c>
      <c r="H6">
        <f>E6/AVERAGE(RawData!$O$2:$O$356)</f>
        <v>1.3814644137224783</v>
      </c>
    </row>
    <row r="7" spans="1:8" x14ac:dyDescent="0.2">
      <c r="A7">
        <v>6</v>
      </c>
      <c r="B7" t="s">
        <v>454</v>
      </c>
      <c r="C7">
        <f>AVERAGEIF(Table2[month],MonthlyPattern!A7,Table2[SKU1_Sales])</f>
        <v>0.93333333333333335</v>
      </c>
      <c r="D7">
        <f>AVERAGEIF(Table2[month],MonthlyPattern!A7,Table2[SKU2_Sales])</f>
        <v>1.3666666666666667</v>
      </c>
      <c r="E7">
        <f>AVERAGEIF(Table2[month],MonthlyPattern!A7,Table2[SKU3_Sales])</f>
        <v>1.0666666666666667</v>
      </c>
      <c r="F7">
        <f>C7/AVERAGE(RawData!$M$2:$M$356)</f>
        <v>1.0354166666666667</v>
      </c>
      <c r="G7">
        <f>D7/AVERAGE(RawData!$N$2:$N$356)</f>
        <v>1.7023391812865496</v>
      </c>
      <c r="H7">
        <f>E7/AVERAGE(RawData!$O$2:$O$356)</f>
        <v>1.2021164021164021</v>
      </c>
    </row>
    <row r="8" spans="1:8" x14ac:dyDescent="0.2">
      <c r="A8">
        <v>7</v>
      </c>
      <c r="B8" t="s">
        <v>455</v>
      </c>
      <c r="C8">
        <f>AVERAGEIF(Table2[month],MonthlyPattern!A8,Table2[SKU1_Sales])</f>
        <v>0.87096774193548387</v>
      </c>
      <c r="D8">
        <f>AVERAGEIF(Table2[month],MonthlyPattern!A8,Table2[SKU2_Sales])</f>
        <v>0.83870967741935487</v>
      </c>
      <c r="E8">
        <f>AVERAGEIF(Table2[month],MonthlyPattern!A8,Table2[SKU3_Sales])</f>
        <v>0.45161290322580644</v>
      </c>
      <c r="F8">
        <f>C8/AVERAGE(RawData!$M$2:$M$356)</f>
        <v>0.96622983870967738</v>
      </c>
      <c r="G8">
        <f>D8/AVERAGE(RawData!$N$2:$N$356)</f>
        <v>1.0447085455574421</v>
      </c>
      <c r="H8">
        <f>E8/AVERAGE(RawData!$O$2:$O$356)</f>
        <v>0.50896057347670243</v>
      </c>
    </row>
    <row r="9" spans="1:8" x14ac:dyDescent="0.2">
      <c r="A9">
        <v>8</v>
      </c>
      <c r="B9" t="s">
        <v>456</v>
      </c>
      <c r="C9">
        <f>AVERAGEIF(Table2[month],MonthlyPattern!A9,Table2[SKU1_Sales])</f>
        <v>6.4516129032258063E-2</v>
      </c>
      <c r="D9">
        <f>AVERAGEIF(Table2[month],MonthlyPattern!A9,Table2[SKU2_Sales])</f>
        <v>1.096774193548387</v>
      </c>
      <c r="E9">
        <f>AVERAGEIF(Table2[month],MonthlyPattern!A9,Table2[SKU3_Sales])</f>
        <v>1.096774193548387</v>
      </c>
      <c r="F9">
        <f>C9/AVERAGE(RawData!$M$2:$M$356)</f>
        <v>7.1572580645161282E-2</v>
      </c>
      <c r="G9">
        <f>D9/AVERAGE(RawData!$N$2:$N$356)</f>
        <v>1.3661573288058855</v>
      </c>
      <c r="H9">
        <f>E9/AVERAGE(RawData!$O$2:$O$356)</f>
        <v>1.2360471070148489</v>
      </c>
    </row>
    <row r="10" spans="1:8" x14ac:dyDescent="0.2">
      <c r="A10">
        <v>9</v>
      </c>
      <c r="B10" t="s">
        <v>457</v>
      </c>
      <c r="C10">
        <f>AVERAGEIF(Table2[month],MonthlyPattern!A10,Table2[SKU1_Sales])</f>
        <v>0</v>
      </c>
      <c r="D10">
        <f>AVERAGEIF(Table2[month],MonthlyPattern!A10,Table2[SKU2_Sales])</f>
        <v>0.6333333333333333</v>
      </c>
      <c r="E10">
        <f>AVERAGEIF(Table2[month],MonthlyPattern!A10,Table2[SKU3_Sales])</f>
        <v>0.73333333333333328</v>
      </c>
      <c r="F10">
        <f>C10/AVERAGE(RawData!$M$2:$M$356)</f>
        <v>0</v>
      </c>
      <c r="G10">
        <f>D10/AVERAGE(RawData!$N$2:$N$356)</f>
        <v>0.78888888888888886</v>
      </c>
      <c r="H10">
        <f>E10/AVERAGE(RawData!$O$2:$O$356)</f>
        <v>0.82645502645502633</v>
      </c>
    </row>
    <row r="11" spans="1:8" x14ac:dyDescent="0.2">
      <c r="A11">
        <v>10</v>
      </c>
      <c r="B11" t="s">
        <v>458</v>
      </c>
      <c r="C11">
        <f>AVERAGEIF(Table2[month],MonthlyPattern!A11,Table2[SKU1_Sales])</f>
        <v>0</v>
      </c>
      <c r="D11">
        <f>AVERAGEIF(Table2[month],MonthlyPattern!A11,Table2[SKU2_Sales])</f>
        <v>0.77419354838709675</v>
      </c>
      <c r="E11">
        <f>AVERAGEIF(Table2[month],MonthlyPattern!A11,Table2[SKU3_Sales])</f>
        <v>1.064516129032258</v>
      </c>
      <c r="F11">
        <f>C11/AVERAGE(RawData!$M$2:$M$356)</f>
        <v>0</v>
      </c>
      <c r="G11">
        <f>D11/AVERAGE(RawData!$N$2:$N$356)</f>
        <v>0.96434634974533096</v>
      </c>
      <c r="H11">
        <f>E11/AVERAGE(RawData!$O$2:$O$356)</f>
        <v>1.1996927803379416</v>
      </c>
    </row>
    <row r="12" spans="1:8" x14ac:dyDescent="0.2">
      <c r="A12">
        <v>11</v>
      </c>
      <c r="B12" t="s">
        <v>459</v>
      </c>
      <c r="C12">
        <f>AVERAGEIF(Table2[month],MonthlyPattern!A12,Table2[SKU1_Sales])</f>
        <v>1.4</v>
      </c>
      <c r="D12">
        <f>AVERAGEIF(Table2[month],MonthlyPattern!A12,Table2[SKU2_Sales])</f>
        <v>0.8666666666666667</v>
      </c>
      <c r="E12">
        <f>AVERAGEIF(Table2[month],MonthlyPattern!A12,Table2[SKU3_Sales])</f>
        <v>0.73333333333333328</v>
      </c>
      <c r="F12">
        <f>C12/AVERAGE(RawData!$M$2:$M$356)</f>
        <v>1.5531249999999999</v>
      </c>
      <c r="G12">
        <f>D12/AVERAGE(RawData!$N$2:$N$356)</f>
        <v>1.07953216374269</v>
      </c>
      <c r="H12">
        <f>E12/AVERAGE(RawData!$O$2:$O$356)</f>
        <v>0.82645502645502633</v>
      </c>
    </row>
    <row r="13" spans="1:8" x14ac:dyDescent="0.2">
      <c r="A13">
        <v>12</v>
      </c>
      <c r="B13" t="s">
        <v>460</v>
      </c>
      <c r="C13">
        <f>AVERAGEIF(Table2[month],MonthlyPattern!A13,Table2[SKU1_Sales])</f>
        <v>1.7419354838709677</v>
      </c>
      <c r="D13">
        <f>AVERAGEIF(Table2[month],MonthlyPattern!A13,Table2[SKU2_Sales])</f>
        <v>0.93548387096774188</v>
      </c>
      <c r="E13">
        <f>AVERAGEIF(Table2[month],MonthlyPattern!A13,Table2[SKU3_Sales])</f>
        <v>0.80645161290322576</v>
      </c>
      <c r="F13">
        <f>C13/AVERAGE(RawData!$M$2:$M$356)</f>
        <v>1.9324596774193548</v>
      </c>
      <c r="G13">
        <f>D13/AVERAGE(RawData!$N$2:$N$356)</f>
        <v>1.1652518392756082</v>
      </c>
      <c r="H13">
        <f>E13/AVERAGE(RawData!$O$2:$O$356)</f>
        <v>0.90885816692268295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D1F2-144F-5A45-8C02-ED9B94917AFF}">
  <dimension ref="A1:E48"/>
  <sheetViews>
    <sheetView topLeftCell="A14" workbookViewId="0">
      <selection activeCell="E29" sqref="E29"/>
    </sheetView>
  </sheetViews>
  <sheetFormatPr baseColWidth="10" defaultRowHeight="16" x14ac:dyDescent="0.2"/>
  <cols>
    <col min="1" max="1" width="22.33203125" customWidth="1"/>
    <col min="3" max="3" width="14" customWidth="1"/>
    <col min="4" max="4" width="11.83203125" customWidth="1"/>
    <col min="5" max="5" width="15.5" customWidth="1"/>
    <col min="6" max="6" width="17.33203125" customWidth="1"/>
    <col min="7" max="7" width="16" customWidth="1"/>
    <col min="8" max="8" width="17.1640625" customWidth="1"/>
  </cols>
  <sheetData>
    <row r="1" spans="1:5" x14ac:dyDescent="0.2">
      <c r="A1" s="1" t="s">
        <v>464</v>
      </c>
      <c r="B1" s="1" t="s">
        <v>465</v>
      </c>
      <c r="C1" s="1" t="s">
        <v>442</v>
      </c>
      <c r="D1" s="1" t="s">
        <v>443</v>
      </c>
      <c r="E1" s="1" t="s">
        <v>444</v>
      </c>
    </row>
    <row r="2" spans="1:5" x14ac:dyDescent="0.2">
      <c r="A2" t="s">
        <v>466</v>
      </c>
      <c r="B2">
        <f>COUNTIF(Table2[event_type_1],"")</f>
        <v>336</v>
      </c>
      <c r="C2">
        <f>AVERAGEIF(RawData!$I$2:$I$366,"",RawData!$M$2:$M$366)</f>
        <v>0.9196428571428571</v>
      </c>
      <c r="D2">
        <f>AVERAGEIF(RawData!$I$2:$I$366,"",RawData!$N$2:$N$366)</f>
        <v>0.82440476190476186</v>
      </c>
      <c r="E2">
        <f>AVERAGEIF(RawData!$I$2:$I$366,"",RawData!$O$2:$O$366)</f>
        <v>0.88095238095238093</v>
      </c>
    </row>
    <row r="3" spans="1:5" x14ac:dyDescent="0.2">
      <c r="A3" t="s">
        <v>467</v>
      </c>
      <c r="B3">
        <f>COUNTIF(RawData!$I$2:$I$366,"Sporting")</f>
        <v>3</v>
      </c>
      <c r="C3">
        <f>AVERAGEIF(RawData!$I$2:$I$366,"Sporting",RawData!$M$2:$M$366)</f>
        <v>1.3333333333333333</v>
      </c>
      <c r="D3">
        <f>AVERAGEIF(RawData!$I$2:$I$366,"Sporting",RawData!$N$2:$N$366)</f>
        <v>0.33333333333333331</v>
      </c>
      <c r="E3">
        <f>AVERAGEIF(RawData!$I$2:$I$366,"Sporting",RawData!$O$2:$O$366)</f>
        <v>1.6666666666666667</v>
      </c>
    </row>
    <row r="4" spans="1:5" x14ac:dyDescent="0.2">
      <c r="A4" t="s">
        <v>43</v>
      </c>
      <c r="B4">
        <f>COUNTIF(RawData!$I$2:$I$366,"Cultural")</f>
        <v>6</v>
      </c>
      <c r="C4">
        <f>AVERAGEIF(RawData!$I$2:$I$366,"Cultural",RawData!$M$2:$M$366)</f>
        <v>0.66666666666666663</v>
      </c>
      <c r="D4">
        <f>AVERAGEIF(RawData!$I$2:$I$366,"Cultural",RawData!$N$2:$N$366)</f>
        <v>0.83333333333333337</v>
      </c>
      <c r="E4">
        <f>AVERAGEIF(RawData!$I$2:$I$366,"Cultural",RawData!$O$2:$O$366)</f>
        <v>1</v>
      </c>
    </row>
    <row r="5" spans="1:5" x14ac:dyDescent="0.2">
      <c r="A5" t="s">
        <v>52</v>
      </c>
      <c r="B5">
        <f>COUNTIF(RawData!$I$2:$I$366,"National")</f>
        <v>10</v>
      </c>
      <c r="C5">
        <f>AVERAGEIF(RawData!$I$2:$I$366,"National",RawData!$M$2:$M$366)</f>
        <v>0.5</v>
      </c>
      <c r="D5">
        <f>AVERAGEIF(RawData!$I$2:$I$366,"National",RawData!$N$2:$N$366)</f>
        <v>0.2</v>
      </c>
      <c r="E5">
        <f>AVERAGEIF(RawData!$I$2:$I$366,"National",RawData!$O$2:$O$366)</f>
        <v>0.5</v>
      </c>
    </row>
    <row r="6" spans="1:5" x14ac:dyDescent="0.2">
      <c r="A6" t="s">
        <v>70</v>
      </c>
      <c r="B6">
        <f>COUNTIF(RawData!$I$2:$I$366,"Religious")</f>
        <v>10</v>
      </c>
      <c r="C6">
        <f>AVERAGEIF(RawData!$I$2:$I$356,"Religious",RawData!$M$2:$M$356)</f>
        <v>0.6</v>
      </c>
      <c r="D6">
        <f>AVERAGEIF(RawData!$I$2:$I$366,"Religious",RawData!$N$2:$N$366)</f>
        <v>0.7</v>
      </c>
      <c r="E6">
        <f>AVERAGEIF(RawData!$I$2:$I$366,"Religious",RawData!$O$2:$O$366)</f>
        <v>0.7</v>
      </c>
    </row>
    <row r="8" spans="1:5" x14ac:dyDescent="0.2">
      <c r="A8" t="s">
        <v>468</v>
      </c>
    </row>
    <row r="9" spans="1:5" x14ac:dyDescent="0.2">
      <c r="B9" s="1"/>
      <c r="C9" s="1" t="s">
        <v>469</v>
      </c>
      <c r="D9" s="1" t="s">
        <v>470</v>
      </c>
      <c r="E9" s="1" t="s">
        <v>471</v>
      </c>
    </row>
    <row r="10" spans="1:5" x14ac:dyDescent="0.2">
      <c r="B10" t="s">
        <v>33</v>
      </c>
      <c r="C10" s="2">
        <f>(C3-C2)/C2</f>
        <v>0.44983818770226536</v>
      </c>
      <c r="D10" s="2">
        <f t="shared" ref="D10:E10" si="0">(D3-D2)/D2</f>
        <v>-0.59566787003610111</v>
      </c>
      <c r="E10" s="2">
        <f t="shared" si="0"/>
        <v>0.891891891891892</v>
      </c>
    </row>
    <row r="11" spans="1:5" x14ac:dyDescent="0.2">
      <c r="B11" t="s">
        <v>43</v>
      </c>
      <c r="C11" s="2">
        <f>(C4-C2)/C2</f>
        <v>-0.27508090614886732</v>
      </c>
      <c r="D11" s="2">
        <f t="shared" ref="D11:E11" si="1">(D4-D2)/D2</f>
        <v>1.0830324909747389E-2</v>
      </c>
      <c r="E11" s="2">
        <f t="shared" si="1"/>
        <v>0.13513513513513517</v>
      </c>
    </row>
    <row r="12" spans="1:5" x14ac:dyDescent="0.2">
      <c r="B12" t="s">
        <v>52</v>
      </c>
      <c r="C12" s="2">
        <f>(C5-C2)/C2</f>
        <v>-0.45631067961165045</v>
      </c>
      <c r="D12" s="2">
        <f t="shared" ref="D12:E12" si="2">(D5-D2)/D2</f>
        <v>-0.75740072202166064</v>
      </c>
      <c r="E12" s="2">
        <f t="shared" si="2"/>
        <v>-0.4324324324324324</v>
      </c>
    </row>
    <row r="13" spans="1:5" x14ac:dyDescent="0.2">
      <c r="B13" t="s">
        <v>70</v>
      </c>
      <c r="C13" s="2">
        <f>(C6-C2)/C2</f>
        <v>-0.34757281553398056</v>
      </c>
      <c r="D13" s="2">
        <f t="shared" ref="D13:E13" si="3">(D6-D2)/D2</f>
        <v>-0.15090252707581228</v>
      </c>
      <c r="E13" s="2">
        <f t="shared" si="3"/>
        <v>-0.20540540540540544</v>
      </c>
    </row>
    <row r="17" spans="1:3" x14ac:dyDescent="0.2">
      <c r="A17" t="s">
        <v>472</v>
      </c>
    </row>
    <row r="19" spans="1:3" x14ac:dyDescent="0.2">
      <c r="A19" t="s">
        <v>473</v>
      </c>
      <c r="B19" t="s">
        <v>474</v>
      </c>
      <c r="C19" t="s">
        <v>12</v>
      </c>
    </row>
    <row r="20" spans="1:3" ht="17" x14ac:dyDescent="0.25">
      <c r="A20" t="str" cm="1">
        <f t="array" ref="A20:A48">_xlfn.UNIQUE(_xlfn._xlws.FILTER(RawData!H2:H356,RawData!H2:H356&lt;&gt;""))</f>
        <v>SuperBowl</v>
      </c>
      <c r="B20" s="5" t="str">
        <f>_xlfn.XLOOKUP(A20,RawData!$H$2:$H$366,RawData!$A$2:$A$366)</f>
        <v>d_9</v>
      </c>
      <c r="C20">
        <f>_xlfn.XLOOKUP(A20,RawData!$H$2:$H$366,RawData!$M$2:$M$366)</f>
        <v>0</v>
      </c>
    </row>
    <row r="21" spans="1:3" ht="17" x14ac:dyDescent="0.25">
      <c r="A21" t="str">
        <v>ValentinesDay</v>
      </c>
      <c r="B21" s="5" t="str">
        <f>_xlfn.XLOOKUP(A21,RawData!$H$2:$H$356,RawData!$A$2:$A$356)</f>
        <v>d_17</v>
      </c>
      <c r="C21">
        <f>_xlfn.XLOOKUP(A21,RawData!$H$2:$H$366,RawData!$M$2:$M$366)</f>
        <v>2</v>
      </c>
    </row>
    <row r="22" spans="1:3" ht="17" x14ac:dyDescent="0.25">
      <c r="A22" t="str">
        <v>PresidentsDay</v>
      </c>
      <c r="B22" s="5" t="str">
        <f>_xlfn.XLOOKUP(A22,RawData!$H$2:$H$356,RawData!$A$2:$A$356)</f>
        <v>d_24</v>
      </c>
      <c r="C22">
        <f>_xlfn.XLOOKUP(A22,RawData!$H$2:$H$366,RawData!$M$2:$M$366)</f>
        <v>0</v>
      </c>
    </row>
    <row r="23" spans="1:3" ht="17" x14ac:dyDescent="0.25">
      <c r="A23" t="str">
        <v>LentStart</v>
      </c>
      <c r="B23" s="5" t="str">
        <f>_xlfn.XLOOKUP(A23,RawData!$H$2:$H$356,RawData!$A$2:$A$356)</f>
        <v>d_40</v>
      </c>
      <c r="C23">
        <f>_xlfn.XLOOKUP(A23,RawData!$H$2:$H$366,RawData!$M$2:$M$366)</f>
        <v>2</v>
      </c>
    </row>
    <row r="24" spans="1:3" ht="17" x14ac:dyDescent="0.25">
      <c r="A24" t="str">
        <v>LentWeek2</v>
      </c>
      <c r="B24" s="5" t="str">
        <f>_xlfn.XLOOKUP(A24,RawData!$H$2:$H$356,RawData!$A$2:$A$356)</f>
        <v>d_47</v>
      </c>
      <c r="C24">
        <f>_xlfn.XLOOKUP(A24,RawData!$H$2:$H$366,RawData!$M$2:$M$366)</f>
        <v>1</v>
      </c>
    </row>
    <row r="25" spans="1:3" ht="17" x14ac:dyDescent="0.25">
      <c r="A25" t="str">
        <v>StPatricksDay</v>
      </c>
      <c r="B25" s="5" t="str">
        <f>_xlfn.XLOOKUP(A25,RawData!$H$2:$H$356,RawData!$A$2:$A$356)</f>
        <v>d_48</v>
      </c>
      <c r="C25">
        <f>_xlfn.XLOOKUP(A25,RawData!$H$2:$H$366,RawData!$M$2:$M$366)</f>
        <v>0</v>
      </c>
    </row>
    <row r="26" spans="1:3" ht="17" x14ac:dyDescent="0.25">
      <c r="A26" t="str">
        <v>Purim End</v>
      </c>
      <c r="B26" s="5" t="str">
        <f>_xlfn.XLOOKUP(A26,RawData!$H$2:$H$356,RawData!$A$2:$A$356)</f>
        <v>d_51</v>
      </c>
      <c r="C26">
        <f>_xlfn.XLOOKUP(A26,RawData!$H$2:$H$366,RawData!$M$2:$M$366)</f>
        <v>1</v>
      </c>
    </row>
    <row r="27" spans="1:3" ht="17" x14ac:dyDescent="0.25">
      <c r="A27" t="str">
        <v>OrthodoxEaster</v>
      </c>
      <c r="B27" s="5" t="str">
        <f>_xlfn.XLOOKUP(A27,RawData!$H$2:$H$356,RawData!$A$2:$A$356)</f>
        <v>d_86</v>
      </c>
      <c r="C27">
        <f>_xlfn.XLOOKUP(A27,RawData!$H$2:$H$366,RawData!$M$2:$M$366)</f>
        <v>0</v>
      </c>
    </row>
    <row r="28" spans="1:3" ht="17" x14ac:dyDescent="0.25">
      <c r="A28" t="str">
        <v>Pesach End</v>
      </c>
      <c r="B28" s="5" t="str">
        <f>_xlfn.XLOOKUP(A28,RawData!$H$2:$H$356,RawData!$A$2:$A$356)</f>
        <v>d_88</v>
      </c>
      <c r="C28">
        <f>_xlfn.XLOOKUP(A28,RawData!$H$2:$H$366,RawData!$M$2:$M$366)</f>
        <v>0</v>
      </c>
    </row>
    <row r="29" spans="1:3" ht="17" x14ac:dyDescent="0.25">
      <c r="A29" t="str">
        <v>Cinco De Mayo</v>
      </c>
      <c r="B29" s="5" t="str">
        <f>_xlfn.XLOOKUP(A29,RawData!$H$2:$H$356,RawData!$A$2:$A$356)</f>
        <v>d_97</v>
      </c>
      <c r="C29">
        <f>_xlfn.XLOOKUP(A29,RawData!$H$2:$H$366,RawData!$M$2:$M$366)</f>
        <v>0</v>
      </c>
    </row>
    <row r="30" spans="1:3" ht="17" x14ac:dyDescent="0.25">
      <c r="A30" t="str">
        <v>Mother's day</v>
      </c>
      <c r="B30" s="5" t="str">
        <f>_xlfn.XLOOKUP(A30,RawData!$H$2:$H$356,RawData!$A$2:$A$356)</f>
        <v>d_100</v>
      </c>
      <c r="C30">
        <f>_xlfn.XLOOKUP(A30,RawData!$H$2:$H$366,RawData!$M$2:$M$366)</f>
        <v>0</v>
      </c>
    </row>
    <row r="31" spans="1:3" ht="17" x14ac:dyDescent="0.25">
      <c r="A31" t="str">
        <v>MemorialDay</v>
      </c>
      <c r="B31" s="5" t="str">
        <f>_xlfn.XLOOKUP(A31,RawData!$H$2:$H$356,RawData!$A$2:$A$356)</f>
        <v>d_122</v>
      </c>
      <c r="C31">
        <f>_xlfn.XLOOKUP(A31,RawData!$H$2:$H$366,RawData!$M$2:$M$366)</f>
        <v>0</v>
      </c>
    </row>
    <row r="32" spans="1:3" ht="17" x14ac:dyDescent="0.25">
      <c r="A32" t="str">
        <v>NBAFinalsStart</v>
      </c>
      <c r="B32" s="5" t="str">
        <f>_xlfn.XLOOKUP(A32,RawData!$H$2:$H$356,RawData!$A$2:$A$356)</f>
        <v>d_123</v>
      </c>
      <c r="C32">
        <f>_xlfn.XLOOKUP(A32,RawData!$H$2:$H$366,RawData!$M$2:$M$366)</f>
        <v>1</v>
      </c>
    </row>
    <row r="33" spans="1:3" ht="17" x14ac:dyDescent="0.25">
      <c r="A33" t="str">
        <v>NBAFinalsEnd</v>
      </c>
      <c r="B33" s="5" t="str">
        <f>_xlfn.XLOOKUP(A33,RawData!$H$2:$H$356,RawData!$A$2:$A$356)</f>
        <v>d_135</v>
      </c>
      <c r="C33">
        <f>_xlfn.XLOOKUP(A33,RawData!$H$2:$H$366,RawData!$M$2:$M$366)</f>
        <v>3</v>
      </c>
    </row>
    <row r="34" spans="1:3" ht="17" x14ac:dyDescent="0.25">
      <c r="A34" t="str">
        <v>Father's day</v>
      </c>
      <c r="B34" s="5" t="str">
        <f>_xlfn.XLOOKUP(A34,RawData!$H$2:$H$356,RawData!$A$2:$A$356)</f>
        <v>d_142</v>
      </c>
      <c r="C34">
        <f>_xlfn.XLOOKUP(A34,RawData!$H$2:$H$366,RawData!$M$2:$M$366)</f>
        <v>2</v>
      </c>
    </row>
    <row r="35" spans="1:3" ht="17" x14ac:dyDescent="0.25">
      <c r="A35" t="str">
        <v>IndependenceDay</v>
      </c>
      <c r="B35" s="5" t="str">
        <f>_xlfn.XLOOKUP(A35,RawData!$H$2:$H$356,RawData!$A$2:$A$356)</f>
        <v>d_157</v>
      </c>
      <c r="C35">
        <f>_xlfn.XLOOKUP(A35,RawData!$H$2:$H$366,RawData!$M$2:$M$366)</f>
        <v>1</v>
      </c>
    </row>
    <row r="36" spans="1:3" ht="17" x14ac:dyDescent="0.25">
      <c r="A36" t="str">
        <v>Ramadan starts</v>
      </c>
      <c r="B36" s="5" t="str">
        <f>_xlfn.XLOOKUP(A36,RawData!$H$2:$H$356,RawData!$A$2:$A$356)</f>
        <v>d_185</v>
      </c>
      <c r="C36">
        <f>_xlfn.XLOOKUP(A36,RawData!$H$2:$H$366,RawData!$M$2:$M$366)</f>
        <v>0</v>
      </c>
    </row>
    <row r="37" spans="1:3" ht="17" x14ac:dyDescent="0.25">
      <c r="A37" t="str">
        <v>Eid al-Fitr</v>
      </c>
      <c r="B37" s="5" t="str">
        <f>_xlfn.XLOOKUP(A37,RawData!$H$2:$H$356,RawData!$A$2:$A$356)</f>
        <v>d_215</v>
      </c>
      <c r="C37">
        <f>_xlfn.XLOOKUP(A37,RawData!$H$2:$H$366,RawData!$M$2:$M$366)</f>
        <v>0</v>
      </c>
    </row>
    <row r="38" spans="1:3" ht="17" x14ac:dyDescent="0.25">
      <c r="A38" t="str">
        <v>LaborDay</v>
      </c>
      <c r="B38" s="5" t="str">
        <f>_xlfn.XLOOKUP(A38,RawData!$H$2:$H$356,RawData!$A$2:$A$356)</f>
        <v>d_220</v>
      </c>
      <c r="C38">
        <f>_xlfn.XLOOKUP(A38,RawData!$H$2:$H$366,RawData!$M$2:$M$366)</f>
        <v>0</v>
      </c>
    </row>
    <row r="39" spans="1:3" ht="17" x14ac:dyDescent="0.25">
      <c r="A39" t="str">
        <v>ColumbusDay</v>
      </c>
      <c r="B39" s="5" t="str">
        <f>_xlfn.XLOOKUP(A39,RawData!$H$2:$H$356,RawData!$A$2:$A$356)</f>
        <v>d_255</v>
      </c>
      <c r="C39">
        <f>_xlfn.XLOOKUP(A39,RawData!$H$2:$H$366,RawData!$M$2:$M$366)</f>
        <v>0</v>
      </c>
    </row>
    <row r="40" spans="1:3" ht="17" x14ac:dyDescent="0.25">
      <c r="A40" t="str">
        <v>Halloween</v>
      </c>
      <c r="B40" s="5" t="str">
        <f>_xlfn.XLOOKUP(A40,RawData!$H$2:$H$356,RawData!$A$2:$A$356)</f>
        <v>d_276</v>
      </c>
      <c r="C40">
        <f>_xlfn.XLOOKUP(A40,RawData!$H$2:$H$366,RawData!$M$2:$M$366)</f>
        <v>0</v>
      </c>
    </row>
    <row r="41" spans="1:3" ht="17" x14ac:dyDescent="0.25">
      <c r="A41" t="str">
        <v>EidAlAdha</v>
      </c>
      <c r="B41" s="5" t="str">
        <f>_xlfn.XLOOKUP(A41,RawData!$H$2:$H$356,RawData!$A$2:$A$356)</f>
        <v>d_283</v>
      </c>
      <c r="C41">
        <f>_xlfn.XLOOKUP(A41,RawData!$H$2:$H$366,RawData!$M$2:$M$366)</f>
        <v>0</v>
      </c>
    </row>
    <row r="42" spans="1:3" ht="17" x14ac:dyDescent="0.25">
      <c r="A42" t="str">
        <v>VeteransDay</v>
      </c>
      <c r="B42" s="5" t="str">
        <f>_xlfn.XLOOKUP(A42,RawData!$H$2:$H$356,RawData!$A$2:$A$356)</f>
        <v>d_287</v>
      </c>
      <c r="C42">
        <f>_xlfn.XLOOKUP(A42,RawData!$H$2:$H$366,RawData!$M$2:$M$366)</f>
        <v>1</v>
      </c>
    </row>
    <row r="43" spans="1:3" ht="17" x14ac:dyDescent="0.25">
      <c r="A43" t="str">
        <v>Thanksgiving</v>
      </c>
      <c r="B43" s="5" t="str">
        <f>_xlfn.XLOOKUP(A43,RawData!$H$2:$H$356,RawData!$A$2:$A$356)</f>
        <v>d_300</v>
      </c>
      <c r="C43">
        <f>_xlfn.XLOOKUP(A43,RawData!$H$2:$H$366,RawData!$M$2:$M$366)</f>
        <v>0</v>
      </c>
    </row>
    <row r="44" spans="1:3" ht="17" x14ac:dyDescent="0.25">
      <c r="A44" t="str">
        <v>Christmas</v>
      </c>
      <c r="B44" s="5" t="str">
        <f>_xlfn.XLOOKUP(A44,RawData!$H$2:$H$356,RawData!$A$2:$A$356)</f>
        <v>d_331</v>
      </c>
      <c r="C44">
        <f>_xlfn.XLOOKUP(A44,RawData!$H$2:$H$366,RawData!$M$2:$M$366)</f>
        <v>0</v>
      </c>
    </row>
    <row r="45" spans="1:3" ht="17" x14ac:dyDescent="0.25">
      <c r="A45" t="str">
        <v>Chanukah End</v>
      </c>
      <c r="B45" s="5" t="str">
        <f>_xlfn.XLOOKUP(A45,RawData!$H$2:$H$356,RawData!$A$2:$A$356)</f>
        <v>d_334</v>
      </c>
      <c r="C45">
        <f>_xlfn.XLOOKUP(A45,RawData!$H$2:$H$366,RawData!$M$2:$M$366)</f>
        <v>1</v>
      </c>
    </row>
    <row r="46" spans="1:3" ht="17" x14ac:dyDescent="0.25">
      <c r="A46" t="str">
        <v>NewYear</v>
      </c>
      <c r="B46" s="5" t="str">
        <f>_xlfn.XLOOKUP(A46,RawData!$H$2:$H$356,RawData!$A$2:$A$356)</f>
        <v>d_338</v>
      </c>
      <c r="C46">
        <f>_xlfn.XLOOKUP(A46,RawData!$H$2:$H$366,RawData!$M$2:$M$366)</f>
        <v>2</v>
      </c>
    </row>
    <row r="47" spans="1:3" ht="17" x14ac:dyDescent="0.25">
      <c r="A47" t="str">
        <v>OrthodoxChristmas</v>
      </c>
      <c r="B47" s="5" t="str">
        <f>_xlfn.XLOOKUP(A47,RawData!$H$2:$H$356,RawData!$A$2:$A$356)</f>
        <v>d_344</v>
      </c>
      <c r="C47">
        <f>_xlfn.XLOOKUP(A47,RawData!$H$2:$H$366,RawData!$M$2:$M$366)</f>
        <v>1</v>
      </c>
    </row>
    <row r="48" spans="1:3" ht="17" x14ac:dyDescent="0.25">
      <c r="A48" t="str">
        <v>MartinLutherKingDay</v>
      </c>
      <c r="B48" s="5" t="str">
        <f>_xlfn.XLOOKUP(A48,RawData!$H$2:$H$356,RawData!$A$2:$A$356)</f>
        <v>d_353</v>
      </c>
      <c r="C48">
        <f>_xlfn.XLOOKUP(A48,RawData!$H$2:$H$366,RawData!$M$2:$M$366)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BBA1-4E25-154A-A4E2-77729732FCCD}">
  <dimension ref="A1:D4"/>
  <sheetViews>
    <sheetView workbookViewId="0">
      <selection activeCell="C12" sqref="C12"/>
    </sheetView>
  </sheetViews>
  <sheetFormatPr baseColWidth="10" defaultRowHeight="16" x14ac:dyDescent="0.2"/>
  <cols>
    <col min="1" max="1" width="25.6640625" customWidth="1"/>
  </cols>
  <sheetData>
    <row r="1" spans="1:4" x14ac:dyDescent="0.2">
      <c r="A1" t="s">
        <v>475</v>
      </c>
      <c r="B1" t="s">
        <v>442</v>
      </c>
      <c r="C1" t="s">
        <v>443</v>
      </c>
      <c r="D1" t="s">
        <v>444</v>
      </c>
    </row>
    <row r="2" spans="1:4" x14ac:dyDescent="0.2">
      <c r="A2" t="s">
        <v>476</v>
      </c>
      <c r="B2">
        <f>AVERAGEIF(RawData!$L$2:$L$366,1,RawData!$M$2:$M$366)</f>
        <v>0.95</v>
      </c>
      <c r="C2">
        <f>AVERAGEIF(RawData!$L$2:$L$366,1,RawData!$N$2:$N$366)</f>
        <v>0.875</v>
      </c>
      <c r="D2">
        <f ca="1">AVERAGEIF(RawData!$L$2:$L$366,1,RawData!$O$2:$O$356)</f>
        <v>0.82499999999999996</v>
      </c>
    </row>
    <row r="3" spans="1:4" x14ac:dyDescent="0.2">
      <c r="A3" t="s">
        <v>477</v>
      </c>
      <c r="B3">
        <f>AVERAGEIF(RawData!$L$2:$L$366,0,RawData!$M$2:$M$366)</f>
        <v>0.87346938775510208</v>
      </c>
      <c r="C3">
        <f>AVERAGEIF(RawData!$L$2:$L$366,0,RawData!$N$2:$N$366)</f>
        <v>0.76326530612244903</v>
      </c>
      <c r="D3">
        <f>AVERAGEIF(RawData!$L$2:$L$366,0,RawData!$O$2:$O$366)</f>
        <v>0.89795918367346939</v>
      </c>
    </row>
    <row r="4" spans="1:4" x14ac:dyDescent="0.2">
      <c r="A4" t="s">
        <v>478</v>
      </c>
      <c r="B4" s="2">
        <f>(B2-B3)/B3</f>
        <v>8.7616822429906441E-2</v>
      </c>
      <c r="C4" s="2">
        <f>(C2-C3)/C3</f>
        <v>0.14639037433155072</v>
      </c>
      <c r="D4" s="2">
        <f ca="1">(D2-D3)/D3</f>
        <v>-8.1250000000000044E-2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5F63-0AAB-FF4D-B7AE-8B7856556DA3}">
  <dimension ref="A1:F366"/>
  <sheetViews>
    <sheetView workbookViewId="0">
      <selection activeCell="G15" sqref="G15"/>
    </sheetView>
  </sheetViews>
  <sheetFormatPr baseColWidth="10" defaultRowHeight="16" x14ac:dyDescent="0.2"/>
  <cols>
    <col min="1" max="1" width="18.83203125" customWidth="1"/>
    <col min="5" max="5" width="17" customWidth="1"/>
    <col min="6" max="6" width="15.6640625" customWidth="1"/>
  </cols>
  <sheetData>
    <row r="1" spans="1:6" x14ac:dyDescent="0.2">
      <c r="A1" t="s">
        <v>1</v>
      </c>
      <c r="B1" t="s">
        <v>12</v>
      </c>
      <c r="C1" t="s">
        <v>13</v>
      </c>
      <c r="D1" t="s">
        <v>14</v>
      </c>
      <c r="E1" t="s">
        <v>479</v>
      </c>
      <c r="F1" t="s">
        <v>480</v>
      </c>
    </row>
    <row r="2" spans="1:6" x14ac:dyDescent="0.2">
      <c r="A2" s="3" cm="1">
        <f t="array" ref="A2:A366">Table2[date]</f>
        <v>40572</v>
      </c>
      <c r="B2" cm="1">
        <f t="array" ref="B2:B366">Table2[SKU1_Sales]</f>
        <v>3</v>
      </c>
      <c r="C2" cm="1">
        <f t="array" ref="C2:C366">Table2[SKU2_Sales]</f>
        <v>0</v>
      </c>
      <c r="D2" cm="1">
        <f t="array" ref="D2:D366">Table2[SKU3_Sales]</f>
        <v>0</v>
      </c>
    </row>
    <row r="3" spans="1:6" x14ac:dyDescent="0.2">
      <c r="A3" s="3">
        <v>40573</v>
      </c>
      <c r="B3">
        <v>0</v>
      </c>
      <c r="C3">
        <v>1</v>
      </c>
      <c r="D3">
        <v>0</v>
      </c>
    </row>
    <row r="4" spans="1:6" x14ac:dyDescent="0.2">
      <c r="A4" s="3">
        <v>40574</v>
      </c>
      <c r="B4">
        <v>0</v>
      </c>
      <c r="C4">
        <v>0</v>
      </c>
      <c r="D4">
        <v>0</v>
      </c>
    </row>
    <row r="5" spans="1:6" x14ac:dyDescent="0.2">
      <c r="A5" s="3">
        <v>40575</v>
      </c>
      <c r="B5">
        <v>1</v>
      </c>
      <c r="C5">
        <v>1</v>
      </c>
      <c r="D5">
        <v>0</v>
      </c>
    </row>
    <row r="6" spans="1:6" x14ac:dyDescent="0.2">
      <c r="A6" s="3">
        <v>40576</v>
      </c>
      <c r="B6">
        <v>4</v>
      </c>
      <c r="C6">
        <v>1</v>
      </c>
      <c r="D6">
        <v>1</v>
      </c>
    </row>
    <row r="7" spans="1:6" x14ac:dyDescent="0.2">
      <c r="A7" s="3">
        <v>40577</v>
      </c>
      <c r="B7">
        <v>2</v>
      </c>
      <c r="C7">
        <v>1</v>
      </c>
      <c r="D7">
        <v>3</v>
      </c>
    </row>
    <row r="8" spans="1:6" x14ac:dyDescent="0.2">
      <c r="A8" s="3">
        <v>40578</v>
      </c>
      <c r="B8">
        <v>0</v>
      </c>
      <c r="C8">
        <v>0</v>
      </c>
      <c r="D8">
        <v>1</v>
      </c>
    </row>
    <row r="9" spans="1:6" x14ac:dyDescent="0.2">
      <c r="A9" s="3">
        <v>40579</v>
      </c>
      <c r="B9">
        <v>2</v>
      </c>
      <c r="C9">
        <v>0</v>
      </c>
      <c r="D9">
        <v>1</v>
      </c>
    </row>
    <row r="10" spans="1:6" x14ac:dyDescent="0.2">
      <c r="A10" s="3">
        <v>40580</v>
      </c>
      <c r="B10">
        <v>0</v>
      </c>
      <c r="C10">
        <v>0</v>
      </c>
      <c r="D10">
        <v>1</v>
      </c>
    </row>
    <row r="11" spans="1:6" x14ac:dyDescent="0.2">
      <c r="A11" s="3">
        <v>40581</v>
      </c>
      <c r="B11">
        <v>0</v>
      </c>
      <c r="C11">
        <v>0</v>
      </c>
      <c r="D11">
        <v>0</v>
      </c>
    </row>
    <row r="12" spans="1:6" x14ac:dyDescent="0.2">
      <c r="A12" s="3">
        <v>40582</v>
      </c>
      <c r="B12">
        <v>0</v>
      </c>
      <c r="C12">
        <v>1</v>
      </c>
      <c r="D12">
        <v>1</v>
      </c>
    </row>
    <row r="13" spans="1:6" x14ac:dyDescent="0.2">
      <c r="A13" s="3">
        <v>40583</v>
      </c>
      <c r="B13">
        <v>0</v>
      </c>
      <c r="C13">
        <v>1</v>
      </c>
      <c r="D13">
        <v>0</v>
      </c>
    </row>
    <row r="14" spans="1:6" x14ac:dyDescent="0.2">
      <c r="A14" s="3">
        <v>40584</v>
      </c>
      <c r="B14">
        <v>3</v>
      </c>
      <c r="C14">
        <v>0</v>
      </c>
      <c r="D14">
        <v>0</v>
      </c>
    </row>
    <row r="15" spans="1:6" x14ac:dyDescent="0.2">
      <c r="A15" s="3">
        <v>40585</v>
      </c>
      <c r="B15">
        <v>1</v>
      </c>
      <c r="C15">
        <v>2</v>
      </c>
      <c r="D15">
        <v>2</v>
      </c>
    </row>
    <row r="16" spans="1:6" x14ac:dyDescent="0.2">
      <c r="A16" s="3">
        <v>40586</v>
      </c>
      <c r="B16">
        <v>3</v>
      </c>
      <c r="C16">
        <v>0</v>
      </c>
      <c r="D16">
        <v>1</v>
      </c>
    </row>
    <row r="17" spans="1:6" x14ac:dyDescent="0.2">
      <c r="A17" s="3">
        <v>40587</v>
      </c>
      <c r="B17">
        <v>0</v>
      </c>
      <c r="C17">
        <v>1</v>
      </c>
      <c r="D17">
        <v>1</v>
      </c>
    </row>
    <row r="18" spans="1:6" x14ac:dyDescent="0.2">
      <c r="A18" s="3">
        <v>40588</v>
      </c>
      <c r="B18">
        <v>2</v>
      </c>
      <c r="C18">
        <v>0</v>
      </c>
      <c r="D18">
        <v>1</v>
      </c>
    </row>
    <row r="19" spans="1:6" x14ac:dyDescent="0.2">
      <c r="A19" s="3">
        <v>40589</v>
      </c>
      <c r="B19">
        <v>1</v>
      </c>
      <c r="C19">
        <v>0</v>
      </c>
      <c r="D19">
        <v>0</v>
      </c>
    </row>
    <row r="20" spans="1:6" x14ac:dyDescent="0.2">
      <c r="A20" s="3">
        <v>40590</v>
      </c>
      <c r="B20">
        <v>2</v>
      </c>
      <c r="C20">
        <v>0</v>
      </c>
      <c r="D20">
        <v>0</v>
      </c>
    </row>
    <row r="21" spans="1:6" x14ac:dyDescent="0.2">
      <c r="A21" s="3">
        <v>40591</v>
      </c>
      <c r="B21">
        <v>0</v>
      </c>
      <c r="C21">
        <v>0</v>
      </c>
      <c r="D21">
        <v>1</v>
      </c>
    </row>
    <row r="22" spans="1:6" x14ac:dyDescent="0.2">
      <c r="A22" s="3">
        <v>40592</v>
      </c>
      <c r="B22">
        <v>2</v>
      </c>
      <c r="C22">
        <v>0</v>
      </c>
      <c r="D22">
        <v>0</v>
      </c>
    </row>
    <row r="23" spans="1:6" x14ac:dyDescent="0.2">
      <c r="A23" s="3">
        <v>40593</v>
      </c>
      <c r="B23">
        <v>1</v>
      </c>
      <c r="C23">
        <v>0</v>
      </c>
      <c r="D23">
        <v>2</v>
      </c>
    </row>
    <row r="24" spans="1:6" x14ac:dyDescent="0.2">
      <c r="A24" s="3">
        <v>40594</v>
      </c>
      <c r="B24">
        <v>2</v>
      </c>
      <c r="C24">
        <v>0</v>
      </c>
      <c r="D24">
        <v>4</v>
      </c>
    </row>
    <row r="25" spans="1:6" x14ac:dyDescent="0.2">
      <c r="A25" s="3">
        <v>40595</v>
      </c>
      <c r="B25">
        <v>0</v>
      </c>
      <c r="C25">
        <v>0</v>
      </c>
      <c r="D25">
        <v>1</v>
      </c>
    </row>
    <row r="26" spans="1:6" x14ac:dyDescent="0.2">
      <c r="A26" s="3">
        <v>40596</v>
      </c>
      <c r="B26">
        <v>2</v>
      </c>
      <c r="C26">
        <v>0</v>
      </c>
      <c r="D26">
        <v>1</v>
      </c>
    </row>
    <row r="27" spans="1:6" x14ac:dyDescent="0.2">
      <c r="A27" s="3">
        <v>40597</v>
      </c>
      <c r="B27">
        <v>2</v>
      </c>
      <c r="C27">
        <v>0</v>
      </c>
      <c r="D27">
        <v>2</v>
      </c>
    </row>
    <row r="28" spans="1:6" x14ac:dyDescent="0.2">
      <c r="A28" s="3">
        <v>40598</v>
      </c>
      <c r="B28">
        <v>2</v>
      </c>
      <c r="C28">
        <v>0</v>
      </c>
      <c r="D28">
        <v>1</v>
      </c>
    </row>
    <row r="29" spans="1:6" x14ac:dyDescent="0.2">
      <c r="A29" s="3">
        <v>40599</v>
      </c>
      <c r="B29">
        <v>4</v>
      </c>
      <c r="C29">
        <v>0</v>
      </c>
      <c r="D29">
        <v>0</v>
      </c>
      <c r="E29">
        <f>AVERAGE(B2:B29)</f>
        <v>1.3928571428571428</v>
      </c>
      <c r="F29">
        <f>SUM(B2:B29)</f>
        <v>39</v>
      </c>
    </row>
    <row r="30" spans="1:6" x14ac:dyDescent="0.2">
      <c r="A30" s="3">
        <v>40600</v>
      </c>
      <c r="B30">
        <v>2</v>
      </c>
      <c r="C30">
        <v>1</v>
      </c>
      <c r="D30">
        <v>1</v>
      </c>
      <c r="E30">
        <f t="shared" ref="E30:E93" si="0">AVERAGE(B3:B30)</f>
        <v>1.3571428571428572</v>
      </c>
      <c r="F30">
        <f t="shared" ref="F30:F93" si="1">SUM(B3:B30)</f>
        <v>38</v>
      </c>
    </row>
    <row r="31" spans="1:6" x14ac:dyDescent="0.2">
      <c r="A31" s="3">
        <v>40601</v>
      </c>
      <c r="B31">
        <v>2</v>
      </c>
      <c r="C31">
        <v>0</v>
      </c>
      <c r="D31">
        <v>0</v>
      </c>
      <c r="E31">
        <f t="shared" si="0"/>
        <v>1.4285714285714286</v>
      </c>
      <c r="F31">
        <f t="shared" si="1"/>
        <v>40</v>
      </c>
    </row>
    <row r="32" spans="1:6" x14ac:dyDescent="0.2">
      <c r="A32" s="3">
        <v>40602</v>
      </c>
      <c r="B32">
        <v>0</v>
      </c>
      <c r="C32">
        <v>0</v>
      </c>
      <c r="D32">
        <v>1</v>
      </c>
      <c r="E32">
        <f t="shared" si="0"/>
        <v>1.4285714285714286</v>
      </c>
      <c r="F32">
        <f t="shared" si="1"/>
        <v>40</v>
      </c>
    </row>
    <row r="33" spans="1:6" x14ac:dyDescent="0.2">
      <c r="A33" s="3">
        <v>40603</v>
      </c>
      <c r="B33">
        <v>2</v>
      </c>
      <c r="C33">
        <v>1</v>
      </c>
      <c r="D33">
        <v>0</v>
      </c>
      <c r="E33">
        <f t="shared" si="0"/>
        <v>1.4642857142857142</v>
      </c>
      <c r="F33">
        <f t="shared" si="1"/>
        <v>41</v>
      </c>
    </row>
    <row r="34" spans="1:6" x14ac:dyDescent="0.2">
      <c r="A34" s="3">
        <v>40604</v>
      </c>
      <c r="B34">
        <v>1</v>
      </c>
      <c r="C34">
        <v>1</v>
      </c>
      <c r="D34">
        <v>1</v>
      </c>
      <c r="E34">
        <f t="shared" si="0"/>
        <v>1.3571428571428572</v>
      </c>
      <c r="F34">
        <f t="shared" si="1"/>
        <v>38</v>
      </c>
    </row>
    <row r="35" spans="1:6" x14ac:dyDescent="0.2">
      <c r="A35" s="3">
        <v>40605</v>
      </c>
      <c r="B35">
        <v>7</v>
      </c>
      <c r="C35">
        <v>0</v>
      </c>
      <c r="D35">
        <v>1</v>
      </c>
      <c r="E35">
        <f t="shared" si="0"/>
        <v>1.5357142857142858</v>
      </c>
      <c r="F35">
        <f t="shared" si="1"/>
        <v>43</v>
      </c>
    </row>
    <row r="36" spans="1:6" x14ac:dyDescent="0.2">
      <c r="A36" s="3">
        <v>40606</v>
      </c>
      <c r="B36">
        <v>1</v>
      </c>
      <c r="C36">
        <v>1</v>
      </c>
      <c r="D36">
        <v>2</v>
      </c>
      <c r="E36">
        <f t="shared" si="0"/>
        <v>1.5714285714285714</v>
      </c>
      <c r="F36">
        <f t="shared" si="1"/>
        <v>44</v>
      </c>
    </row>
    <row r="37" spans="1:6" x14ac:dyDescent="0.2">
      <c r="A37" s="3">
        <v>40607</v>
      </c>
      <c r="B37">
        <v>2</v>
      </c>
      <c r="C37">
        <v>1</v>
      </c>
      <c r="D37">
        <v>3</v>
      </c>
      <c r="E37">
        <f t="shared" si="0"/>
        <v>1.5714285714285714</v>
      </c>
      <c r="F37">
        <f t="shared" si="1"/>
        <v>44</v>
      </c>
    </row>
    <row r="38" spans="1:6" x14ac:dyDescent="0.2">
      <c r="A38" s="3">
        <v>40608</v>
      </c>
      <c r="B38">
        <v>3</v>
      </c>
      <c r="C38">
        <v>3</v>
      </c>
      <c r="D38">
        <v>1</v>
      </c>
      <c r="E38">
        <f t="shared" si="0"/>
        <v>1.6785714285714286</v>
      </c>
      <c r="F38">
        <f t="shared" si="1"/>
        <v>47</v>
      </c>
    </row>
    <row r="39" spans="1:6" x14ac:dyDescent="0.2">
      <c r="A39" s="3">
        <v>40609</v>
      </c>
      <c r="B39">
        <v>0</v>
      </c>
      <c r="C39">
        <v>0</v>
      </c>
      <c r="D39">
        <v>0</v>
      </c>
      <c r="E39">
        <f t="shared" si="0"/>
        <v>1.6785714285714286</v>
      </c>
      <c r="F39">
        <f t="shared" si="1"/>
        <v>47</v>
      </c>
    </row>
    <row r="40" spans="1:6" x14ac:dyDescent="0.2">
      <c r="A40" s="3">
        <v>40610</v>
      </c>
      <c r="B40">
        <v>1</v>
      </c>
      <c r="C40">
        <v>0</v>
      </c>
      <c r="D40">
        <v>0</v>
      </c>
      <c r="E40">
        <f t="shared" si="0"/>
        <v>1.7142857142857142</v>
      </c>
      <c r="F40">
        <f t="shared" si="1"/>
        <v>48</v>
      </c>
    </row>
    <row r="41" spans="1:6" x14ac:dyDescent="0.2">
      <c r="A41" s="3">
        <v>40611</v>
      </c>
      <c r="B41">
        <v>2</v>
      </c>
      <c r="C41">
        <v>0</v>
      </c>
      <c r="D41">
        <v>0</v>
      </c>
      <c r="E41">
        <f t="shared" si="0"/>
        <v>1.7857142857142858</v>
      </c>
      <c r="F41">
        <f t="shared" si="1"/>
        <v>50</v>
      </c>
    </row>
    <row r="42" spans="1:6" x14ac:dyDescent="0.2">
      <c r="A42" s="3">
        <v>40612</v>
      </c>
      <c r="B42">
        <v>3</v>
      </c>
      <c r="C42">
        <v>0</v>
      </c>
      <c r="D42">
        <v>2</v>
      </c>
      <c r="E42">
        <f t="shared" si="0"/>
        <v>1.7857142857142858</v>
      </c>
      <c r="F42">
        <f t="shared" si="1"/>
        <v>50</v>
      </c>
    </row>
    <row r="43" spans="1:6" x14ac:dyDescent="0.2">
      <c r="A43" s="3">
        <v>40613</v>
      </c>
      <c r="B43">
        <v>0</v>
      </c>
      <c r="C43">
        <v>0</v>
      </c>
      <c r="D43">
        <v>0</v>
      </c>
      <c r="E43">
        <f t="shared" si="0"/>
        <v>1.75</v>
      </c>
      <c r="F43">
        <f t="shared" si="1"/>
        <v>49</v>
      </c>
    </row>
    <row r="44" spans="1:6" x14ac:dyDescent="0.2">
      <c r="A44" s="3">
        <v>40614</v>
      </c>
      <c r="B44">
        <v>1</v>
      </c>
      <c r="C44">
        <v>0</v>
      </c>
      <c r="D44">
        <v>0</v>
      </c>
      <c r="E44">
        <f t="shared" si="0"/>
        <v>1.6785714285714286</v>
      </c>
      <c r="F44">
        <f t="shared" si="1"/>
        <v>47</v>
      </c>
    </row>
    <row r="45" spans="1:6" x14ac:dyDescent="0.2">
      <c r="A45" s="3">
        <v>40615</v>
      </c>
      <c r="B45">
        <v>5</v>
      </c>
      <c r="C45">
        <v>0</v>
      </c>
      <c r="D45">
        <v>0</v>
      </c>
      <c r="E45">
        <f t="shared" si="0"/>
        <v>1.8571428571428572</v>
      </c>
      <c r="F45">
        <f t="shared" si="1"/>
        <v>52</v>
      </c>
    </row>
    <row r="46" spans="1:6" x14ac:dyDescent="0.2">
      <c r="A46" s="3">
        <v>40616</v>
      </c>
      <c r="B46">
        <v>0</v>
      </c>
      <c r="C46">
        <v>0</v>
      </c>
      <c r="D46">
        <v>0</v>
      </c>
      <c r="E46">
        <f t="shared" si="0"/>
        <v>1.7857142857142858</v>
      </c>
      <c r="F46">
        <f t="shared" si="1"/>
        <v>50</v>
      </c>
    </row>
    <row r="47" spans="1:6" x14ac:dyDescent="0.2">
      <c r="A47" s="3">
        <v>40617</v>
      </c>
      <c r="B47">
        <v>0</v>
      </c>
      <c r="C47">
        <v>0</v>
      </c>
      <c r="D47">
        <v>2</v>
      </c>
      <c r="E47">
        <f t="shared" si="0"/>
        <v>1.75</v>
      </c>
      <c r="F47">
        <f t="shared" si="1"/>
        <v>49</v>
      </c>
    </row>
    <row r="48" spans="1:6" x14ac:dyDescent="0.2">
      <c r="A48" s="3">
        <v>40618</v>
      </c>
      <c r="B48">
        <v>1</v>
      </c>
      <c r="C48">
        <v>0</v>
      </c>
      <c r="D48">
        <v>2</v>
      </c>
      <c r="E48">
        <f t="shared" si="0"/>
        <v>1.7142857142857142</v>
      </c>
      <c r="F48">
        <f t="shared" si="1"/>
        <v>48</v>
      </c>
    </row>
    <row r="49" spans="1:6" x14ac:dyDescent="0.2">
      <c r="A49" s="3">
        <v>40619</v>
      </c>
      <c r="B49">
        <v>0</v>
      </c>
      <c r="C49">
        <v>0</v>
      </c>
      <c r="D49">
        <v>1</v>
      </c>
      <c r="E49">
        <f t="shared" si="0"/>
        <v>1.7142857142857142</v>
      </c>
      <c r="F49">
        <f t="shared" si="1"/>
        <v>48</v>
      </c>
    </row>
    <row r="50" spans="1:6" x14ac:dyDescent="0.2">
      <c r="A50" s="3">
        <v>40620</v>
      </c>
      <c r="B50">
        <v>0</v>
      </c>
      <c r="C50">
        <v>2</v>
      </c>
      <c r="D50">
        <v>0</v>
      </c>
      <c r="E50">
        <f t="shared" si="0"/>
        <v>1.6428571428571428</v>
      </c>
      <c r="F50">
        <f t="shared" si="1"/>
        <v>46</v>
      </c>
    </row>
    <row r="51" spans="1:6" x14ac:dyDescent="0.2">
      <c r="A51" s="3">
        <v>40621</v>
      </c>
      <c r="B51">
        <v>1</v>
      </c>
      <c r="C51">
        <v>1</v>
      </c>
      <c r="D51">
        <v>3</v>
      </c>
      <c r="E51">
        <f t="shared" si="0"/>
        <v>1.6428571428571428</v>
      </c>
      <c r="F51">
        <f t="shared" si="1"/>
        <v>46</v>
      </c>
    </row>
    <row r="52" spans="1:6" x14ac:dyDescent="0.2">
      <c r="A52" s="3">
        <v>40622</v>
      </c>
      <c r="B52">
        <v>1</v>
      </c>
      <c r="C52">
        <v>0</v>
      </c>
      <c r="D52">
        <v>2</v>
      </c>
      <c r="E52">
        <f t="shared" si="0"/>
        <v>1.6071428571428572</v>
      </c>
      <c r="F52">
        <f t="shared" si="1"/>
        <v>45</v>
      </c>
    </row>
    <row r="53" spans="1:6" x14ac:dyDescent="0.2">
      <c r="A53" s="3">
        <v>40623</v>
      </c>
      <c r="B53">
        <v>1</v>
      </c>
      <c r="C53">
        <v>1</v>
      </c>
      <c r="D53">
        <v>1</v>
      </c>
      <c r="E53">
        <f t="shared" si="0"/>
        <v>1.6428571428571428</v>
      </c>
      <c r="F53">
        <f t="shared" si="1"/>
        <v>46</v>
      </c>
    </row>
    <row r="54" spans="1:6" x14ac:dyDescent="0.2">
      <c r="A54" s="3">
        <v>40624</v>
      </c>
      <c r="B54">
        <v>1</v>
      </c>
      <c r="C54">
        <v>0</v>
      </c>
      <c r="D54">
        <v>0</v>
      </c>
      <c r="E54">
        <f t="shared" si="0"/>
        <v>1.6071428571428572</v>
      </c>
      <c r="F54">
        <f t="shared" si="1"/>
        <v>45</v>
      </c>
    </row>
    <row r="55" spans="1:6" x14ac:dyDescent="0.2">
      <c r="A55" s="3">
        <v>40625</v>
      </c>
      <c r="B55">
        <v>1</v>
      </c>
      <c r="C55">
        <v>0</v>
      </c>
      <c r="D55">
        <v>0</v>
      </c>
      <c r="E55">
        <f t="shared" si="0"/>
        <v>1.5714285714285714</v>
      </c>
      <c r="F55">
        <f t="shared" si="1"/>
        <v>44</v>
      </c>
    </row>
    <row r="56" spans="1:6" x14ac:dyDescent="0.2">
      <c r="A56" s="3">
        <v>40626</v>
      </c>
      <c r="B56">
        <v>0</v>
      </c>
      <c r="C56">
        <v>0</v>
      </c>
      <c r="D56">
        <v>0</v>
      </c>
      <c r="E56">
        <f t="shared" si="0"/>
        <v>1.5</v>
      </c>
      <c r="F56">
        <f t="shared" si="1"/>
        <v>42</v>
      </c>
    </row>
    <row r="57" spans="1:6" x14ac:dyDescent="0.2">
      <c r="A57" s="3">
        <v>40627</v>
      </c>
      <c r="B57">
        <v>1</v>
      </c>
      <c r="C57">
        <v>0</v>
      </c>
      <c r="D57">
        <v>1</v>
      </c>
      <c r="E57">
        <f t="shared" si="0"/>
        <v>1.3928571428571428</v>
      </c>
      <c r="F57">
        <f t="shared" si="1"/>
        <v>39</v>
      </c>
    </row>
    <row r="58" spans="1:6" x14ac:dyDescent="0.2">
      <c r="A58" s="3">
        <v>40628</v>
      </c>
      <c r="B58">
        <v>2</v>
      </c>
      <c r="C58">
        <v>0</v>
      </c>
      <c r="D58">
        <v>0</v>
      </c>
      <c r="E58">
        <f t="shared" si="0"/>
        <v>1.3928571428571428</v>
      </c>
      <c r="F58">
        <f t="shared" si="1"/>
        <v>39</v>
      </c>
    </row>
    <row r="59" spans="1:6" x14ac:dyDescent="0.2">
      <c r="A59" s="3">
        <v>40629</v>
      </c>
      <c r="B59">
        <v>2</v>
      </c>
      <c r="C59">
        <v>1</v>
      </c>
      <c r="D59">
        <v>3</v>
      </c>
      <c r="E59">
        <f t="shared" si="0"/>
        <v>1.3928571428571428</v>
      </c>
      <c r="F59">
        <f t="shared" si="1"/>
        <v>39</v>
      </c>
    </row>
    <row r="60" spans="1:6" x14ac:dyDescent="0.2">
      <c r="A60" s="3">
        <v>40630</v>
      </c>
      <c r="B60">
        <v>0</v>
      </c>
      <c r="C60">
        <v>2</v>
      </c>
      <c r="D60">
        <v>0</v>
      </c>
      <c r="E60">
        <f t="shared" si="0"/>
        <v>1.3928571428571428</v>
      </c>
      <c r="F60">
        <f t="shared" si="1"/>
        <v>39</v>
      </c>
    </row>
    <row r="61" spans="1:6" x14ac:dyDescent="0.2">
      <c r="A61" s="3">
        <v>40631</v>
      </c>
      <c r="B61">
        <v>1</v>
      </c>
      <c r="C61">
        <v>0</v>
      </c>
      <c r="D61">
        <v>2</v>
      </c>
      <c r="E61">
        <f t="shared" si="0"/>
        <v>1.3571428571428572</v>
      </c>
      <c r="F61">
        <f t="shared" si="1"/>
        <v>38</v>
      </c>
    </row>
    <row r="62" spans="1:6" x14ac:dyDescent="0.2">
      <c r="A62" s="3">
        <v>40632</v>
      </c>
      <c r="B62">
        <v>0</v>
      </c>
      <c r="C62">
        <v>0</v>
      </c>
      <c r="D62">
        <v>0</v>
      </c>
      <c r="E62">
        <f t="shared" si="0"/>
        <v>1.3214285714285714</v>
      </c>
      <c r="F62">
        <f t="shared" si="1"/>
        <v>37</v>
      </c>
    </row>
    <row r="63" spans="1:6" x14ac:dyDescent="0.2">
      <c r="A63" s="3">
        <v>40633</v>
      </c>
      <c r="B63">
        <v>0</v>
      </c>
      <c r="C63">
        <v>0</v>
      </c>
      <c r="D63">
        <v>2</v>
      </c>
      <c r="E63">
        <f t="shared" si="0"/>
        <v>1.0714285714285714</v>
      </c>
      <c r="F63">
        <f t="shared" si="1"/>
        <v>30</v>
      </c>
    </row>
    <row r="64" spans="1:6" x14ac:dyDescent="0.2">
      <c r="A64" s="3">
        <v>40634</v>
      </c>
      <c r="B64">
        <v>0</v>
      </c>
      <c r="C64">
        <v>0</v>
      </c>
      <c r="D64">
        <v>2</v>
      </c>
      <c r="E64">
        <f t="shared" si="0"/>
        <v>1.0357142857142858</v>
      </c>
      <c r="F64">
        <f t="shared" si="1"/>
        <v>29</v>
      </c>
    </row>
    <row r="65" spans="1:6" x14ac:dyDescent="0.2">
      <c r="A65" s="3">
        <v>40635</v>
      </c>
      <c r="B65">
        <v>0</v>
      </c>
      <c r="C65">
        <v>0</v>
      </c>
      <c r="D65">
        <v>1</v>
      </c>
      <c r="E65">
        <f t="shared" si="0"/>
        <v>0.9642857142857143</v>
      </c>
      <c r="F65">
        <f t="shared" si="1"/>
        <v>27</v>
      </c>
    </row>
    <row r="66" spans="1:6" x14ac:dyDescent="0.2">
      <c r="A66" s="3">
        <v>40636</v>
      </c>
      <c r="B66">
        <v>0</v>
      </c>
      <c r="C66">
        <v>1</v>
      </c>
      <c r="D66">
        <v>0</v>
      </c>
      <c r="E66">
        <f t="shared" si="0"/>
        <v>0.8571428571428571</v>
      </c>
      <c r="F66">
        <f t="shared" si="1"/>
        <v>24</v>
      </c>
    </row>
    <row r="67" spans="1:6" x14ac:dyDescent="0.2">
      <c r="A67" s="3">
        <v>40637</v>
      </c>
      <c r="B67">
        <v>4</v>
      </c>
      <c r="C67">
        <v>0</v>
      </c>
      <c r="D67">
        <v>1</v>
      </c>
      <c r="E67">
        <f t="shared" si="0"/>
        <v>1</v>
      </c>
      <c r="F67">
        <f t="shared" si="1"/>
        <v>28</v>
      </c>
    </row>
    <row r="68" spans="1:6" x14ac:dyDescent="0.2">
      <c r="A68" s="3">
        <v>40638</v>
      </c>
      <c r="B68">
        <v>0</v>
      </c>
      <c r="C68">
        <v>0</v>
      </c>
      <c r="D68">
        <v>0</v>
      </c>
      <c r="E68">
        <f t="shared" si="0"/>
        <v>0.9642857142857143</v>
      </c>
      <c r="F68">
        <f t="shared" si="1"/>
        <v>27</v>
      </c>
    </row>
    <row r="69" spans="1:6" x14ac:dyDescent="0.2">
      <c r="A69" s="3">
        <v>40639</v>
      </c>
      <c r="B69">
        <v>1</v>
      </c>
      <c r="C69">
        <v>2</v>
      </c>
      <c r="D69">
        <v>0</v>
      </c>
      <c r="E69">
        <f t="shared" si="0"/>
        <v>0.9285714285714286</v>
      </c>
      <c r="F69">
        <f t="shared" si="1"/>
        <v>26</v>
      </c>
    </row>
    <row r="70" spans="1:6" x14ac:dyDescent="0.2">
      <c r="A70" s="3">
        <v>40640</v>
      </c>
      <c r="B70">
        <v>0</v>
      </c>
      <c r="C70">
        <v>0</v>
      </c>
      <c r="D70">
        <v>0</v>
      </c>
      <c r="E70">
        <f t="shared" si="0"/>
        <v>0.8214285714285714</v>
      </c>
      <c r="F70">
        <f t="shared" si="1"/>
        <v>23</v>
      </c>
    </row>
    <row r="71" spans="1:6" x14ac:dyDescent="0.2">
      <c r="A71" s="3">
        <v>40641</v>
      </c>
      <c r="B71">
        <v>1</v>
      </c>
      <c r="C71">
        <v>0</v>
      </c>
      <c r="D71">
        <v>0</v>
      </c>
      <c r="E71">
        <f t="shared" si="0"/>
        <v>0.8571428571428571</v>
      </c>
      <c r="F71">
        <f t="shared" si="1"/>
        <v>24</v>
      </c>
    </row>
    <row r="72" spans="1:6" x14ac:dyDescent="0.2">
      <c r="A72" s="3">
        <v>40642</v>
      </c>
      <c r="B72">
        <v>0</v>
      </c>
      <c r="C72">
        <v>1</v>
      </c>
      <c r="D72">
        <v>2</v>
      </c>
      <c r="E72">
        <f t="shared" si="0"/>
        <v>0.8214285714285714</v>
      </c>
      <c r="F72">
        <f t="shared" si="1"/>
        <v>23</v>
      </c>
    </row>
    <row r="73" spans="1:6" x14ac:dyDescent="0.2">
      <c r="A73" s="3">
        <v>40643</v>
      </c>
      <c r="B73">
        <v>2</v>
      </c>
      <c r="C73">
        <v>0</v>
      </c>
      <c r="D73">
        <v>3</v>
      </c>
      <c r="E73">
        <f t="shared" si="0"/>
        <v>0.7142857142857143</v>
      </c>
      <c r="F73">
        <f t="shared" si="1"/>
        <v>20</v>
      </c>
    </row>
    <row r="74" spans="1:6" x14ac:dyDescent="0.2">
      <c r="A74" s="3">
        <v>40644</v>
      </c>
      <c r="B74">
        <v>2</v>
      </c>
      <c r="C74">
        <v>0</v>
      </c>
      <c r="D74">
        <v>1</v>
      </c>
      <c r="E74">
        <f t="shared" si="0"/>
        <v>0.7857142857142857</v>
      </c>
      <c r="F74">
        <f t="shared" si="1"/>
        <v>22</v>
      </c>
    </row>
    <row r="75" spans="1:6" x14ac:dyDescent="0.2">
      <c r="A75" s="3">
        <v>40645</v>
      </c>
      <c r="B75">
        <v>1</v>
      </c>
      <c r="C75">
        <v>0</v>
      </c>
      <c r="D75">
        <v>1</v>
      </c>
      <c r="E75">
        <f t="shared" si="0"/>
        <v>0.8214285714285714</v>
      </c>
      <c r="F75">
        <f t="shared" si="1"/>
        <v>23</v>
      </c>
    </row>
    <row r="76" spans="1:6" x14ac:dyDescent="0.2">
      <c r="A76" s="3">
        <v>40646</v>
      </c>
      <c r="B76">
        <v>1</v>
      </c>
      <c r="C76">
        <v>0</v>
      </c>
      <c r="D76">
        <v>0</v>
      </c>
      <c r="E76">
        <f t="shared" si="0"/>
        <v>0.8214285714285714</v>
      </c>
      <c r="F76">
        <f t="shared" si="1"/>
        <v>23</v>
      </c>
    </row>
    <row r="77" spans="1:6" x14ac:dyDescent="0.2">
      <c r="A77" s="3">
        <v>40647</v>
      </c>
      <c r="B77">
        <v>0</v>
      </c>
      <c r="C77">
        <v>0</v>
      </c>
      <c r="D77">
        <v>0</v>
      </c>
      <c r="E77">
        <f t="shared" si="0"/>
        <v>0.8214285714285714</v>
      </c>
      <c r="F77">
        <f t="shared" si="1"/>
        <v>23</v>
      </c>
    </row>
    <row r="78" spans="1:6" x14ac:dyDescent="0.2">
      <c r="A78" s="3">
        <v>40648</v>
      </c>
      <c r="B78">
        <v>2</v>
      </c>
      <c r="C78">
        <v>4</v>
      </c>
      <c r="D78">
        <v>3</v>
      </c>
      <c r="E78">
        <f t="shared" si="0"/>
        <v>0.8928571428571429</v>
      </c>
      <c r="F78">
        <f t="shared" si="1"/>
        <v>25</v>
      </c>
    </row>
    <row r="79" spans="1:6" x14ac:dyDescent="0.2">
      <c r="A79" s="3">
        <v>40649</v>
      </c>
      <c r="B79">
        <v>1</v>
      </c>
      <c r="C79">
        <v>0</v>
      </c>
      <c r="D79">
        <v>2</v>
      </c>
      <c r="E79">
        <f t="shared" si="0"/>
        <v>0.8928571428571429</v>
      </c>
      <c r="F79">
        <f t="shared" si="1"/>
        <v>25</v>
      </c>
    </row>
    <row r="80" spans="1:6" x14ac:dyDescent="0.2">
      <c r="A80" s="3">
        <v>40650</v>
      </c>
      <c r="B80">
        <v>2</v>
      </c>
      <c r="C80">
        <v>0</v>
      </c>
      <c r="D80">
        <v>2</v>
      </c>
      <c r="E80">
        <f t="shared" si="0"/>
        <v>0.9285714285714286</v>
      </c>
      <c r="F80">
        <f t="shared" si="1"/>
        <v>26</v>
      </c>
    </row>
    <row r="81" spans="1:6" x14ac:dyDescent="0.2">
      <c r="A81" s="3">
        <v>40651</v>
      </c>
      <c r="B81">
        <v>0</v>
      </c>
      <c r="C81">
        <v>0</v>
      </c>
      <c r="D81">
        <v>0</v>
      </c>
      <c r="E81">
        <f t="shared" si="0"/>
        <v>0.8928571428571429</v>
      </c>
      <c r="F81">
        <f t="shared" si="1"/>
        <v>25</v>
      </c>
    </row>
    <row r="82" spans="1:6" x14ac:dyDescent="0.2">
      <c r="A82" s="3">
        <v>40652</v>
      </c>
      <c r="B82">
        <v>2</v>
      </c>
      <c r="C82">
        <v>0</v>
      </c>
      <c r="D82">
        <v>1</v>
      </c>
      <c r="E82">
        <f t="shared" si="0"/>
        <v>0.9285714285714286</v>
      </c>
      <c r="F82">
        <f t="shared" si="1"/>
        <v>26</v>
      </c>
    </row>
    <row r="83" spans="1:6" x14ac:dyDescent="0.2">
      <c r="A83" s="3">
        <v>40653</v>
      </c>
      <c r="B83">
        <v>0</v>
      </c>
      <c r="C83">
        <v>3</v>
      </c>
      <c r="D83">
        <v>0</v>
      </c>
      <c r="E83">
        <f t="shared" si="0"/>
        <v>0.8928571428571429</v>
      </c>
      <c r="F83">
        <f t="shared" si="1"/>
        <v>25</v>
      </c>
    </row>
    <row r="84" spans="1:6" x14ac:dyDescent="0.2">
      <c r="A84" s="3">
        <v>40654</v>
      </c>
      <c r="B84">
        <v>0</v>
      </c>
      <c r="C84">
        <v>0</v>
      </c>
      <c r="D84">
        <v>3</v>
      </c>
      <c r="E84">
        <f t="shared" si="0"/>
        <v>0.8928571428571429</v>
      </c>
      <c r="F84">
        <f t="shared" si="1"/>
        <v>25</v>
      </c>
    </row>
    <row r="85" spans="1:6" x14ac:dyDescent="0.2">
      <c r="A85" s="3">
        <v>40655</v>
      </c>
      <c r="B85">
        <v>0</v>
      </c>
      <c r="C85">
        <v>1</v>
      </c>
      <c r="D85">
        <v>1</v>
      </c>
      <c r="E85">
        <f t="shared" si="0"/>
        <v>0.8571428571428571</v>
      </c>
      <c r="F85">
        <f t="shared" si="1"/>
        <v>24</v>
      </c>
    </row>
    <row r="86" spans="1:6" x14ac:dyDescent="0.2">
      <c r="A86" s="3">
        <v>40656</v>
      </c>
      <c r="B86">
        <v>1</v>
      </c>
      <c r="C86">
        <v>0</v>
      </c>
      <c r="D86">
        <v>0</v>
      </c>
      <c r="E86">
        <f t="shared" si="0"/>
        <v>0.8214285714285714</v>
      </c>
      <c r="F86">
        <f t="shared" si="1"/>
        <v>23</v>
      </c>
    </row>
    <row r="87" spans="1:6" x14ac:dyDescent="0.2">
      <c r="A87" s="3">
        <v>40657</v>
      </c>
      <c r="B87">
        <v>0</v>
      </c>
      <c r="C87">
        <v>1</v>
      </c>
      <c r="D87">
        <v>0</v>
      </c>
      <c r="E87">
        <f t="shared" si="0"/>
        <v>0.75</v>
      </c>
      <c r="F87">
        <f t="shared" si="1"/>
        <v>21</v>
      </c>
    </row>
    <row r="88" spans="1:6" x14ac:dyDescent="0.2">
      <c r="A88" s="3">
        <v>40658</v>
      </c>
      <c r="B88">
        <v>0</v>
      </c>
      <c r="C88">
        <v>1</v>
      </c>
      <c r="D88">
        <v>0</v>
      </c>
      <c r="E88">
        <f t="shared" si="0"/>
        <v>0.75</v>
      </c>
      <c r="F88">
        <f t="shared" si="1"/>
        <v>21</v>
      </c>
    </row>
    <row r="89" spans="1:6" x14ac:dyDescent="0.2">
      <c r="A89" s="3">
        <v>40659</v>
      </c>
      <c r="B89">
        <v>0</v>
      </c>
      <c r="C89">
        <v>1</v>
      </c>
      <c r="D89">
        <v>2</v>
      </c>
      <c r="E89">
        <f t="shared" si="0"/>
        <v>0.7142857142857143</v>
      </c>
      <c r="F89">
        <f t="shared" si="1"/>
        <v>20</v>
      </c>
    </row>
    <row r="90" spans="1:6" x14ac:dyDescent="0.2">
      <c r="A90" s="3">
        <v>40660</v>
      </c>
      <c r="B90">
        <v>0</v>
      </c>
      <c r="C90">
        <v>1</v>
      </c>
      <c r="D90">
        <v>0</v>
      </c>
      <c r="E90">
        <f t="shared" si="0"/>
        <v>0.7142857142857143</v>
      </c>
      <c r="F90">
        <f t="shared" si="1"/>
        <v>20</v>
      </c>
    </row>
    <row r="91" spans="1:6" x14ac:dyDescent="0.2">
      <c r="A91" s="3">
        <v>40661</v>
      </c>
      <c r="B91">
        <v>0</v>
      </c>
      <c r="C91">
        <v>1</v>
      </c>
      <c r="D91">
        <v>2</v>
      </c>
      <c r="E91">
        <f t="shared" si="0"/>
        <v>0.7142857142857143</v>
      </c>
      <c r="F91">
        <f t="shared" si="1"/>
        <v>20</v>
      </c>
    </row>
    <row r="92" spans="1:6" x14ac:dyDescent="0.2">
      <c r="A92" s="3">
        <v>40662</v>
      </c>
      <c r="B92">
        <v>0</v>
      </c>
      <c r="C92">
        <v>1</v>
      </c>
      <c r="D92">
        <v>1</v>
      </c>
      <c r="E92">
        <f t="shared" si="0"/>
        <v>0.7142857142857143</v>
      </c>
      <c r="F92">
        <f t="shared" si="1"/>
        <v>20</v>
      </c>
    </row>
    <row r="93" spans="1:6" x14ac:dyDescent="0.2">
      <c r="A93" s="3">
        <v>40663</v>
      </c>
      <c r="B93">
        <v>3</v>
      </c>
      <c r="C93">
        <v>3</v>
      </c>
      <c r="D93">
        <v>1</v>
      </c>
      <c r="E93">
        <f t="shared" si="0"/>
        <v>0.8214285714285714</v>
      </c>
      <c r="F93">
        <f t="shared" si="1"/>
        <v>23</v>
      </c>
    </row>
    <row r="94" spans="1:6" x14ac:dyDescent="0.2">
      <c r="A94" s="3">
        <v>40664</v>
      </c>
      <c r="B94">
        <v>2</v>
      </c>
      <c r="C94">
        <v>0</v>
      </c>
      <c r="D94">
        <v>1</v>
      </c>
      <c r="E94">
        <f t="shared" ref="E94:E157" si="2">AVERAGE(B67:B94)</f>
        <v>0.8928571428571429</v>
      </c>
      <c r="F94">
        <f t="shared" ref="F94:F157" si="3">SUM(B67:B94)</f>
        <v>25</v>
      </c>
    </row>
    <row r="95" spans="1:6" x14ac:dyDescent="0.2">
      <c r="A95" s="3">
        <v>40665</v>
      </c>
      <c r="B95">
        <v>7</v>
      </c>
      <c r="C95">
        <v>2</v>
      </c>
      <c r="D95">
        <v>3</v>
      </c>
      <c r="E95">
        <f t="shared" si="2"/>
        <v>1</v>
      </c>
      <c r="F95">
        <f t="shared" si="3"/>
        <v>28</v>
      </c>
    </row>
    <row r="96" spans="1:6" x14ac:dyDescent="0.2">
      <c r="A96" s="3">
        <v>40666</v>
      </c>
      <c r="B96">
        <v>1</v>
      </c>
      <c r="C96">
        <v>1</v>
      </c>
      <c r="D96">
        <v>4</v>
      </c>
      <c r="E96">
        <f t="shared" si="2"/>
        <v>1.0357142857142858</v>
      </c>
      <c r="F96">
        <f t="shared" si="3"/>
        <v>29</v>
      </c>
    </row>
    <row r="97" spans="1:6" x14ac:dyDescent="0.2">
      <c r="A97" s="3">
        <v>40667</v>
      </c>
      <c r="B97">
        <v>0</v>
      </c>
      <c r="C97">
        <v>1</v>
      </c>
      <c r="D97">
        <v>0</v>
      </c>
      <c r="E97">
        <f t="shared" si="2"/>
        <v>1</v>
      </c>
      <c r="F97">
        <f t="shared" si="3"/>
        <v>28</v>
      </c>
    </row>
    <row r="98" spans="1:6" x14ac:dyDescent="0.2">
      <c r="A98" s="3">
        <v>40668</v>
      </c>
      <c r="B98">
        <v>0</v>
      </c>
      <c r="C98">
        <v>0</v>
      </c>
      <c r="D98">
        <v>3</v>
      </c>
      <c r="E98">
        <f t="shared" si="2"/>
        <v>1</v>
      </c>
      <c r="F98">
        <f t="shared" si="3"/>
        <v>28</v>
      </c>
    </row>
    <row r="99" spans="1:6" x14ac:dyDescent="0.2">
      <c r="A99" s="3">
        <v>40669</v>
      </c>
      <c r="B99">
        <v>9</v>
      </c>
      <c r="C99">
        <v>1</v>
      </c>
      <c r="D99">
        <v>7</v>
      </c>
      <c r="E99">
        <f t="shared" si="2"/>
        <v>1.2857142857142858</v>
      </c>
      <c r="F99">
        <f t="shared" si="3"/>
        <v>36</v>
      </c>
    </row>
    <row r="100" spans="1:6" x14ac:dyDescent="0.2">
      <c r="A100" s="3">
        <v>40670</v>
      </c>
      <c r="B100">
        <v>0</v>
      </c>
      <c r="C100">
        <v>3</v>
      </c>
      <c r="D100">
        <v>2</v>
      </c>
      <c r="E100">
        <f t="shared" si="2"/>
        <v>1.2857142857142858</v>
      </c>
      <c r="F100">
        <f t="shared" si="3"/>
        <v>36</v>
      </c>
    </row>
    <row r="101" spans="1:6" x14ac:dyDescent="0.2">
      <c r="A101" s="3">
        <v>40671</v>
      </c>
      <c r="B101">
        <v>0</v>
      </c>
      <c r="C101">
        <v>1</v>
      </c>
      <c r="D101">
        <v>0</v>
      </c>
      <c r="E101">
        <f t="shared" si="2"/>
        <v>1.2142857142857142</v>
      </c>
      <c r="F101">
        <f t="shared" si="3"/>
        <v>34</v>
      </c>
    </row>
    <row r="102" spans="1:6" x14ac:dyDescent="0.2">
      <c r="A102" s="3">
        <v>40672</v>
      </c>
      <c r="B102">
        <v>0</v>
      </c>
      <c r="C102">
        <v>2</v>
      </c>
      <c r="D102">
        <v>0</v>
      </c>
      <c r="E102">
        <f t="shared" si="2"/>
        <v>1.1428571428571428</v>
      </c>
      <c r="F102">
        <f t="shared" si="3"/>
        <v>32</v>
      </c>
    </row>
    <row r="103" spans="1:6" x14ac:dyDescent="0.2">
      <c r="A103" s="3">
        <v>40673</v>
      </c>
      <c r="B103">
        <v>1</v>
      </c>
      <c r="C103">
        <v>0</v>
      </c>
      <c r="D103">
        <v>0</v>
      </c>
      <c r="E103">
        <f t="shared" si="2"/>
        <v>1.1428571428571428</v>
      </c>
      <c r="F103">
        <f t="shared" si="3"/>
        <v>32</v>
      </c>
    </row>
    <row r="104" spans="1:6" x14ac:dyDescent="0.2">
      <c r="A104" s="3">
        <v>40674</v>
      </c>
      <c r="B104">
        <v>2</v>
      </c>
      <c r="C104">
        <v>0</v>
      </c>
      <c r="D104">
        <v>0</v>
      </c>
      <c r="E104">
        <f t="shared" si="2"/>
        <v>1.1785714285714286</v>
      </c>
      <c r="F104">
        <f t="shared" si="3"/>
        <v>33</v>
      </c>
    </row>
    <row r="105" spans="1:6" x14ac:dyDescent="0.2">
      <c r="A105" s="3">
        <v>40675</v>
      </c>
      <c r="B105">
        <v>0</v>
      </c>
      <c r="C105">
        <v>0</v>
      </c>
      <c r="D105">
        <v>0</v>
      </c>
      <c r="E105">
        <f t="shared" si="2"/>
        <v>1.1785714285714286</v>
      </c>
      <c r="F105">
        <f t="shared" si="3"/>
        <v>33</v>
      </c>
    </row>
    <row r="106" spans="1:6" x14ac:dyDescent="0.2">
      <c r="A106" s="3">
        <v>40676</v>
      </c>
      <c r="B106">
        <v>1</v>
      </c>
      <c r="C106">
        <v>0</v>
      </c>
      <c r="D106">
        <v>0</v>
      </c>
      <c r="E106">
        <f t="shared" si="2"/>
        <v>1.1428571428571428</v>
      </c>
      <c r="F106">
        <f t="shared" si="3"/>
        <v>32</v>
      </c>
    </row>
    <row r="107" spans="1:6" x14ac:dyDescent="0.2">
      <c r="A107" s="3">
        <v>40677</v>
      </c>
      <c r="B107">
        <v>3</v>
      </c>
      <c r="C107">
        <v>2</v>
      </c>
      <c r="D107">
        <v>2</v>
      </c>
      <c r="E107">
        <f t="shared" si="2"/>
        <v>1.2142857142857142</v>
      </c>
      <c r="F107">
        <f t="shared" si="3"/>
        <v>34</v>
      </c>
    </row>
    <row r="108" spans="1:6" x14ac:dyDescent="0.2">
      <c r="A108" s="3">
        <v>40678</v>
      </c>
      <c r="B108">
        <v>1</v>
      </c>
      <c r="C108">
        <v>1</v>
      </c>
      <c r="D108">
        <v>1</v>
      </c>
      <c r="E108">
        <f t="shared" si="2"/>
        <v>1.1785714285714286</v>
      </c>
      <c r="F108">
        <f t="shared" si="3"/>
        <v>33</v>
      </c>
    </row>
    <row r="109" spans="1:6" x14ac:dyDescent="0.2">
      <c r="A109" s="3">
        <v>40679</v>
      </c>
      <c r="B109">
        <v>3</v>
      </c>
      <c r="C109">
        <v>0</v>
      </c>
      <c r="D109">
        <v>2</v>
      </c>
      <c r="E109">
        <f t="shared" si="2"/>
        <v>1.2857142857142858</v>
      </c>
      <c r="F109">
        <f t="shared" si="3"/>
        <v>36</v>
      </c>
    </row>
    <row r="110" spans="1:6" x14ac:dyDescent="0.2">
      <c r="A110" s="3">
        <v>40680</v>
      </c>
      <c r="B110">
        <v>0</v>
      </c>
      <c r="C110">
        <v>0</v>
      </c>
      <c r="D110">
        <v>4</v>
      </c>
      <c r="E110">
        <f t="shared" si="2"/>
        <v>1.2142857142857142</v>
      </c>
      <c r="F110">
        <f t="shared" si="3"/>
        <v>34</v>
      </c>
    </row>
    <row r="111" spans="1:6" x14ac:dyDescent="0.2">
      <c r="A111" s="3">
        <v>40681</v>
      </c>
      <c r="B111">
        <v>0</v>
      </c>
      <c r="C111">
        <v>1</v>
      </c>
      <c r="D111">
        <v>0</v>
      </c>
      <c r="E111">
        <f t="shared" si="2"/>
        <v>1.2142857142857142</v>
      </c>
      <c r="F111">
        <f t="shared" si="3"/>
        <v>34</v>
      </c>
    </row>
    <row r="112" spans="1:6" x14ac:dyDescent="0.2">
      <c r="A112" s="3">
        <v>40682</v>
      </c>
      <c r="B112">
        <v>1</v>
      </c>
      <c r="C112">
        <v>0</v>
      </c>
      <c r="D112">
        <v>1</v>
      </c>
      <c r="E112">
        <f t="shared" si="2"/>
        <v>1.25</v>
      </c>
      <c r="F112">
        <f t="shared" si="3"/>
        <v>35</v>
      </c>
    </row>
    <row r="113" spans="1:6" x14ac:dyDescent="0.2">
      <c r="A113" s="3">
        <v>40683</v>
      </c>
      <c r="B113">
        <v>1</v>
      </c>
      <c r="C113">
        <v>1</v>
      </c>
      <c r="D113">
        <v>0</v>
      </c>
      <c r="E113">
        <f t="shared" si="2"/>
        <v>1.2857142857142858</v>
      </c>
      <c r="F113">
        <f t="shared" si="3"/>
        <v>36</v>
      </c>
    </row>
    <row r="114" spans="1:6" x14ac:dyDescent="0.2">
      <c r="A114" s="3">
        <v>40684</v>
      </c>
      <c r="B114">
        <v>1</v>
      </c>
      <c r="C114">
        <v>0</v>
      </c>
      <c r="D114">
        <v>3</v>
      </c>
      <c r="E114">
        <f t="shared" si="2"/>
        <v>1.2857142857142858</v>
      </c>
      <c r="F114">
        <f t="shared" si="3"/>
        <v>36</v>
      </c>
    </row>
    <row r="115" spans="1:6" x14ac:dyDescent="0.2">
      <c r="A115" s="3">
        <v>40685</v>
      </c>
      <c r="B115">
        <v>3</v>
      </c>
      <c r="C115">
        <v>3</v>
      </c>
      <c r="D115">
        <v>0</v>
      </c>
      <c r="E115">
        <f t="shared" si="2"/>
        <v>1.3928571428571428</v>
      </c>
      <c r="F115">
        <f t="shared" si="3"/>
        <v>39</v>
      </c>
    </row>
    <row r="116" spans="1:6" x14ac:dyDescent="0.2">
      <c r="A116" s="3">
        <v>40686</v>
      </c>
      <c r="B116">
        <v>0</v>
      </c>
      <c r="C116">
        <v>2</v>
      </c>
      <c r="D116">
        <v>1</v>
      </c>
      <c r="E116">
        <f t="shared" si="2"/>
        <v>1.3928571428571428</v>
      </c>
      <c r="F116">
        <f t="shared" si="3"/>
        <v>39</v>
      </c>
    </row>
    <row r="117" spans="1:6" x14ac:dyDescent="0.2">
      <c r="A117" s="3">
        <v>40687</v>
      </c>
      <c r="B117">
        <v>1</v>
      </c>
      <c r="C117">
        <v>1</v>
      </c>
      <c r="D117">
        <v>1</v>
      </c>
      <c r="E117">
        <f t="shared" si="2"/>
        <v>1.4285714285714286</v>
      </c>
      <c r="F117">
        <f t="shared" si="3"/>
        <v>40</v>
      </c>
    </row>
    <row r="118" spans="1:6" x14ac:dyDescent="0.2">
      <c r="A118" s="3">
        <v>40688</v>
      </c>
      <c r="B118">
        <v>2</v>
      </c>
      <c r="C118">
        <v>0</v>
      </c>
      <c r="D118">
        <v>0</v>
      </c>
      <c r="E118">
        <f t="shared" si="2"/>
        <v>1.5</v>
      </c>
      <c r="F118">
        <f t="shared" si="3"/>
        <v>42</v>
      </c>
    </row>
    <row r="119" spans="1:6" x14ac:dyDescent="0.2">
      <c r="A119" s="3">
        <v>40689</v>
      </c>
      <c r="B119">
        <v>0</v>
      </c>
      <c r="C119">
        <v>3</v>
      </c>
      <c r="D119">
        <v>0</v>
      </c>
      <c r="E119">
        <f t="shared" si="2"/>
        <v>1.5</v>
      </c>
      <c r="F119">
        <f t="shared" si="3"/>
        <v>42</v>
      </c>
    </row>
    <row r="120" spans="1:6" x14ac:dyDescent="0.2">
      <c r="A120" s="3">
        <v>40690</v>
      </c>
      <c r="B120">
        <v>6</v>
      </c>
      <c r="C120">
        <v>0</v>
      </c>
      <c r="D120">
        <v>0</v>
      </c>
      <c r="E120">
        <f t="shared" si="2"/>
        <v>1.7142857142857142</v>
      </c>
      <c r="F120">
        <f t="shared" si="3"/>
        <v>48</v>
      </c>
    </row>
    <row r="121" spans="1:6" x14ac:dyDescent="0.2">
      <c r="A121" s="3">
        <v>40691</v>
      </c>
      <c r="B121">
        <v>3</v>
      </c>
      <c r="C121">
        <v>0</v>
      </c>
      <c r="D121">
        <v>0</v>
      </c>
      <c r="E121">
        <f t="shared" si="2"/>
        <v>1.7142857142857142</v>
      </c>
      <c r="F121">
        <f t="shared" si="3"/>
        <v>48</v>
      </c>
    </row>
    <row r="122" spans="1:6" x14ac:dyDescent="0.2">
      <c r="A122" s="3">
        <v>40692</v>
      </c>
      <c r="B122">
        <v>1</v>
      </c>
      <c r="C122">
        <v>0</v>
      </c>
      <c r="D122">
        <v>1</v>
      </c>
      <c r="E122">
        <f t="shared" si="2"/>
        <v>1.6785714285714286</v>
      </c>
      <c r="F122">
        <f t="shared" si="3"/>
        <v>47</v>
      </c>
    </row>
    <row r="123" spans="1:6" x14ac:dyDescent="0.2">
      <c r="A123" s="3">
        <v>40693</v>
      </c>
      <c r="B123">
        <v>0</v>
      </c>
      <c r="C123">
        <v>0</v>
      </c>
      <c r="D123">
        <v>2</v>
      </c>
      <c r="E123">
        <f t="shared" si="2"/>
        <v>1.4285714285714286</v>
      </c>
      <c r="F123">
        <f t="shared" si="3"/>
        <v>40</v>
      </c>
    </row>
    <row r="124" spans="1:6" x14ac:dyDescent="0.2">
      <c r="A124" s="3">
        <v>40694</v>
      </c>
      <c r="B124">
        <v>1</v>
      </c>
      <c r="C124">
        <v>0</v>
      </c>
      <c r="D124">
        <v>0</v>
      </c>
      <c r="E124">
        <f t="shared" si="2"/>
        <v>1.4285714285714286</v>
      </c>
      <c r="F124">
        <f t="shared" si="3"/>
        <v>40</v>
      </c>
    </row>
    <row r="125" spans="1:6" x14ac:dyDescent="0.2">
      <c r="A125" s="3">
        <v>40695</v>
      </c>
      <c r="B125">
        <v>0</v>
      </c>
      <c r="C125">
        <v>1</v>
      </c>
      <c r="D125">
        <v>0</v>
      </c>
      <c r="E125">
        <f t="shared" si="2"/>
        <v>1.4285714285714286</v>
      </c>
      <c r="F125">
        <f t="shared" si="3"/>
        <v>40</v>
      </c>
    </row>
    <row r="126" spans="1:6" x14ac:dyDescent="0.2">
      <c r="A126" s="3">
        <v>40696</v>
      </c>
      <c r="B126">
        <v>2</v>
      </c>
      <c r="C126">
        <v>0</v>
      </c>
      <c r="D126">
        <v>3</v>
      </c>
      <c r="E126">
        <f t="shared" si="2"/>
        <v>1.5</v>
      </c>
      <c r="F126">
        <f t="shared" si="3"/>
        <v>42</v>
      </c>
    </row>
    <row r="127" spans="1:6" x14ac:dyDescent="0.2">
      <c r="A127" s="3">
        <v>40697</v>
      </c>
      <c r="B127">
        <v>0</v>
      </c>
      <c r="C127">
        <v>2</v>
      </c>
      <c r="D127">
        <v>0</v>
      </c>
      <c r="E127">
        <f t="shared" si="2"/>
        <v>1.1785714285714286</v>
      </c>
      <c r="F127">
        <f t="shared" si="3"/>
        <v>33</v>
      </c>
    </row>
    <row r="128" spans="1:6" x14ac:dyDescent="0.2">
      <c r="A128" s="3">
        <v>40698</v>
      </c>
      <c r="B128">
        <v>0</v>
      </c>
      <c r="C128">
        <v>0</v>
      </c>
      <c r="D128">
        <v>1</v>
      </c>
      <c r="E128">
        <f t="shared" si="2"/>
        <v>1.1785714285714286</v>
      </c>
      <c r="F128">
        <f t="shared" si="3"/>
        <v>33</v>
      </c>
    </row>
    <row r="129" spans="1:6" x14ac:dyDescent="0.2">
      <c r="A129" s="3">
        <v>40699</v>
      </c>
      <c r="B129">
        <v>0</v>
      </c>
      <c r="C129">
        <v>0</v>
      </c>
      <c r="D129">
        <v>0</v>
      </c>
      <c r="E129">
        <f t="shared" si="2"/>
        <v>1.1785714285714286</v>
      </c>
      <c r="F129">
        <f t="shared" si="3"/>
        <v>33</v>
      </c>
    </row>
    <row r="130" spans="1:6" x14ac:dyDescent="0.2">
      <c r="A130" s="3">
        <v>40700</v>
      </c>
      <c r="B130">
        <v>0</v>
      </c>
      <c r="C130">
        <v>4</v>
      </c>
      <c r="D130">
        <v>4</v>
      </c>
      <c r="E130">
        <f t="shared" si="2"/>
        <v>1.1785714285714286</v>
      </c>
      <c r="F130">
        <f t="shared" si="3"/>
        <v>33</v>
      </c>
    </row>
    <row r="131" spans="1:6" x14ac:dyDescent="0.2">
      <c r="A131" s="3">
        <v>40701</v>
      </c>
      <c r="B131">
        <v>0</v>
      </c>
      <c r="C131">
        <v>2</v>
      </c>
      <c r="D131">
        <v>0</v>
      </c>
      <c r="E131">
        <f t="shared" si="2"/>
        <v>1.1428571428571428</v>
      </c>
      <c r="F131">
        <f t="shared" si="3"/>
        <v>32</v>
      </c>
    </row>
    <row r="132" spans="1:6" x14ac:dyDescent="0.2">
      <c r="A132" s="3">
        <v>40702</v>
      </c>
      <c r="B132">
        <v>1</v>
      </c>
      <c r="C132">
        <v>4</v>
      </c>
      <c r="D132">
        <v>0</v>
      </c>
      <c r="E132">
        <f t="shared" si="2"/>
        <v>1.1071428571428572</v>
      </c>
      <c r="F132">
        <f t="shared" si="3"/>
        <v>31</v>
      </c>
    </row>
    <row r="133" spans="1:6" x14ac:dyDescent="0.2">
      <c r="A133" s="3">
        <v>40703</v>
      </c>
      <c r="B133">
        <v>4</v>
      </c>
      <c r="C133">
        <v>0</v>
      </c>
      <c r="D133">
        <v>0</v>
      </c>
      <c r="E133">
        <f t="shared" si="2"/>
        <v>1.25</v>
      </c>
      <c r="F133">
        <f t="shared" si="3"/>
        <v>35</v>
      </c>
    </row>
    <row r="134" spans="1:6" x14ac:dyDescent="0.2">
      <c r="A134" s="3">
        <v>40704</v>
      </c>
      <c r="B134">
        <v>0</v>
      </c>
      <c r="C134">
        <v>3</v>
      </c>
      <c r="D134">
        <v>0</v>
      </c>
      <c r="E134">
        <f t="shared" si="2"/>
        <v>1.2142857142857142</v>
      </c>
      <c r="F134">
        <f t="shared" si="3"/>
        <v>34</v>
      </c>
    </row>
    <row r="135" spans="1:6" x14ac:dyDescent="0.2">
      <c r="A135" s="3">
        <v>40705</v>
      </c>
      <c r="B135">
        <v>0</v>
      </c>
      <c r="C135">
        <v>1</v>
      </c>
      <c r="D135">
        <v>6</v>
      </c>
      <c r="E135">
        <f t="shared" si="2"/>
        <v>1.1071428571428572</v>
      </c>
      <c r="F135">
        <f t="shared" si="3"/>
        <v>31</v>
      </c>
    </row>
    <row r="136" spans="1:6" x14ac:dyDescent="0.2">
      <c r="A136" s="3">
        <v>40706</v>
      </c>
      <c r="B136">
        <v>3</v>
      </c>
      <c r="C136">
        <v>1</v>
      </c>
      <c r="D136">
        <v>4</v>
      </c>
      <c r="E136">
        <f t="shared" si="2"/>
        <v>1.1785714285714286</v>
      </c>
      <c r="F136">
        <f t="shared" si="3"/>
        <v>33</v>
      </c>
    </row>
    <row r="137" spans="1:6" x14ac:dyDescent="0.2">
      <c r="A137" s="3">
        <v>40707</v>
      </c>
      <c r="B137">
        <v>0</v>
      </c>
      <c r="C137">
        <v>1</v>
      </c>
      <c r="D137">
        <v>0</v>
      </c>
      <c r="E137">
        <f t="shared" si="2"/>
        <v>1.0714285714285714</v>
      </c>
      <c r="F137">
        <f t="shared" si="3"/>
        <v>30</v>
      </c>
    </row>
    <row r="138" spans="1:6" x14ac:dyDescent="0.2">
      <c r="A138" s="3">
        <v>40708</v>
      </c>
      <c r="B138">
        <v>1</v>
      </c>
      <c r="C138">
        <v>2</v>
      </c>
      <c r="D138">
        <v>0</v>
      </c>
      <c r="E138">
        <f t="shared" si="2"/>
        <v>1.1071428571428572</v>
      </c>
      <c r="F138">
        <f t="shared" si="3"/>
        <v>31</v>
      </c>
    </row>
    <row r="139" spans="1:6" x14ac:dyDescent="0.2">
      <c r="A139" s="3">
        <v>40709</v>
      </c>
      <c r="B139">
        <v>1</v>
      </c>
      <c r="C139">
        <v>2</v>
      </c>
      <c r="D139">
        <v>0</v>
      </c>
      <c r="E139">
        <f t="shared" si="2"/>
        <v>1.1428571428571428</v>
      </c>
      <c r="F139">
        <f t="shared" si="3"/>
        <v>32</v>
      </c>
    </row>
    <row r="140" spans="1:6" x14ac:dyDescent="0.2">
      <c r="A140" s="3">
        <v>40710</v>
      </c>
      <c r="B140">
        <v>0</v>
      </c>
      <c r="C140">
        <v>1</v>
      </c>
      <c r="D140">
        <v>1</v>
      </c>
      <c r="E140">
        <f t="shared" si="2"/>
        <v>1.1071428571428572</v>
      </c>
      <c r="F140">
        <f t="shared" si="3"/>
        <v>31</v>
      </c>
    </row>
    <row r="141" spans="1:6" x14ac:dyDescent="0.2">
      <c r="A141" s="3">
        <v>40711</v>
      </c>
      <c r="B141">
        <v>2</v>
      </c>
      <c r="C141">
        <v>0</v>
      </c>
      <c r="D141">
        <v>1</v>
      </c>
      <c r="E141">
        <f t="shared" si="2"/>
        <v>1.1428571428571428</v>
      </c>
      <c r="F141">
        <f t="shared" si="3"/>
        <v>32</v>
      </c>
    </row>
    <row r="142" spans="1:6" x14ac:dyDescent="0.2">
      <c r="A142" s="3">
        <v>40712</v>
      </c>
      <c r="B142">
        <v>3</v>
      </c>
      <c r="C142">
        <v>2</v>
      </c>
      <c r="D142">
        <v>0</v>
      </c>
      <c r="E142">
        <f t="shared" si="2"/>
        <v>1.2142857142857142</v>
      </c>
      <c r="F142">
        <f t="shared" si="3"/>
        <v>34</v>
      </c>
    </row>
    <row r="143" spans="1:6" x14ac:dyDescent="0.2">
      <c r="A143" s="3">
        <v>40713</v>
      </c>
      <c r="B143">
        <v>2</v>
      </c>
      <c r="C143">
        <v>3</v>
      </c>
      <c r="D143">
        <v>1</v>
      </c>
      <c r="E143">
        <f t="shared" si="2"/>
        <v>1.1785714285714286</v>
      </c>
      <c r="F143">
        <f t="shared" si="3"/>
        <v>33</v>
      </c>
    </row>
    <row r="144" spans="1:6" x14ac:dyDescent="0.2">
      <c r="A144" s="3">
        <v>40714</v>
      </c>
      <c r="B144">
        <v>3</v>
      </c>
      <c r="C144">
        <v>1</v>
      </c>
      <c r="D144">
        <v>0</v>
      </c>
      <c r="E144">
        <f t="shared" si="2"/>
        <v>1.2857142857142858</v>
      </c>
      <c r="F144">
        <f t="shared" si="3"/>
        <v>36</v>
      </c>
    </row>
    <row r="145" spans="1:6" x14ac:dyDescent="0.2">
      <c r="A145" s="3">
        <v>40715</v>
      </c>
      <c r="B145">
        <v>1</v>
      </c>
      <c r="C145">
        <v>2</v>
      </c>
      <c r="D145">
        <v>0</v>
      </c>
      <c r="E145">
        <f t="shared" si="2"/>
        <v>1.2857142857142858</v>
      </c>
      <c r="F145">
        <f t="shared" si="3"/>
        <v>36</v>
      </c>
    </row>
    <row r="146" spans="1:6" x14ac:dyDescent="0.2">
      <c r="A146" s="3">
        <v>40716</v>
      </c>
      <c r="B146">
        <v>1</v>
      </c>
      <c r="C146">
        <v>0</v>
      </c>
      <c r="D146">
        <v>1</v>
      </c>
      <c r="E146">
        <f t="shared" si="2"/>
        <v>1.25</v>
      </c>
      <c r="F146">
        <f t="shared" si="3"/>
        <v>35</v>
      </c>
    </row>
    <row r="147" spans="1:6" x14ac:dyDescent="0.2">
      <c r="A147" s="3">
        <v>40717</v>
      </c>
      <c r="B147">
        <v>0</v>
      </c>
      <c r="C147">
        <v>2</v>
      </c>
      <c r="D147">
        <v>2</v>
      </c>
      <c r="E147">
        <f t="shared" si="2"/>
        <v>1.25</v>
      </c>
      <c r="F147">
        <f t="shared" si="3"/>
        <v>35</v>
      </c>
    </row>
    <row r="148" spans="1:6" x14ac:dyDescent="0.2">
      <c r="A148" s="3">
        <v>40718</v>
      </c>
      <c r="B148">
        <v>2</v>
      </c>
      <c r="C148">
        <v>2</v>
      </c>
      <c r="D148">
        <v>2</v>
      </c>
      <c r="E148">
        <f t="shared" si="2"/>
        <v>1.1071428571428572</v>
      </c>
      <c r="F148">
        <f t="shared" si="3"/>
        <v>31</v>
      </c>
    </row>
    <row r="149" spans="1:6" x14ac:dyDescent="0.2">
      <c r="A149" s="3">
        <v>40719</v>
      </c>
      <c r="B149">
        <v>1</v>
      </c>
      <c r="C149">
        <v>1</v>
      </c>
      <c r="D149">
        <v>1</v>
      </c>
      <c r="E149">
        <f t="shared" si="2"/>
        <v>1.0357142857142858</v>
      </c>
      <c r="F149">
        <f t="shared" si="3"/>
        <v>29</v>
      </c>
    </row>
    <row r="150" spans="1:6" x14ac:dyDescent="0.2">
      <c r="A150" s="3">
        <v>40720</v>
      </c>
      <c r="B150">
        <v>0</v>
      </c>
      <c r="C150">
        <v>0</v>
      </c>
      <c r="D150">
        <v>0</v>
      </c>
      <c r="E150">
        <f t="shared" si="2"/>
        <v>1</v>
      </c>
      <c r="F150">
        <f t="shared" si="3"/>
        <v>28</v>
      </c>
    </row>
    <row r="151" spans="1:6" x14ac:dyDescent="0.2">
      <c r="A151" s="3">
        <v>40721</v>
      </c>
      <c r="B151">
        <v>1</v>
      </c>
      <c r="C151">
        <v>2</v>
      </c>
      <c r="D151">
        <v>0</v>
      </c>
      <c r="E151">
        <f t="shared" si="2"/>
        <v>1.0357142857142858</v>
      </c>
      <c r="F151">
        <f t="shared" si="3"/>
        <v>29</v>
      </c>
    </row>
    <row r="152" spans="1:6" x14ac:dyDescent="0.2">
      <c r="A152" s="3">
        <v>40722</v>
      </c>
      <c r="B152">
        <v>0</v>
      </c>
      <c r="C152">
        <v>1</v>
      </c>
      <c r="D152">
        <v>1</v>
      </c>
      <c r="E152">
        <f t="shared" si="2"/>
        <v>1</v>
      </c>
      <c r="F152">
        <f t="shared" si="3"/>
        <v>28</v>
      </c>
    </row>
    <row r="153" spans="1:6" x14ac:dyDescent="0.2">
      <c r="A153" s="3">
        <v>40723</v>
      </c>
      <c r="B153">
        <v>0</v>
      </c>
      <c r="C153">
        <v>1</v>
      </c>
      <c r="D153">
        <v>0</v>
      </c>
      <c r="E153">
        <f t="shared" si="2"/>
        <v>1</v>
      </c>
      <c r="F153">
        <f t="shared" si="3"/>
        <v>28</v>
      </c>
    </row>
    <row r="154" spans="1:6" x14ac:dyDescent="0.2">
      <c r="A154" s="3">
        <v>40724</v>
      </c>
      <c r="B154">
        <v>0</v>
      </c>
      <c r="C154">
        <v>0</v>
      </c>
      <c r="D154">
        <v>4</v>
      </c>
      <c r="E154">
        <f t="shared" si="2"/>
        <v>0.9285714285714286</v>
      </c>
      <c r="F154">
        <f t="shared" si="3"/>
        <v>26</v>
      </c>
    </row>
    <row r="155" spans="1:6" x14ac:dyDescent="0.2">
      <c r="A155" s="3">
        <v>40725</v>
      </c>
      <c r="B155">
        <v>0</v>
      </c>
      <c r="C155">
        <v>0</v>
      </c>
      <c r="D155">
        <v>0</v>
      </c>
      <c r="E155">
        <f t="shared" si="2"/>
        <v>0.9285714285714286</v>
      </c>
      <c r="F155">
        <f t="shared" si="3"/>
        <v>26</v>
      </c>
    </row>
    <row r="156" spans="1:6" x14ac:dyDescent="0.2">
      <c r="A156" s="3">
        <v>40726</v>
      </c>
      <c r="B156">
        <v>3</v>
      </c>
      <c r="C156">
        <v>1</v>
      </c>
      <c r="D156">
        <v>0</v>
      </c>
      <c r="E156">
        <f t="shared" si="2"/>
        <v>1.0357142857142858</v>
      </c>
      <c r="F156">
        <f t="shared" si="3"/>
        <v>29</v>
      </c>
    </row>
    <row r="157" spans="1:6" x14ac:dyDescent="0.2">
      <c r="A157" s="3">
        <v>40727</v>
      </c>
      <c r="B157">
        <v>0</v>
      </c>
      <c r="C157">
        <v>0</v>
      </c>
      <c r="D157">
        <v>0</v>
      </c>
      <c r="E157">
        <f t="shared" si="2"/>
        <v>1.0357142857142858</v>
      </c>
      <c r="F157">
        <f t="shared" si="3"/>
        <v>29</v>
      </c>
    </row>
    <row r="158" spans="1:6" x14ac:dyDescent="0.2">
      <c r="A158" s="3">
        <v>40728</v>
      </c>
      <c r="B158">
        <v>1</v>
      </c>
      <c r="C158">
        <v>0</v>
      </c>
      <c r="D158">
        <v>0</v>
      </c>
      <c r="E158">
        <f t="shared" ref="E158:E221" si="4">AVERAGE(B131:B158)</f>
        <v>1.0714285714285714</v>
      </c>
      <c r="F158">
        <f t="shared" ref="F158:F221" si="5">SUM(B131:B158)</f>
        <v>30</v>
      </c>
    </row>
    <row r="159" spans="1:6" x14ac:dyDescent="0.2">
      <c r="A159" s="3">
        <v>40729</v>
      </c>
      <c r="B159">
        <v>0</v>
      </c>
      <c r="C159">
        <v>0</v>
      </c>
      <c r="D159">
        <v>0</v>
      </c>
      <c r="E159">
        <f t="shared" si="4"/>
        <v>1.0714285714285714</v>
      </c>
      <c r="F159">
        <f t="shared" si="5"/>
        <v>30</v>
      </c>
    </row>
    <row r="160" spans="1:6" x14ac:dyDescent="0.2">
      <c r="A160" s="3">
        <v>40730</v>
      </c>
      <c r="B160">
        <v>1</v>
      </c>
      <c r="C160">
        <v>0</v>
      </c>
      <c r="D160">
        <v>1</v>
      </c>
      <c r="E160">
        <f t="shared" si="4"/>
        <v>1.0714285714285714</v>
      </c>
      <c r="F160">
        <f t="shared" si="5"/>
        <v>30</v>
      </c>
    </row>
    <row r="161" spans="1:6" x14ac:dyDescent="0.2">
      <c r="A161" s="3">
        <v>40731</v>
      </c>
      <c r="B161">
        <v>0</v>
      </c>
      <c r="C161">
        <v>0</v>
      </c>
      <c r="D161">
        <v>0</v>
      </c>
      <c r="E161">
        <f t="shared" si="4"/>
        <v>0.9285714285714286</v>
      </c>
      <c r="F161">
        <f t="shared" si="5"/>
        <v>26</v>
      </c>
    </row>
    <row r="162" spans="1:6" x14ac:dyDescent="0.2">
      <c r="A162" s="3">
        <v>40732</v>
      </c>
      <c r="B162">
        <v>1</v>
      </c>
      <c r="C162">
        <v>0</v>
      </c>
      <c r="D162">
        <v>0</v>
      </c>
      <c r="E162">
        <f t="shared" si="4"/>
        <v>0.9642857142857143</v>
      </c>
      <c r="F162">
        <f t="shared" si="5"/>
        <v>27</v>
      </c>
    </row>
    <row r="163" spans="1:6" x14ac:dyDescent="0.2">
      <c r="A163" s="3">
        <v>40733</v>
      </c>
      <c r="B163">
        <v>2</v>
      </c>
      <c r="C163">
        <v>2</v>
      </c>
      <c r="D163">
        <v>0</v>
      </c>
      <c r="E163">
        <f t="shared" si="4"/>
        <v>1.0357142857142858</v>
      </c>
      <c r="F163">
        <f t="shared" si="5"/>
        <v>29</v>
      </c>
    </row>
    <row r="164" spans="1:6" x14ac:dyDescent="0.2">
      <c r="A164" s="3">
        <v>40734</v>
      </c>
      <c r="B164">
        <v>0</v>
      </c>
      <c r="C164">
        <v>2</v>
      </c>
      <c r="D164">
        <v>1</v>
      </c>
      <c r="E164">
        <f t="shared" si="4"/>
        <v>0.9285714285714286</v>
      </c>
      <c r="F164">
        <f t="shared" si="5"/>
        <v>26</v>
      </c>
    </row>
    <row r="165" spans="1:6" x14ac:dyDescent="0.2">
      <c r="A165" s="3">
        <v>40735</v>
      </c>
      <c r="B165">
        <v>0</v>
      </c>
      <c r="C165">
        <v>1</v>
      </c>
      <c r="D165">
        <v>0</v>
      </c>
      <c r="E165">
        <f t="shared" si="4"/>
        <v>0.9285714285714286</v>
      </c>
      <c r="F165">
        <f t="shared" si="5"/>
        <v>26</v>
      </c>
    </row>
    <row r="166" spans="1:6" x14ac:dyDescent="0.2">
      <c r="A166" s="3">
        <v>40736</v>
      </c>
      <c r="B166">
        <v>4</v>
      </c>
      <c r="C166">
        <v>1</v>
      </c>
      <c r="D166">
        <v>0</v>
      </c>
      <c r="E166">
        <f t="shared" si="4"/>
        <v>1.0357142857142858</v>
      </c>
      <c r="F166">
        <f t="shared" si="5"/>
        <v>29</v>
      </c>
    </row>
    <row r="167" spans="1:6" x14ac:dyDescent="0.2">
      <c r="A167" s="3">
        <v>40737</v>
      </c>
      <c r="B167">
        <v>0</v>
      </c>
      <c r="C167">
        <v>1</v>
      </c>
      <c r="D167">
        <v>1</v>
      </c>
      <c r="E167">
        <f t="shared" si="4"/>
        <v>1</v>
      </c>
      <c r="F167">
        <f t="shared" si="5"/>
        <v>28</v>
      </c>
    </row>
    <row r="168" spans="1:6" x14ac:dyDescent="0.2">
      <c r="A168" s="3">
        <v>40738</v>
      </c>
      <c r="B168">
        <v>1</v>
      </c>
      <c r="C168">
        <v>4</v>
      </c>
      <c r="D168">
        <v>0</v>
      </c>
      <c r="E168">
        <f t="shared" si="4"/>
        <v>1.0357142857142858</v>
      </c>
      <c r="F168">
        <f t="shared" si="5"/>
        <v>29</v>
      </c>
    </row>
    <row r="169" spans="1:6" x14ac:dyDescent="0.2">
      <c r="A169" s="3">
        <v>40739</v>
      </c>
      <c r="B169">
        <v>1</v>
      </c>
      <c r="C169">
        <v>0</v>
      </c>
      <c r="D169">
        <v>0</v>
      </c>
      <c r="E169">
        <f t="shared" si="4"/>
        <v>1</v>
      </c>
      <c r="F169">
        <f t="shared" si="5"/>
        <v>28</v>
      </c>
    </row>
    <row r="170" spans="1:6" x14ac:dyDescent="0.2">
      <c r="A170" s="3">
        <v>40740</v>
      </c>
      <c r="B170">
        <v>1</v>
      </c>
      <c r="C170">
        <v>2</v>
      </c>
      <c r="D170">
        <v>0</v>
      </c>
      <c r="E170">
        <f t="shared" si="4"/>
        <v>0.9285714285714286</v>
      </c>
      <c r="F170">
        <f t="shared" si="5"/>
        <v>26</v>
      </c>
    </row>
    <row r="171" spans="1:6" x14ac:dyDescent="0.2">
      <c r="A171" s="3">
        <v>40741</v>
      </c>
      <c r="B171">
        <v>1</v>
      </c>
      <c r="C171">
        <v>1</v>
      </c>
      <c r="D171">
        <v>2</v>
      </c>
      <c r="E171">
        <f t="shared" si="4"/>
        <v>0.8928571428571429</v>
      </c>
      <c r="F171">
        <f t="shared" si="5"/>
        <v>25</v>
      </c>
    </row>
    <row r="172" spans="1:6" x14ac:dyDescent="0.2">
      <c r="A172" s="3">
        <v>40742</v>
      </c>
      <c r="B172">
        <v>1</v>
      </c>
      <c r="C172">
        <v>0</v>
      </c>
      <c r="D172">
        <v>2</v>
      </c>
      <c r="E172">
        <f t="shared" si="4"/>
        <v>0.8214285714285714</v>
      </c>
      <c r="F172">
        <f t="shared" si="5"/>
        <v>23</v>
      </c>
    </row>
    <row r="173" spans="1:6" x14ac:dyDescent="0.2">
      <c r="A173" s="3">
        <v>40743</v>
      </c>
      <c r="B173">
        <v>1</v>
      </c>
      <c r="C173">
        <v>2</v>
      </c>
      <c r="D173">
        <v>1</v>
      </c>
      <c r="E173">
        <f t="shared" si="4"/>
        <v>0.8214285714285714</v>
      </c>
      <c r="F173">
        <f t="shared" si="5"/>
        <v>23</v>
      </c>
    </row>
    <row r="174" spans="1:6" x14ac:dyDescent="0.2">
      <c r="A174" s="3">
        <v>40744</v>
      </c>
      <c r="B174">
        <v>1</v>
      </c>
      <c r="C174">
        <v>1</v>
      </c>
      <c r="D174">
        <v>0</v>
      </c>
      <c r="E174">
        <f t="shared" si="4"/>
        <v>0.8214285714285714</v>
      </c>
      <c r="F174">
        <f t="shared" si="5"/>
        <v>23</v>
      </c>
    </row>
    <row r="175" spans="1:6" x14ac:dyDescent="0.2">
      <c r="A175" s="3">
        <v>40745</v>
      </c>
      <c r="B175">
        <v>2</v>
      </c>
      <c r="C175">
        <v>1</v>
      </c>
      <c r="D175">
        <v>0</v>
      </c>
      <c r="E175">
        <f t="shared" si="4"/>
        <v>0.8928571428571429</v>
      </c>
      <c r="F175">
        <f t="shared" si="5"/>
        <v>25</v>
      </c>
    </row>
    <row r="176" spans="1:6" x14ac:dyDescent="0.2">
      <c r="A176" s="3">
        <v>40746</v>
      </c>
      <c r="B176">
        <v>0</v>
      </c>
      <c r="C176">
        <v>2</v>
      </c>
      <c r="D176">
        <v>0</v>
      </c>
      <c r="E176">
        <f t="shared" si="4"/>
        <v>0.8214285714285714</v>
      </c>
      <c r="F176">
        <f t="shared" si="5"/>
        <v>23</v>
      </c>
    </row>
    <row r="177" spans="1:6" x14ac:dyDescent="0.2">
      <c r="A177" s="3">
        <v>40747</v>
      </c>
      <c r="B177">
        <v>2</v>
      </c>
      <c r="C177">
        <v>0</v>
      </c>
      <c r="D177">
        <v>0</v>
      </c>
      <c r="E177">
        <f t="shared" si="4"/>
        <v>0.8571428571428571</v>
      </c>
      <c r="F177">
        <f t="shared" si="5"/>
        <v>24</v>
      </c>
    </row>
    <row r="178" spans="1:6" x14ac:dyDescent="0.2">
      <c r="A178" s="3">
        <v>40748</v>
      </c>
      <c r="B178">
        <v>0</v>
      </c>
      <c r="C178">
        <v>0</v>
      </c>
      <c r="D178">
        <v>1</v>
      </c>
      <c r="E178">
        <f t="shared" si="4"/>
        <v>0.8571428571428571</v>
      </c>
      <c r="F178">
        <f t="shared" si="5"/>
        <v>24</v>
      </c>
    </row>
    <row r="179" spans="1:6" x14ac:dyDescent="0.2">
      <c r="A179" s="3">
        <v>40749</v>
      </c>
      <c r="B179">
        <v>0</v>
      </c>
      <c r="C179">
        <v>0</v>
      </c>
      <c r="D179">
        <v>2</v>
      </c>
      <c r="E179">
        <f t="shared" si="4"/>
        <v>0.8214285714285714</v>
      </c>
      <c r="F179">
        <f t="shared" si="5"/>
        <v>23</v>
      </c>
    </row>
    <row r="180" spans="1:6" x14ac:dyDescent="0.2">
      <c r="A180" s="3">
        <v>40750</v>
      </c>
      <c r="B180">
        <v>0</v>
      </c>
      <c r="C180">
        <v>0</v>
      </c>
      <c r="D180">
        <v>0</v>
      </c>
      <c r="E180">
        <f t="shared" si="4"/>
        <v>0.8214285714285714</v>
      </c>
      <c r="F180">
        <f t="shared" si="5"/>
        <v>23</v>
      </c>
    </row>
    <row r="181" spans="1:6" x14ac:dyDescent="0.2">
      <c r="A181" s="3">
        <v>40751</v>
      </c>
      <c r="B181">
        <v>1</v>
      </c>
      <c r="C181">
        <v>1</v>
      </c>
      <c r="D181">
        <v>0</v>
      </c>
      <c r="E181">
        <f t="shared" si="4"/>
        <v>0.8571428571428571</v>
      </c>
      <c r="F181">
        <f t="shared" si="5"/>
        <v>24</v>
      </c>
    </row>
    <row r="182" spans="1:6" x14ac:dyDescent="0.2">
      <c r="A182" s="3">
        <v>40752</v>
      </c>
      <c r="B182">
        <v>0</v>
      </c>
      <c r="C182">
        <v>2</v>
      </c>
      <c r="D182">
        <v>0</v>
      </c>
      <c r="E182">
        <f t="shared" si="4"/>
        <v>0.8571428571428571</v>
      </c>
      <c r="F182">
        <f t="shared" si="5"/>
        <v>24</v>
      </c>
    </row>
    <row r="183" spans="1:6" x14ac:dyDescent="0.2">
      <c r="A183" s="3">
        <v>40753</v>
      </c>
      <c r="B183">
        <v>2</v>
      </c>
      <c r="C183">
        <v>2</v>
      </c>
      <c r="D183">
        <v>2</v>
      </c>
      <c r="E183">
        <f t="shared" si="4"/>
        <v>0.9285714285714286</v>
      </c>
      <c r="F183">
        <f t="shared" si="5"/>
        <v>26</v>
      </c>
    </row>
    <row r="184" spans="1:6" x14ac:dyDescent="0.2">
      <c r="A184" s="3">
        <v>40754</v>
      </c>
      <c r="B184">
        <v>0</v>
      </c>
      <c r="C184">
        <v>0</v>
      </c>
      <c r="D184">
        <v>0</v>
      </c>
      <c r="E184">
        <f t="shared" si="4"/>
        <v>0.8214285714285714</v>
      </c>
      <c r="F184">
        <f t="shared" si="5"/>
        <v>23</v>
      </c>
    </row>
    <row r="185" spans="1:6" x14ac:dyDescent="0.2">
      <c r="A185" s="3">
        <v>40755</v>
      </c>
      <c r="B185">
        <v>1</v>
      </c>
      <c r="C185">
        <v>0</v>
      </c>
      <c r="D185">
        <v>1</v>
      </c>
      <c r="E185">
        <f t="shared" si="4"/>
        <v>0.8571428571428571</v>
      </c>
      <c r="F185">
        <f t="shared" si="5"/>
        <v>24</v>
      </c>
    </row>
    <row r="186" spans="1:6" x14ac:dyDescent="0.2">
      <c r="A186" s="3">
        <v>40756</v>
      </c>
      <c r="B186">
        <v>0</v>
      </c>
      <c r="C186">
        <v>2</v>
      </c>
      <c r="D186">
        <v>0</v>
      </c>
      <c r="E186">
        <f t="shared" si="4"/>
        <v>0.8214285714285714</v>
      </c>
      <c r="F186">
        <f t="shared" si="5"/>
        <v>23</v>
      </c>
    </row>
    <row r="187" spans="1:6" x14ac:dyDescent="0.2">
      <c r="A187" s="3">
        <v>40757</v>
      </c>
      <c r="B187">
        <v>0</v>
      </c>
      <c r="C187">
        <v>2</v>
      </c>
      <c r="D187">
        <v>1</v>
      </c>
      <c r="E187">
        <f t="shared" si="4"/>
        <v>0.8214285714285714</v>
      </c>
      <c r="F187">
        <f t="shared" si="5"/>
        <v>23</v>
      </c>
    </row>
    <row r="188" spans="1:6" x14ac:dyDescent="0.2">
      <c r="A188" s="3">
        <v>40758</v>
      </c>
      <c r="B188">
        <v>1</v>
      </c>
      <c r="C188">
        <v>1</v>
      </c>
      <c r="D188">
        <v>1</v>
      </c>
      <c r="E188">
        <f t="shared" si="4"/>
        <v>0.8214285714285714</v>
      </c>
      <c r="F188">
        <f t="shared" si="5"/>
        <v>23</v>
      </c>
    </row>
    <row r="189" spans="1:6" x14ac:dyDescent="0.2">
      <c r="A189" s="3">
        <v>40759</v>
      </c>
      <c r="B189">
        <v>1</v>
      </c>
      <c r="C189">
        <v>0</v>
      </c>
      <c r="D189">
        <v>0</v>
      </c>
      <c r="E189">
        <f t="shared" si="4"/>
        <v>0.8571428571428571</v>
      </c>
      <c r="F189">
        <f t="shared" si="5"/>
        <v>24</v>
      </c>
    </row>
    <row r="190" spans="1:6" x14ac:dyDescent="0.2">
      <c r="A190" s="3">
        <v>40760</v>
      </c>
      <c r="B190">
        <v>0</v>
      </c>
      <c r="C190">
        <v>0</v>
      </c>
      <c r="D190">
        <v>0</v>
      </c>
      <c r="E190">
        <f t="shared" si="4"/>
        <v>0.8214285714285714</v>
      </c>
      <c r="F190">
        <f t="shared" si="5"/>
        <v>23</v>
      </c>
    </row>
    <row r="191" spans="1:6" x14ac:dyDescent="0.2">
      <c r="A191" s="3">
        <v>40761</v>
      </c>
      <c r="B191">
        <v>0</v>
      </c>
      <c r="C191">
        <v>1</v>
      </c>
      <c r="D191">
        <v>1</v>
      </c>
      <c r="E191">
        <f t="shared" si="4"/>
        <v>0.75</v>
      </c>
      <c r="F191">
        <f t="shared" si="5"/>
        <v>21</v>
      </c>
    </row>
    <row r="192" spans="1:6" x14ac:dyDescent="0.2">
      <c r="A192" s="3">
        <v>40762</v>
      </c>
      <c r="B192">
        <v>0</v>
      </c>
      <c r="C192">
        <v>1</v>
      </c>
      <c r="D192">
        <v>2</v>
      </c>
      <c r="E192">
        <f t="shared" si="4"/>
        <v>0.75</v>
      </c>
      <c r="F192">
        <f t="shared" si="5"/>
        <v>21</v>
      </c>
    </row>
    <row r="193" spans="1:6" x14ac:dyDescent="0.2">
      <c r="A193" s="3">
        <v>40763</v>
      </c>
      <c r="B193">
        <v>0</v>
      </c>
      <c r="C193">
        <v>3</v>
      </c>
      <c r="D193">
        <v>2</v>
      </c>
      <c r="E193">
        <f t="shared" si="4"/>
        <v>0.75</v>
      </c>
      <c r="F193">
        <f t="shared" si="5"/>
        <v>21</v>
      </c>
    </row>
    <row r="194" spans="1:6" x14ac:dyDescent="0.2">
      <c r="A194" s="3">
        <v>40764</v>
      </c>
      <c r="B194">
        <v>0</v>
      </c>
      <c r="C194">
        <v>1</v>
      </c>
      <c r="D194">
        <v>0</v>
      </c>
      <c r="E194">
        <f t="shared" si="4"/>
        <v>0.6071428571428571</v>
      </c>
      <c r="F194">
        <f t="shared" si="5"/>
        <v>17</v>
      </c>
    </row>
    <row r="195" spans="1:6" x14ac:dyDescent="0.2">
      <c r="A195" s="3">
        <v>40765</v>
      </c>
      <c r="B195">
        <v>0</v>
      </c>
      <c r="C195">
        <v>0</v>
      </c>
      <c r="D195">
        <v>2</v>
      </c>
      <c r="E195">
        <f t="shared" si="4"/>
        <v>0.6071428571428571</v>
      </c>
      <c r="F195">
        <f t="shared" si="5"/>
        <v>17</v>
      </c>
    </row>
    <row r="196" spans="1:6" x14ac:dyDescent="0.2">
      <c r="A196" s="3">
        <v>40766</v>
      </c>
      <c r="B196">
        <v>0</v>
      </c>
      <c r="C196">
        <v>1</v>
      </c>
      <c r="D196">
        <v>0</v>
      </c>
      <c r="E196">
        <f t="shared" si="4"/>
        <v>0.5714285714285714</v>
      </c>
      <c r="F196">
        <f t="shared" si="5"/>
        <v>16</v>
      </c>
    </row>
    <row r="197" spans="1:6" x14ac:dyDescent="0.2">
      <c r="A197" s="3">
        <v>40767</v>
      </c>
      <c r="B197">
        <v>0</v>
      </c>
      <c r="C197">
        <v>5</v>
      </c>
      <c r="D197">
        <v>4</v>
      </c>
      <c r="E197">
        <f t="shared" si="4"/>
        <v>0.5357142857142857</v>
      </c>
      <c r="F197">
        <f t="shared" si="5"/>
        <v>15</v>
      </c>
    </row>
    <row r="198" spans="1:6" x14ac:dyDescent="0.2">
      <c r="A198" s="3">
        <v>40768</v>
      </c>
      <c r="B198">
        <v>0</v>
      </c>
      <c r="C198">
        <v>2</v>
      </c>
      <c r="D198">
        <v>5</v>
      </c>
      <c r="E198">
        <f t="shared" si="4"/>
        <v>0.5</v>
      </c>
      <c r="F198">
        <f t="shared" si="5"/>
        <v>14</v>
      </c>
    </row>
    <row r="199" spans="1:6" x14ac:dyDescent="0.2">
      <c r="A199" s="3">
        <v>40769</v>
      </c>
      <c r="B199">
        <v>0</v>
      </c>
      <c r="C199">
        <v>0</v>
      </c>
      <c r="D199">
        <v>0</v>
      </c>
      <c r="E199">
        <f t="shared" si="4"/>
        <v>0.4642857142857143</v>
      </c>
      <c r="F199">
        <f t="shared" si="5"/>
        <v>13</v>
      </c>
    </row>
    <row r="200" spans="1:6" x14ac:dyDescent="0.2">
      <c r="A200" s="3">
        <v>40770</v>
      </c>
      <c r="B200">
        <v>0</v>
      </c>
      <c r="C200">
        <v>0</v>
      </c>
      <c r="D200">
        <v>0</v>
      </c>
      <c r="E200">
        <f t="shared" si="4"/>
        <v>0.42857142857142855</v>
      </c>
      <c r="F200">
        <f t="shared" si="5"/>
        <v>12</v>
      </c>
    </row>
    <row r="201" spans="1:6" x14ac:dyDescent="0.2">
      <c r="A201" s="3">
        <v>40771</v>
      </c>
      <c r="B201">
        <v>0</v>
      </c>
      <c r="C201">
        <v>0</v>
      </c>
      <c r="D201">
        <v>1</v>
      </c>
      <c r="E201">
        <f t="shared" si="4"/>
        <v>0.39285714285714285</v>
      </c>
      <c r="F201">
        <f t="shared" si="5"/>
        <v>11</v>
      </c>
    </row>
    <row r="202" spans="1:6" x14ac:dyDescent="0.2">
      <c r="A202" s="3">
        <v>40772</v>
      </c>
      <c r="B202">
        <v>0</v>
      </c>
      <c r="C202">
        <v>1</v>
      </c>
      <c r="D202">
        <v>0</v>
      </c>
      <c r="E202">
        <f t="shared" si="4"/>
        <v>0.35714285714285715</v>
      </c>
      <c r="F202">
        <f t="shared" si="5"/>
        <v>10</v>
      </c>
    </row>
    <row r="203" spans="1:6" x14ac:dyDescent="0.2">
      <c r="A203" s="3">
        <v>40773</v>
      </c>
      <c r="B203">
        <v>0</v>
      </c>
      <c r="C203">
        <v>1</v>
      </c>
      <c r="D203">
        <v>0</v>
      </c>
      <c r="E203">
        <f t="shared" si="4"/>
        <v>0.2857142857142857</v>
      </c>
      <c r="F203">
        <f t="shared" si="5"/>
        <v>8</v>
      </c>
    </row>
    <row r="204" spans="1:6" x14ac:dyDescent="0.2">
      <c r="A204" s="3">
        <v>40774</v>
      </c>
      <c r="B204">
        <v>0</v>
      </c>
      <c r="C204">
        <v>0</v>
      </c>
      <c r="D204">
        <v>1</v>
      </c>
      <c r="E204">
        <f t="shared" si="4"/>
        <v>0.2857142857142857</v>
      </c>
      <c r="F204">
        <f t="shared" si="5"/>
        <v>8</v>
      </c>
    </row>
    <row r="205" spans="1:6" x14ac:dyDescent="0.2">
      <c r="A205" s="3">
        <v>40775</v>
      </c>
      <c r="B205">
        <v>0</v>
      </c>
      <c r="C205">
        <v>1</v>
      </c>
      <c r="D205">
        <v>2</v>
      </c>
      <c r="E205">
        <f t="shared" si="4"/>
        <v>0.21428571428571427</v>
      </c>
      <c r="F205">
        <f t="shared" si="5"/>
        <v>6</v>
      </c>
    </row>
    <row r="206" spans="1:6" x14ac:dyDescent="0.2">
      <c r="A206" s="3">
        <v>40776</v>
      </c>
      <c r="B206">
        <v>0</v>
      </c>
      <c r="C206">
        <v>2</v>
      </c>
      <c r="D206">
        <v>0</v>
      </c>
      <c r="E206">
        <f t="shared" si="4"/>
        <v>0.21428571428571427</v>
      </c>
      <c r="F206">
        <f t="shared" si="5"/>
        <v>6</v>
      </c>
    </row>
    <row r="207" spans="1:6" x14ac:dyDescent="0.2">
      <c r="A207" s="3">
        <v>40777</v>
      </c>
      <c r="B207">
        <v>0</v>
      </c>
      <c r="C207">
        <v>1</v>
      </c>
      <c r="D207">
        <v>2</v>
      </c>
      <c r="E207">
        <f t="shared" si="4"/>
        <v>0.21428571428571427</v>
      </c>
      <c r="F207">
        <f t="shared" si="5"/>
        <v>6</v>
      </c>
    </row>
    <row r="208" spans="1:6" x14ac:dyDescent="0.2">
      <c r="A208" s="3">
        <v>40778</v>
      </c>
      <c r="B208">
        <v>0</v>
      </c>
      <c r="C208">
        <v>1</v>
      </c>
      <c r="D208">
        <v>1</v>
      </c>
      <c r="E208">
        <f t="shared" si="4"/>
        <v>0.21428571428571427</v>
      </c>
      <c r="F208">
        <f t="shared" si="5"/>
        <v>6</v>
      </c>
    </row>
    <row r="209" spans="1:6" x14ac:dyDescent="0.2">
      <c r="A209" s="3">
        <v>40779</v>
      </c>
      <c r="B209">
        <v>0</v>
      </c>
      <c r="C209">
        <v>0</v>
      </c>
      <c r="D209">
        <v>0</v>
      </c>
      <c r="E209">
        <f t="shared" si="4"/>
        <v>0.17857142857142858</v>
      </c>
      <c r="F209">
        <f t="shared" si="5"/>
        <v>5</v>
      </c>
    </row>
    <row r="210" spans="1:6" x14ac:dyDescent="0.2">
      <c r="A210" s="3">
        <v>40780</v>
      </c>
      <c r="B210">
        <v>0</v>
      </c>
      <c r="C210">
        <v>1</v>
      </c>
      <c r="D210">
        <v>4</v>
      </c>
      <c r="E210">
        <f t="shared" si="4"/>
        <v>0.17857142857142858</v>
      </c>
      <c r="F210">
        <f t="shared" si="5"/>
        <v>5</v>
      </c>
    </row>
    <row r="211" spans="1:6" x14ac:dyDescent="0.2">
      <c r="A211" s="3">
        <v>40781</v>
      </c>
      <c r="B211">
        <v>0</v>
      </c>
      <c r="C211">
        <v>0</v>
      </c>
      <c r="D211">
        <v>2</v>
      </c>
      <c r="E211">
        <f t="shared" si="4"/>
        <v>0.10714285714285714</v>
      </c>
      <c r="F211">
        <f t="shared" si="5"/>
        <v>3</v>
      </c>
    </row>
    <row r="212" spans="1:6" x14ac:dyDescent="0.2">
      <c r="A212" s="3">
        <v>40782</v>
      </c>
      <c r="B212">
        <v>0</v>
      </c>
      <c r="C212">
        <v>0</v>
      </c>
      <c r="D212">
        <v>2</v>
      </c>
      <c r="E212">
        <f t="shared" si="4"/>
        <v>0.10714285714285714</v>
      </c>
      <c r="F212">
        <f t="shared" si="5"/>
        <v>3</v>
      </c>
    </row>
    <row r="213" spans="1:6" x14ac:dyDescent="0.2">
      <c r="A213" s="3">
        <v>40783</v>
      </c>
      <c r="B213">
        <v>0</v>
      </c>
      <c r="C213">
        <v>1</v>
      </c>
      <c r="D213">
        <v>0</v>
      </c>
      <c r="E213">
        <f t="shared" si="4"/>
        <v>7.1428571428571425E-2</v>
      </c>
      <c r="F213">
        <f t="shared" si="5"/>
        <v>2</v>
      </c>
    </row>
    <row r="214" spans="1:6" x14ac:dyDescent="0.2">
      <c r="A214" s="3">
        <v>40784</v>
      </c>
      <c r="B214">
        <v>0</v>
      </c>
      <c r="C214">
        <v>2</v>
      </c>
      <c r="D214">
        <v>0</v>
      </c>
      <c r="E214">
        <f t="shared" si="4"/>
        <v>7.1428571428571425E-2</v>
      </c>
      <c r="F214">
        <f t="shared" si="5"/>
        <v>2</v>
      </c>
    </row>
    <row r="215" spans="1:6" x14ac:dyDescent="0.2">
      <c r="A215" s="3">
        <v>40785</v>
      </c>
      <c r="B215">
        <v>0</v>
      </c>
      <c r="C215">
        <v>1</v>
      </c>
      <c r="D215">
        <v>0</v>
      </c>
      <c r="E215">
        <f t="shared" si="4"/>
        <v>7.1428571428571425E-2</v>
      </c>
      <c r="F215">
        <f t="shared" si="5"/>
        <v>2</v>
      </c>
    </row>
    <row r="216" spans="1:6" x14ac:dyDescent="0.2">
      <c r="A216" s="3">
        <v>40786</v>
      </c>
      <c r="B216">
        <v>0</v>
      </c>
      <c r="C216">
        <v>3</v>
      </c>
      <c r="D216">
        <v>1</v>
      </c>
      <c r="E216">
        <f t="shared" si="4"/>
        <v>3.5714285714285712E-2</v>
      </c>
      <c r="F216">
        <f t="shared" si="5"/>
        <v>1</v>
      </c>
    </row>
    <row r="217" spans="1:6" x14ac:dyDescent="0.2">
      <c r="A217" s="3">
        <v>40787</v>
      </c>
      <c r="B217">
        <v>0</v>
      </c>
      <c r="C217">
        <v>2</v>
      </c>
      <c r="D217">
        <v>1</v>
      </c>
      <c r="E217">
        <f t="shared" si="4"/>
        <v>0</v>
      </c>
      <c r="F217">
        <f t="shared" si="5"/>
        <v>0</v>
      </c>
    </row>
    <row r="218" spans="1:6" x14ac:dyDescent="0.2">
      <c r="A218" s="3">
        <v>40788</v>
      </c>
      <c r="B218">
        <v>0</v>
      </c>
      <c r="C218">
        <v>1</v>
      </c>
      <c r="D218">
        <v>2</v>
      </c>
      <c r="E218">
        <f t="shared" si="4"/>
        <v>0</v>
      </c>
      <c r="F218">
        <f t="shared" si="5"/>
        <v>0</v>
      </c>
    </row>
    <row r="219" spans="1:6" x14ac:dyDescent="0.2">
      <c r="A219" s="3">
        <v>40789</v>
      </c>
      <c r="B219">
        <v>0</v>
      </c>
      <c r="C219">
        <v>1</v>
      </c>
      <c r="D219">
        <v>1</v>
      </c>
      <c r="E219">
        <f t="shared" si="4"/>
        <v>0</v>
      </c>
      <c r="F219">
        <f t="shared" si="5"/>
        <v>0</v>
      </c>
    </row>
    <row r="220" spans="1:6" x14ac:dyDescent="0.2">
      <c r="A220" s="3">
        <v>40790</v>
      </c>
      <c r="B220">
        <v>0</v>
      </c>
      <c r="C220">
        <v>0</v>
      </c>
      <c r="D220">
        <v>0</v>
      </c>
      <c r="E220">
        <f t="shared" si="4"/>
        <v>0</v>
      </c>
      <c r="F220">
        <f t="shared" si="5"/>
        <v>0</v>
      </c>
    </row>
    <row r="221" spans="1:6" x14ac:dyDescent="0.2">
      <c r="A221" s="3">
        <v>40791</v>
      </c>
      <c r="B221">
        <v>0</v>
      </c>
      <c r="C221">
        <v>1</v>
      </c>
      <c r="D221">
        <v>0</v>
      </c>
      <c r="E221">
        <f t="shared" si="4"/>
        <v>0</v>
      </c>
      <c r="F221">
        <f t="shared" si="5"/>
        <v>0</v>
      </c>
    </row>
    <row r="222" spans="1:6" x14ac:dyDescent="0.2">
      <c r="A222" s="3">
        <v>40792</v>
      </c>
      <c r="B222">
        <v>0</v>
      </c>
      <c r="C222">
        <v>0</v>
      </c>
      <c r="D222">
        <v>1</v>
      </c>
      <c r="E222">
        <f t="shared" ref="E222:E285" si="6">AVERAGE(B195:B222)</f>
        <v>0</v>
      </c>
      <c r="F222">
        <f t="shared" ref="F222:F285" si="7">SUM(B195:B222)</f>
        <v>0</v>
      </c>
    </row>
    <row r="223" spans="1:6" x14ac:dyDescent="0.2">
      <c r="A223" s="3">
        <v>40793</v>
      </c>
      <c r="B223">
        <v>0</v>
      </c>
      <c r="C223">
        <v>0</v>
      </c>
      <c r="D223">
        <v>2</v>
      </c>
      <c r="E223">
        <f t="shared" si="6"/>
        <v>0</v>
      </c>
      <c r="F223">
        <f t="shared" si="7"/>
        <v>0</v>
      </c>
    </row>
    <row r="224" spans="1:6" x14ac:dyDescent="0.2">
      <c r="A224" s="3">
        <v>40794</v>
      </c>
      <c r="B224">
        <v>0</v>
      </c>
      <c r="C224">
        <v>1</v>
      </c>
      <c r="D224">
        <v>0</v>
      </c>
      <c r="E224">
        <f t="shared" si="6"/>
        <v>0</v>
      </c>
      <c r="F224">
        <f t="shared" si="7"/>
        <v>0</v>
      </c>
    </row>
    <row r="225" spans="1:6" x14ac:dyDescent="0.2">
      <c r="A225" s="3">
        <v>40795</v>
      </c>
      <c r="B225">
        <v>0</v>
      </c>
      <c r="C225">
        <v>0</v>
      </c>
      <c r="D225">
        <v>0</v>
      </c>
      <c r="E225">
        <f t="shared" si="6"/>
        <v>0</v>
      </c>
      <c r="F225">
        <f t="shared" si="7"/>
        <v>0</v>
      </c>
    </row>
    <row r="226" spans="1:6" x14ac:dyDescent="0.2">
      <c r="A226" s="3">
        <v>40796</v>
      </c>
      <c r="B226">
        <v>0</v>
      </c>
      <c r="C226">
        <v>1</v>
      </c>
      <c r="D226">
        <v>0</v>
      </c>
      <c r="E226">
        <f t="shared" si="6"/>
        <v>0</v>
      </c>
      <c r="F226">
        <f t="shared" si="7"/>
        <v>0</v>
      </c>
    </row>
    <row r="227" spans="1:6" x14ac:dyDescent="0.2">
      <c r="A227" s="3">
        <v>40797</v>
      </c>
      <c r="B227">
        <v>0</v>
      </c>
      <c r="C227">
        <v>1</v>
      </c>
      <c r="D227">
        <v>0</v>
      </c>
      <c r="E227">
        <f t="shared" si="6"/>
        <v>0</v>
      </c>
      <c r="F227">
        <f t="shared" si="7"/>
        <v>0</v>
      </c>
    </row>
    <row r="228" spans="1:6" x14ac:dyDescent="0.2">
      <c r="A228" s="3">
        <v>40798</v>
      </c>
      <c r="B228">
        <v>0</v>
      </c>
      <c r="C228">
        <v>0</v>
      </c>
      <c r="D228">
        <v>0</v>
      </c>
      <c r="E228">
        <f t="shared" si="6"/>
        <v>0</v>
      </c>
      <c r="F228">
        <f t="shared" si="7"/>
        <v>0</v>
      </c>
    </row>
    <row r="229" spans="1:6" x14ac:dyDescent="0.2">
      <c r="A229" s="3">
        <v>40799</v>
      </c>
      <c r="B229">
        <v>0</v>
      </c>
      <c r="C229">
        <v>0</v>
      </c>
      <c r="D229">
        <v>0</v>
      </c>
      <c r="E229">
        <f t="shared" si="6"/>
        <v>0</v>
      </c>
      <c r="F229">
        <f t="shared" si="7"/>
        <v>0</v>
      </c>
    </row>
    <row r="230" spans="1:6" x14ac:dyDescent="0.2">
      <c r="A230" s="3">
        <v>40800</v>
      </c>
      <c r="B230">
        <v>0</v>
      </c>
      <c r="C230">
        <v>0</v>
      </c>
      <c r="D230">
        <v>0</v>
      </c>
      <c r="E230">
        <f t="shared" si="6"/>
        <v>0</v>
      </c>
      <c r="F230">
        <f t="shared" si="7"/>
        <v>0</v>
      </c>
    </row>
    <row r="231" spans="1:6" x14ac:dyDescent="0.2">
      <c r="A231" s="3">
        <v>40801</v>
      </c>
      <c r="B231">
        <v>0</v>
      </c>
      <c r="C231">
        <v>0</v>
      </c>
      <c r="D231">
        <v>1</v>
      </c>
      <c r="E231">
        <f t="shared" si="6"/>
        <v>0</v>
      </c>
      <c r="F231">
        <f t="shared" si="7"/>
        <v>0</v>
      </c>
    </row>
    <row r="232" spans="1:6" x14ac:dyDescent="0.2">
      <c r="A232" s="3">
        <v>40802</v>
      </c>
      <c r="B232">
        <v>0</v>
      </c>
      <c r="C232">
        <v>0</v>
      </c>
      <c r="D232">
        <v>0</v>
      </c>
      <c r="E232">
        <f t="shared" si="6"/>
        <v>0</v>
      </c>
      <c r="F232">
        <f t="shared" si="7"/>
        <v>0</v>
      </c>
    </row>
    <row r="233" spans="1:6" x14ac:dyDescent="0.2">
      <c r="A233" s="3">
        <v>40803</v>
      </c>
      <c r="B233">
        <v>0</v>
      </c>
      <c r="C233">
        <v>3</v>
      </c>
      <c r="D233">
        <v>8</v>
      </c>
      <c r="E233">
        <f t="shared" si="6"/>
        <v>0</v>
      </c>
      <c r="F233">
        <f t="shared" si="7"/>
        <v>0</v>
      </c>
    </row>
    <row r="234" spans="1:6" x14ac:dyDescent="0.2">
      <c r="A234" s="3">
        <v>40804</v>
      </c>
      <c r="B234">
        <v>0</v>
      </c>
      <c r="C234">
        <v>2</v>
      </c>
      <c r="D234">
        <v>0</v>
      </c>
      <c r="E234">
        <f t="shared" si="6"/>
        <v>0</v>
      </c>
      <c r="F234">
        <f t="shared" si="7"/>
        <v>0</v>
      </c>
    </row>
    <row r="235" spans="1:6" x14ac:dyDescent="0.2">
      <c r="A235" s="3">
        <v>40805</v>
      </c>
      <c r="B235">
        <v>0</v>
      </c>
      <c r="C235">
        <v>0</v>
      </c>
      <c r="D235">
        <v>1</v>
      </c>
      <c r="E235">
        <f t="shared" si="6"/>
        <v>0</v>
      </c>
      <c r="F235">
        <f t="shared" si="7"/>
        <v>0</v>
      </c>
    </row>
    <row r="236" spans="1:6" x14ac:dyDescent="0.2">
      <c r="A236" s="3">
        <v>40806</v>
      </c>
      <c r="B236">
        <v>0</v>
      </c>
      <c r="C236">
        <v>0</v>
      </c>
      <c r="D236">
        <v>0</v>
      </c>
      <c r="E236">
        <f t="shared" si="6"/>
        <v>0</v>
      </c>
      <c r="F236">
        <f t="shared" si="7"/>
        <v>0</v>
      </c>
    </row>
    <row r="237" spans="1:6" x14ac:dyDescent="0.2">
      <c r="A237" s="3">
        <v>40807</v>
      </c>
      <c r="B237">
        <v>0</v>
      </c>
      <c r="C237">
        <v>0</v>
      </c>
      <c r="D237">
        <v>0</v>
      </c>
      <c r="E237">
        <f t="shared" si="6"/>
        <v>0</v>
      </c>
      <c r="F237">
        <f t="shared" si="7"/>
        <v>0</v>
      </c>
    </row>
    <row r="238" spans="1:6" x14ac:dyDescent="0.2">
      <c r="A238" s="3">
        <v>40808</v>
      </c>
      <c r="B238">
        <v>0</v>
      </c>
      <c r="C238">
        <v>0</v>
      </c>
      <c r="D238">
        <v>1</v>
      </c>
      <c r="E238">
        <f t="shared" si="6"/>
        <v>0</v>
      </c>
      <c r="F238">
        <f t="shared" si="7"/>
        <v>0</v>
      </c>
    </row>
    <row r="239" spans="1:6" x14ac:dyDescent="0.2">
      <c r="A239" s="3">
        <v>40809</v>
      </c>
      <c r="B239">
        <v>0</v>
      </c>
      <c r="C239">
        <v>0</v>
      </c>
      <c r="D239">
        <v>0</v>
      </c>
      <c r="E239">
        <f t="shared" si="6"/>
        <v>0</v>
      </c>
      <c r="F239">
        <f t="shared" si="7"/>
        <v>0</v>
      </c>
    </row>
    <row r="240" spans="1:6" x14ac:dyDescent="0.2">
      <c r="A240" s="3">
        <v>40810</v>
      </c>
      <c r="B240">
        <v>0</v>
      </c>
      <c r="C240">
        <v>0</v>
      </c>
      <c r="D240">
        <v>2</v>
      </c>
      <c r="E240">
        <f t="shared" si="6"/>
        <v>0</v>
      </c>
      <c r="F240">
        <f t="shared" si="7"/>
        <v>0</v>
      </c>
    </row>
    <row r="241" spans="1:6" x14ac:dyDescent="0.2">
      <c r="A241" s="3">
        <v>40811</v>
      </c>
      <c r="B241">
        <v>0</v>
      </c>
      <c r="C241">
        <v>0</v>
      </c>
      <c r="D241">
        <v>1</v>
      </c>
      <c r="E241">
        <f t="shared" si="6"/>
        <v>0</v>
      </c>
      <c r="F241">
        <f t="shared" si="7"/>
        <v>0</v>
      </c>
    </row>
    <row r="242" spans="1:6" x14ac:dyDescent="0.2">
      <c r="A242" s="3">
        <v>40812</v>
      </c>
      <c r="B242">
        <v>0</v>
      </c>
      <c r="C242">
        <v>1</v>
      </c>
      <c r="D242">
        <v>0</v>
      </c>
      <c r="E242">
        <f t="shared" si="6"/>
        <v>0</v>
      </c>
      <c r="F242">
        <f t="shared" si="7"/>
        <v>0</v>
      </c>
    </row>
    <row r="243" spans="1:6" x14ac:dyDescent="0.2">
      <c r="A243" s="3">
        <v>40813</v>
      </c>
      <c r="B243">
        <v>0</v>
      </c>
      <c r="C243">
        <v>3</v>
      </c>
      <c r="D243">
        <v>0</v>
      </c>
      <c r="E243">
        <f t="shared" si="6"/>
        <v>0</v>
      </c>
      <c r="F243">
        <f t="shared" si="7"/>
        <v>0</v>
      </c>
    </row>
    <row r="244" spans="1:6" x14ac:dyDescent="0.2">
      <c r="A244" s="3">
        <v>40814</v>
      </c>
      <c r="B244">
        <v>0</v>
      </c>
      <c r="C244">
        <v>2</v>
      </c>
      <c r="D244">
        <v>0</v>
      </c>
      <c r="E244">
        <f t="shared" si="6"/>
        <v>0</v>
      </c>
      <c r="F244">
        <f t="shared" si="7"/>
        <v>0</v>
      </c>
    </row>
    <row r="245" spans="1:6" x14ac:dyDescent="0.2">
      <c r="A245" s="3">
        <v>40815</v>
      </c>
      <c r="B245">
        <v>0</v>
      </c>
      <c r="C245">
        <v>0</v>
      </c>
      <c r="D245">
        <v>0</v>
      </c>
      <c r="E245">
        <f t="shared" si="6"/>
        <v>0</v>
      </c>
      <c r="F245">
        <f t="shared" si="7"/>
        <v>0</v>
      </c>
    </row>
    <row r="246" spans="1:6" x14ac:dyDescent="0.2">
      <c r="A246" s="3">
        <v>40816</v>
      </c>
      <c r="B246">
        <v>0</v>
      </c>
      <c r="C246">
        <v>0</v>
      </c>
      <c r="D246">
        <v>1</v>
      </c>
      <c r="E246">
        <f t="shared" si="6"/>
        <v>0</v>
      </c>
      <c r="F246">
        <f t="shared" si="7"/>
        <v>0</v>
      </c>
    </row>
    <row r="247" spans="1:6" x14ac:dyDescent="0.2">
      <c r="A247" s="3">
        <v>40817</v>
      </c>
      <c r="B247">
        <v>0</v>
      </c>
      <c r="C247">
        <v>3</v>
      </c>
      <c r="D247">
        <v>0</v>
      </c>
      <c r="E247">
        <f t="shared" si="6"/>
        <v>0</v>
      </c>
      <c r="F247">
        <f t="shared" si="7"/>
        <v>0</v>
      </c>
    </row>
    <row r="248" spans="1:6" x14ac:dyDescent="0.2">
      <c r="A248" s="3">
        <v>40818</v>
      </c>
      <c r="B248">
        <v>0</v>
      </c>
      <c r="C248">
        <v>0</v>
      </c>
      <c r="D248">
        <v>0</v>
      </c>
      <c r="E248">
        <f t="shared" si="6"/>
        <v>0</v>
      </c>
      <c r="F248">
        <f t="shared" si="7"/>
        <v>0</v>
      </c>
    </row>
    <row r="249" spans="1:6" x14ac:dyDescent="0.2">
      <c r="A249" s="3">
        <v>40819</v>
      </c>
      <c r="B249">
        <v>0</v>
      </c>
      <c r="C249">
        <v>1</v>
      </c>
      <c r="D249">
        <v>1</v>
      </c>
      <c r="E249">
        <f t="shared" si="6"/>
        <v>0</v>
      </c>
      <c r="F249">
        <f t="shared" si="7"/>
        <v>0</v>
      </c>
    </row>
    <row r="250" spans="1:6" x14ac:dyDescent="0.2">
      <c r="A250" s="3">
        <v>40820</v>
      </c>
      <c r="B250">
        <v>0</v>
      </c>
      <c r="C250">
        <v>0</v>
      </c>
      <c r="D250">
        <v>2</v>
      </c>
      <c r="E250">
        <f t="shared" si="6"/>
        <v>0</v>
      </c>
      <c r="F250">
        <f t="shared" si="7"/>
        <v>0</v>
      </c>
    </row>
    <row r="251" spans="1:6" x14ac:dyDescent="0.2">
      <c r="A251" s="3">
        <v>40821</v>
      </c>
      <c r="B251">
        <v>0</v>
      </c>
      <c r="C251">
        <v>0</v>
      </c>
      <c r="D251">
        <v>0</v>
      </c>
      <c r="E251">
        <f t="shared" si="6"/>
        <v>0</v>
      </c>
      <c r="F251">
        <f t="shared" si="7"/>
        <v>0</v>
      </c>
    </row>
    <row r="252" spans="1:6" x14ac:dyDescent="0.2">
      <c r="A252" s="3">
        <v>40822</v>
      </c>
      <c r="B252">
        <v>0</v>
      </c>
      <c r="C252">
        <v>0</v>
      </c>
      <c r="D252">
        <v>2</v>
      </c>
      <c r="E252">
        <f t="shared" si="6"/>
        <v>0</v>
      </c>
      <c r="F252">
        <f t="shared" si="7"/>
        <v>0</v>
      </c>
    </row>
    <row r="253" spans="1:6" x14ac:dyDescent="0.2">
      <c r="A253" s="3">
        <v>40823</v>
      </c>
      <c r="B253">
        <v>0</v>
      </c>
      <c r="C253">
        <v>0</v>
      </c>
      <c r="D253">
        <v>1</v>
      </c>
      <c r="E253">
        <f t="shared" si="6"/>
        <v>0</v>
      </c>
      <c r="F253">
        <f t="shared" si="7"/>
        <v>0</v>
      </c>
    </row>
    <row r="254" spans="1:6" x14ac:dyDescent="0.2">
      <c r="A254" s="3">
        <v>40824</v>
      </c>
      <c r="B254">
        <v>0</v>
      </c>
      <c r="C254">
        <v>1</v>
      </c>
      <c r="D254">
        <v>2</v>
      </c>
      <c r="E254">
        <f t="shared" si="6"/>
        <v>0</v>
      </c>
      <c r="F254">
        <f t="shared" si="7"/>
        <v>0</v>
      </c>
    </row>
    <row r="255" spans="1:6" x14ac:dyDescent="0.2">
      <c r="A255" s="3">
        <v>40825</v>
      </c>
      <c r="B255">
        <v>0</v>
      </c>
      <c r="C255">
        <v>2</v>
      </c>
      <c r="D255">
        <v>1</v>
      </c>
      <c r="E255">
        <f t="shared" si="6"/>
        <v>0</v>
      </c>
      <c r="F255">
        <f t="shared" si="7"/>
        <v>0</v>
      </c>
    </row>
    <row r="256" spans="1:6" x14ac:dyDescent="0.2">
      <c r="A256" s="3">
        <v>40826</v>
      </c>
      <c r="B256">
        <v>0</v>
      </c>
      <c r="C256">
        <v>1</v>
      </c>
      <c r="D256">
        <v>2</v>
      </c>
      <c r="E256">
        <f t="shared" si="6"/>
        <v>0</v>
      </c>
      <c r="F256">
        <f t="shared" si="7"/>
        <v>0</v>
      </c>
    </row>
    <row r="257" spans="1:6" x14ac:dyDescent="0.2">
      <c r="A257" s="3">
        <v>40827</v>
      </c>
      <c r="B257">
        <v>0</v>
      </c>
      <c r="C257">
        <v>0</v>
      </c>
      <c r="D257">
        <v>2</v>
      </c>
      <c r="E257">
        <f t="shared" si="6"/>
        <v>0</v>
      </c>
      <c r="F257">
        <f t="shared" si="7"/>
        <v>0</v>
      </c>
    </row>
    <row r="258" spans="1:6" x14ac:dyDescent="0.2">
      <c r="A258" s="3">
        <v>40828</v>
      </c>
      <c r="B258">
        <v>0</v>
      </c>
      <c r="C258">
        <v>0</v>
      </c>
      <c r="D258">
        <v>0</v>
      </c>
      <c r="E258">
        <f t="shared" si="6"/>
        <v>0</v>
      </c>
      <c r="F258">
        <f t="shared" si="7"/>
        <v>0</v>
      </c>
    </row>
    <row r="259" spans="1:6" x14ac:dyDescent="0.2">
      <c r="A259" s="3">
        <v>40829</v>
      </c>
      <c r="B259">
        <v>0</v>
      </c>
      <c r="C259">
        <v>0</v>
      </c>
      <c r="D259">
        <v>0</v>
      </c>
      <c r="E259">
        <f t="shared" si="6"/>
        <v>0</v>
      </c>
      <c r="F259">
        <f t="shared" si="7"/>
        <v>0</v>
      </c>
    </row>
    <row r="260" spans="1:6" x14ac:dyDescent="0.2">
      <c r="A260" s="3">
        <v>40830</v>
      </c>
      <c r="B260">
        <v>0</v>
      </c>
      <c r="C260">
        <v>2</v>
      </c>
      <c r="D260">
        <v>0</v>
      </c>
      <c r="E260">
        <f t="shared" si="6"/>
        <v>0</v>
      </c>
      <c r="F260">
        <f t="shared" si="7"/>
        <v>0</v>
      </c>
    </row>
    <row r="261" spans="1:6" x14ac:dyDescent="0.2">
      <c r="A261" s="3">
        <v>40831</v>
      </c>
      <c r="B261">
        <v>0</v>
      </c>
      <c r="C261">
        <v>1</v>
      </c>
      <c r="D261">
        <v>1</v>
      </c>
      <c r="E261">
        <f t="shared" si="6"/>
        <v>0</v>
      </c>
      <c r="F261">
        <f t="shared" si="7"/>
        <v>0</v>
      </c>
    </row>
    <row r="262" spans="1:6" x14ac:dyDescent="0.2">
      <c r="A262" s="3">
        <v>40832</v>
      </c>
      <c r="B262">
        <v>0</v>
      </c>
      <c r="C262">
        <v>3</v>
      </c>
      <c r="D262">
        <v>0</v>
      </c>
      <c r="E262">
        <f t="shared" si="6"/>
        <v>0</v>
      </c>
      <c r="F262">
        <f t="shared" si="7"/>
        <v>0</v>
      </c>
    </row>
    <row r="263" spans="1:6" x14ac:dyDescent="0.2">
      <c r="A263" s="3">
        <v>40833</v>
      </c>
      <c r="B263">
        <v>0</v>
      </c>
      <c r="C263">
        <v>1</v>
      </c>
      <c r="D263">
        <v>1</v>
      </c>
      <c r="E263">
        <f t="shared" si="6"/>
        <v>0</v>
      </c>
      <c r="F263">
        <f t="shared" si="7"/>
        <v>0</v>
      </c>
    </row>
    <row r="264" spans="1:6" x14ac:dyDescent="0.2">
      <c r="A264" s="3">
        <v>40834</v>
      </c>
      <c r="B264">
        <v>0</v>
      </c>
      <c r="C264">
        <v>0</v>
      </c>
      <c r="D264">
        <v>2</v>
      </c>
      <c r="E264">
        <f t="shared" si="6"/>
        <v>0</v>
      </c>
      <c r="F264">
        <f t="shared" si="7"/>
        <v>0</v>
      </c>
    </row>
    <row r="265" spans="1:6" x14ac:dyDescent="0.2">
      <c r="A265" s="3">
        <v>40835</v>
      </c>
      <c r="B265">
        <v>0</v>
      </c>
      <c r="C265">
        <v>0</v>
      </c>
      <c r="D265">
        <v>0</v>
      </c>
      <c r="E265">
        <f t="shared" si="6"/>
        <v>0</v>
      </c>
      <c r="F265">
        <f t="shared" si="7"/>
        <v>0</v>
      </c>
    </row>
    <row r="266" spans="1:6" x14ac:dyDescent="0.2">
      <c r="A266" s="3">
        <v>40836</v>
      </c>
      <c r="B266">
        <v>0</v>
      </c>
      <c r="C266">
        <v>1</v>
      </c>
      <c r="D266">
        <v>1</v>
      </c>
      <c r="E266">
        <f t="shared" si="6"/>
        <v>0</v>
      </c>
      <c r="F266">
        <f t="shared" si="7"/>
        <v>0</v>
      </c>
    </row>
    <row r="267" spans="1:6" x14ac:dyDescent="0.2">
      <c r="A267" s="3">
        <v>40837</v>
      </c>
      <c r="B267">
        <v>0</v>
      </c>
      <c r="C267">
        <v>0</v>
      </c>
      <c r="D267">
        <v>1</v>
      </c>
      <c r="E267">
        <f t="shared" si="6"/>
        <v>0</v>
      </c>
      <c r="F267">
        <f t="shared" si="7"/>
        <v>0</v>
      </c>
    </row>
    <row r="268" spans="1:6" x14ac:dyDescent="0.2">
      <c r="A268" s="3">
        <v>40838</v>
      </c>
      <c r="B268">
        <v>0</v>
      </c>
      <c r="C268">
        <v>0</v>
      </c>
      <c r="D268">
        <v>0</v>
      </c>
      <c r="E268">
        <f t="shared" si="6"/>
        <v>0</v>
      </c>
      <c r="F268">
        <f t="shared" si="7"/>
        <v>0</v>
      </c>
    </row>
    <row r="269" spans="1:6" x14ac:dyDescent="0.2">
      <c r="A269" s="3">
        <v>40839</v>
      </c>
      <c r="B269">
        <v>0</v>
      </c>
      <c r="C269">
        <v>0</v>
      </c>
      <c r="D269">
        <v>3</v>
      </c>
      <c r="E269">
        <f t="shared" si="6"/>
        <v>0</v>
      </c>
      <c r="F269">
        <f t="shared" si="7"/>
        <v>0</v>
      </c>
    </row>
    <row r="270" spans="1:6" x14ac:dyDescent="0.2">
      <c r="A270" s="3">
        <v>40840</v>
      </c>
      <c r="B270">
        <v>0</v>
      </c>
      <c r="C270">
        <v>2</v>
      </c>
      <c r="D270">
        <v>0</v>
      </c>
      <c r="E270">
        <f t="shared" si="6"/>
        <v>0</v>
      </c>
      <c r="F270">
        <f t="shared" si="7"/>
        <v>0</v>
      </c>
    </row>
    <row r="271" spans="1:6" x14ac:dyDescent="0.2">
      <c r="A271" s="3">
        <v>40841</v>
      </c>
      <c r="B271">
        <v>0</v>
      </c>
      <c r="C271">
        <v>0</v>
      </c>
      <c r="D271">
        <v>0</v>
      </c>
      <c r="E271">
        <f t="shared" si="6"/>
        <v>0</v>
      </c>
      <c r="F271">
        <f t="shared" si="7"/>
        <v>0</v>
      </c>
    </row>
    <row r="272" spans="1:6" x14ac:dyDescent="0.2">
      <c r="A272" s="3">
        <v>40842</v>
      </c>
      <c r="B272">
        <v>0</v>
      </c>
      <c r="C272">
        <v>0</v>
      </c>
      <c r="D272">
        <v>4</v>
      </c>
      <c r="E272">
        <f t="shared" si="6"/>
        <v>0</v>
      </c>
      <c r="F272">
        <f t="shared" si="7"/>
        <v>0</v>
      </c>
    </row>
    <row r="273" spans="1:6" x14ac:dyDescent="0.2">
      <c r="A273" s="3">
        <v>40843</v>
      </c>
      <c r="B273">
        <v>0</v>
      </c>
      <c r="C273">
        <v>0</v>
      </c>
      <c r="D273">
        <v>0</v>
      </c>
      <c r="E273">
        <f t="shared" si="6"/>
        <v>0</v>
      </c>
      <c r="F273">
        <f t="shared" si="7"/>
        <v>0</v>
      </c>
    </row>
    <row r="274" spans="1:6" x14ac:dyDescent="0.2">
      <c r="A274" s="3">
        <v>40844</v>
      </c>
      <c r="B274">
        <v>0</v>
      </c>
      <c r="C274">
        <v>2</v>
      </c>
      <c r="D274">
        <v>2</v>
      </c>
      <c r="E274">
        <f t="shared" si="6"/>
        <v>0</v>
      </c>
      <c r="F274">
        <f t="shared" si="7"/>
        <v>0</v>
      </c>
    </row>
    <row r="275" spans="1:6" x14ac:dyDescent="0.2">
      <c r="A275" s="3">
        <v>40845</v>
      </c>
      <c r="B275">
        <v>0</v>
      </c>
      <c r="C275">
        <v>1</v>
      </c>
      <c r="D275">
        <v>3</v>
      </c>
      <c r="E275">
        <f t="shared" si="6"/>
        <v>0</v>
      </c>
      <c r="F275">
        <f t="shared" si="7"/>
        <v>0</v>
      </c>
    </row>
    <row r="276" spans="1:6" x14ac:dyDescent="0.2">
      <c r="A276" s="3">
        <v>40846</v>
      </c>
      <c r="B276">
        <v>0</v>
      </c>
      <c r="C276">
        <v>2</v>
      </c>
      <c r="D276">
        <v>2</v>
      </c>
      <c r="E276">
        <f t="shared" si="6"/>
        <v>0</v>
      </c>
      <c r="F276">
        <f t="shared" si="7"/>
        <v>0</v>
      </c>
    </row>
    <row r="277" spans="1:6" x14ac:dyDescent="0.2">
      <c r="A277" s="3">
        <v>40847</v>
      </c>
      <c r="B277">
        <v>0</v>
      </c>
      <c r="C277">
        <v>1</v>
      </c>
      <c r="D277">
        <v>0</v>
      </c>
      <c r="E277">
        <f t="shared" si="6"/>
        <v>0</v>
      </c>
      <c r="F277">
        <f t="shared" si="7"/>
        <v>0</v>
      </c>
    </row>
    <row r="278" spans="1:6" x14ac:dyDescent="0.2">
      <c r="A278" s="3">
        <v>40848</v>
      </c>
      <c r="B278">
        <v>0</v>
      </c>
      <c r="C278">
        <v>0</v>
      </c>
      <c r="D278">
        <v>1</v>
      </c>
      <c r="E278">
        <f t="shared" si="6"/>
        <v>0</v>
      </c>
      <c r="F278">
        <f t="shared" si="7"/>
        <v>0</v>
      </c>
    </row>
    <row r="279" spans="1:6" x14ac:dyDescent="0.2">
      <c r="A279" s="3">
        <v>40849</v>
      </c>
      <c r="B279">
        <v>3</v>
      </c>
      <c r="C279">
        <v>0</v>
      </c>
      <c r="D279">
        <v>1</v>
      </c>
      <c r="E279">
        <f t="shared" si="6"/>
        <v>0.10714285714285714</v>
      </c>
      <c r="F279">
        <f t="shared" si="7"/>
        <v>3</v>
      </c>
    </row>
    <row r="280" spans="1:6" x14ac:dyDescent="0.2">
      <c r="A280" s="3">
        <v>40850</v>
      </c>
      <c r="B280">
        <v>1</v>
      </c>
      <c r="C280">
        <v>0</v>
      </c>
      <c r="D280">
        <v>0</v>
      </c>
      <c r="E280">
        <f t="shared" si="6"/>
        <v>0.14285714285714285</v>
      </c>
      <c r="F280">
        <f t="shared" si="7"/>
        <v>4</v>
      </c>
    </row>
    <row r="281" spans="1:6" x14ac:dyDescent="0.2">
      <c r="A281" s="3">
        <v>40851</v>
      </c>
      <c r="B281">
        <v>4</v>
      </c>
      <c r="C281">
        <v>3</v>
      </c>
      <c r="D281">
        <v>2</v>
      </c>
      <c r="E281">
        <f t="shared" si="6"/>
        <v>0.2857142857142857</v>
      </c>
      <c r="F281">
        <f t="shared" si="7"/>
        <v>8</v>
      </c>
    </row>
    <row r="282" spans="1:6" x14ac:dyDescent="0.2">
      <c r="A282" s="3">
        <v>40852</v>
      </c>
      <c r="B282">
        <v>2</v>
      </c>
      <c r="C282">
        <v>1</v>
      </c>
      <c r="D282">
        <v>0</v>
      </c>
      <c r="E282">
        <f t="shared" si="6"/>
        <v>0.35714285714285715</v>
      </c>
      <c r="F282">
        <f t="shared" si="7"/>
        <v>10</v>
      </c>
    </row>
    <row r="283" spans="1:6" x14ac:dyDescent="0.2">
      <c r="A283" s="3">
        <v>40853</v>
      </c>
      <c r="B283">
        <v>1</v>
      </c>
      <c r="C283">
        <v>1</v>
      </c>
      <c r="D283">
        <v>0</v>
      </c>
      <c r="E283">
        <f t="shared" si="6"/>
        <v>0.39285714285714285</v>
      </c>
      <c r="F283">
        <f t="shared" si="7"/>
        <v>11</v>
      </c>
    </row>
    <row r="284" spans="1:6" x14ac:dyDescent="0.2">
      <c r="A284" s="3">
        <v>40854</v>
      </c>
      <c r="B284">
        <v>0</v>
      </c>
      <c r="C284">
        <v>0</v>
      </c>
      <c r="D284">
        <v>0</v>
      </c>
      <c r="E284">
        <f t="shared" si="6"/>
        <v>0.39285714285714285</v>
      </c>
      <c r="F284">
        <f t="shared" si="7"/>
        <v>11</v>
      </c>
    </row>
    <row r="285" spans="1:6" x14ac:dyDescent="0.2">
      <c r="A285" s="3">
        <v>40855</v>
      </c>
      <c r="B285">
        <v>2</v>
      </c>
      <c r="C285">
        <v>1</v>
      </c>
      <c r="D285">
        <v>0</v>
      </c>
      <c r="E285">
        <f t="shared" si="6"/>
        <v>0.4642857142857143</v>
      </c>
      <c r="F285">
        <f t="shared" si="7"/>
        <v>13</v>
      </c>
    </row>
    <row r="286" spans="1:6" x14ac:dyDescent="0.2">
      <c r="A286" s="3">
        <v>40856</v>
      </c>
      <c r="B286">
        <v>1</v>
      </c>
      <c r="C286">
        <v>3</v>
      </c>
      <c r="D286">
        <v>1</v>
      </c>
      <c r="E286">
        <f t="shared" ref="E286:E349" si="8">AVERAGE(B259:B286)</f>
        <v>0.5</v>
      </c>
      <c r="F286">
        <f t="shared" ref="F286:F349" si="9">SUM(B259:B286)</f>
        <v>14</v>
      </c>
    </row>
    <row r="287" spans="1:6" x14ac:dyDescent="0.2">
      <c r="A287" s="3">
        <v>40857</v>
      </c>
      <c r="B287">
        <v>0</v>
      </c>
      <c r="C287">
        <v>0</v>
      </c>
      <c r="D287">
        <v>1</v>
      </c>
      <c r="E287">
        <f t="shared" si="8"/>
        <v>0.5</v>
      </c>
      <c r="F287">
        <f t="shared" si="9"/>
        <v>14</v>
      </c>
    </row>
    <row r="288" spans="1:6" x14ac:dyDescent="0.2">
      <c r="A288" s="3">
        <v>40858</v>
      </c>
      <c r="B288">
        <v>1</v>
      </c>
      <c r="C288">
        <v>0</v>
      </c>
      <c r="D288">
        <v>0</v>
      </c>
      <c r="E288">
        <f t="shared" si="8"/>
        <v>0.5357142857142857</v>
      </c>
      <c r="F288">
        <f t="shared" si="9"/>
        <v>15</v>
      </c>
    </row>
    <row r="289" spans="1:6" x14ac:dyDescent="0.2">
      <c r="A289" s="3">
        <v>40859</v>
      </c>
      <c r="B289">
        <v>0</v>
      </c>
      <c r="C289">
        <v>0</v>
      </c>
      <c r="D289">
        <v>2</v>
      </c>
      <c r="E289">
        <f t="shared" si="8"/>
        <v>0.5357142857142857</v>
      </c>
      <c r="F289">
        <f t="shared" si="9"/>
        <v>15</v>
      </c>
    </row>
    <row r="290" spans="1:6" x14ac:dyDescent="0.2">
      <c r="A290" s="3">
        <v>40860</v>
      </c>
      <c r="B290">
        <v>6</v>
      </c>
      <c r="C290">
        <v>0</v>
      </c>
      <c r="D290">
        <v>0</v>
      </c>
      <c r="E290">
        <f t="shared" si="8"/>
        <v>0.75</v>
      </c>
      <c r="F290">
        <f t="shared" si="9"/>
        <v>21</v>
      </c>
    </row>
    <row r="291" spans="1:6" x14ac:dyDescent="0.2">
      <c r="A291" s="3">
        <v>40861</v>
      </c>
      <c r="B291">
        <v>1</v>
      </c>
      <c r="C291">
        <v>1</v>
      </c>
      <c r="D291">
        <v>0</v>
      </c>
      <c r="E291">
        <f t="shared" si="8"/>
        <v>0.7857142857142857</v>
      </c>
      <c r="F291">
        <f t="shared" si="9"/>
        <v>22</v>
      </c>
    </row>
    <row r="292" spans="1:6" x14ac:dyDescent="0.2">
      <c r="A292" s="3">
        <v>40862</v>
      </c>
      <c r="B292">
        <v>0</v>
      </c>
      <c r="C292">
        <v>1</v>
      </c>
      <c r="D292">
        <v>1</v>
      </c>
      <c r="E292">
        <f t="shared" si="8"/>
        <v>0.7857142857142857</v>
      </c>
      <c r="F292">
        <f t="shared" si="9"/>
        <v>22</v>
      </c>
    </row>
    <row r="293" spans="1:6" x14ac:dyDescent="0.2">
      <c r="A293" s="3">
        <v>40863</v>
      </c>
      <c r="B293">
        <v>0</v>
      </c>
      <c r="C293">
        <v>1</v>
      </c>
      <c r="D293">
        <v>0</v>
      </c>
      <c r="E293">
        <f t="shared" si="8"/>
        <v>0.7857142857142857</v>
      </c>
      <c r="F293">
        <f t="shared" si="9"/>
        <v>22</v>
      </c>
    </row>
    <row r="294" spans="1:6" x14ac:dyDescent="0.2">
      <c r="A294" s="3">
        <v>40864</v>
      </c>
      <c r="B294">
        <v>0</v>
      </c>
      <c r="C294">
        <v>1</v>
      </c>
      <c r="D294">
        <v>1</v>
      </c>
      <c r="E294">
        <f t="shared" si="8"/>
        <v>0.7857142857142857</v>
      </c>
      <c r="F294">
        <f t="shared" si="9"/>
        <v>22</v>
      </c>
    </row>
    <row r="295" spans="1:6" x14ac:dyDescent="0.2">
      <c r="A295" s="3">
        <v>40865</v>
      </c>
      <c r="B295">
        <v>1</v>
      </c>
      <c r="C295">
        <v>4</v>
      </c>
      <c r="D295">
        <v>1</v>
      </c>
      <c r="E295">
        <f t="shared" si="8"/>
        <v>0.8214285714285714</v>
      </c>
      <c r="F295">
        <f t="shared" si="9"/>
        <v>23</v>
      </c>
    </row>
    <row r="296" spans="1:6" x14ac:dyDescent="0.2">
      <c r="A296" s="3">
        <v>40866</v>
      </c>
      <c r="B296">
        <v>3</v>
      </c>
      <c r="C296">
        <v>0</v>
      </c>
      <c r="D296">
        <v>3</v>
      </c>
      <c r="E296">
        <f t="shared" si="8"/>
        <v>0.9285714285714286</v>
      </c>
      <c r="F296">
        <f t="shared" si="9"/>
        <v>26</v>
      </c>
    </row>
    <row r="297" spans="1:6" x14ac:dyDescent="0.2">
      <c r="A297" s="3">
        <v>40867</v>
      </c>
      <c r="B297">
        <v>4</v>
      </c>
      <c r="C297">
        <v>2</v>
      </c>
      <c r="D297">
        <v>3</v>
      </c>
      <c r="E297">
        <f t="shared" si="8"/>
        <v>1.0714285714285714</v>
      </c>
      <c r="F297">
        <f t="shared" si="9"/>
        <v>30</v>
      </c>
    </row>
    <row r="298" spans="1:6" x14ac:dyDescent="0.2">
      <c r="A298" s="3">
        <v>40868</v>
      </c>
      <c r="B298">
        <v>0</v>
      </c>
      <c r="C298">
        <v>1</v>
      </c>
      <c r="D298">
        <v>0</v>
      </c>
      <c r="E298">
        <f t="shared" si="8"/>
        <v>1.0714285714285714</v>
      </c>
      <c r="F298">
        <f t="shared" si="9"/>
        <v>30</v>
      </c>
    </row>
    <row r="299" spans="1:6" x14ac:dyDescent="0.2">
      <c r="A299" s="3">
        <v>40869</v>
      </c>
      <c r="B299">
        <v>0</v>
      </c>
      <c r="C299">
        <v>2</v>
      </c>
      <c r="D299">
        <v>1</v>
      </c>
      <c r="E299">
        <f t="shared" si="8"/>
        <v>1.0714285714285714</v>
      </c>
      <c r="F299">
        <f t="shared" si="9"/>
        <v>30</v>
      </c>
    </row>
    <row r="300" spans="1:6" x14ac:dyDescent="0.2">
      <c r="A300" s="3">
        <v>40870</v>
      </c>
      <c r="B300">
        <v>1</v>
      </c>
      <c r="C300">
        <v>1</v>
      </c>
      <c r="D300">
        <v>0</v>
      </c>
      <c r="E300">
        <f t="shared" si="8"/>
        <v>1.1071428571428572</v>
      </c>
      <c r="F300">
        <f t="shared" si="9"/>
        <v>31</v>
      </c>
    </row>
    <row r="301" spans="1:6" x14ac:dyDescent="0.2">
      <c r="A301" s="3">
        <v>40871</v>
      </c>
      <c r="B301">
        <v>0</v>
      </c>
      <c r="C301">
        <v>0</v>
      </c>
      <c r="D301">
        <v>0</v>
      </c>
      <c r="E301">
        <f t="shared" si="8"/>
        <v>1.1071428571428572</v>
      </c>
      <c r="F301">
        <f t="shared" si="9"/>
        <v>31</v>
      </c>
    </row>
    <row r="302" spans="1:6" x14ac:dyDescent="0.2">
      <c r="A302" s="3">
        <v>40872</v>
      </c>
      <c r="B302">
        <v>2</v>
      </c>
      <c r="C302">
        <v>1</v>
      </c>
      <c r="D302">
        <v>2</v>
      </c>
      <c r="E302">
        <f t="shared" si="8"/>
        <v>1.1785714285714286</v>
      </c>
      <c r="F302">
        <f t="shared" si="9"/>
        <v>33</v>
      </c>
    </row>
    <row r="303" spans="1:6" x14ac:dyDescent="0.2">
      <c r="A303" s="3">
        <v>40873</v>
      </c>
      <c r="B303">
        <v>0</v>
      </c>
      <c r="C303">
        <v>0</v>
      </c>
      <c r="D303">
        <v>0</v>
      </c>
      <c r="E303">
        <f t="shared" si="8"/>
        <v>1.1785714285714286</v>
      </c>
      <c r="F303">
        <f t="shared" si="9"/>
        <v>33</v>
      </c>
    </row>
    <row r="304" spans="1:6" x14ac:dyDescent="0.2">
      <c r="A304" s="3">
        <v>40874</v>
      </c>
      <c r="B304">
        <v>0</v>
      </c>
      <c r="C304">
        <v>1</v>
      </c>
      <c r="D304">
        <v>0</v>
      </c>
      <c r="E304">
        <f t="shared" si="8"/>
        <v>1.1785714285714286</v>
      </c>
      <c r="F304">
        <f t="shared" si="9"/>
        <v>33</v>
      </c>
    </row>
    <row r="305" spans="1:6" x14ac:dyDescent="0.2">
      <c r="A305" s="3">
        <v>40875</v>
      </c>
      <c r="B305">
        <v>1</v>
      </c>
      <c r="C305">
        <v>1</v>
      </c>
      <c r="D305">
        <v>0</v>
      </c>
      <c r="E305">
        <f t="shared" si="8"/>
        <v>1.2142857142857142</v>
      </c>
      <c r="F305">
        <f t="shared" si="9"/>
        <v>34</v>
      </c>
    </row>
    <row r="306" spans="1:6" x14ac:dyDescent="0.2">
      <c r="A306" s="3">
        <v>40876</v>
      </c>
      <c r="B306">
        <v>0</v>
      </c>
      <c r="C306">
        <v>0</v>
      </c>
      <c r="D306">
        <v>0</v>
      </c>
      <c r="E306">
        <f t="shared" si="8"/>
        <v>1.2142857142857142</v>
      </c>
      <c r="F306">
        <f t="shared" si="9"/>
        <v>34</v>
      </c>
    </row>
    <row r="307" spans="1:6" x14ac:dyDescent="0.2">
      <c r="A307" s="3">
        <v>40877</v>
      </c>
      <c r="B307">
        <v>8</v>
      </c>
      <c r="C307">
        <v>0</v>
      </c>
      <c r="D307">
        <v>2</v>
      </c>
      <c r="E307">
        <f t="shared" si="8"/>
        <v>1.3928571428571428</v>
      </c>
      <c r="F307">
        <f t="shared" si="9"/>
        <v>39</v>
      </c>
    </row>
    <row r="308" spans="1:6" x14ac:dyDescent="0.2">
      <c r="A308" s="3">
        <v>40878</v>
      </c>
      <c r="B308">
        <v>3</v>
      </c>
      <c r="C308">
        <v>0</v>
      </c>
      <c r="D308">
        <v>1</v>
      </c>
      <c r="E308">
        <f t="shared" si="8"/>
        <v>1.4642857142857142</v>
      </c>
      <c r="F308">
        <f t="shared" si="9"/>
        <v>41</v>
      </c>
    </row>
    <row r="309" spans="1:6" x14ac:dyDescent="0.2">
      <c r="A309" s="3">
        <v>40879</v>
      </c>
      <c r="B309">
        <v>1</v>
      </c>
      <c r="C309">
        <v>2</v>
      </c>
      <c r="D309">
        <v>0</v>
      </c>
      <c r="E309">
        <f t="shared" si="8"/>
        <v>1.3571428571428572</v>
      </c>
      <c r="F309">
        <f t="shared" si="9"/>
        <v>38</v>
      </c>
    </row>
    <row r="310" spans="1:6" x14ac:dyDescent="0.2">
      <c r="A310" s="3">
        <v>40880</v>
      </c>
      <c r="B310">
        <v>1</v>
      </c>
      <c r="C310">
        <v>2</v>
      </c>
      <c r="D310">
        <v>1</v>
      </c>
      <c r="E310">
        <f t="shared" si="8"/>
        <v>1.3214285714285714</v>
      </c>
      <c r="F310">
        <f t="shared" si="9"/>
        <v>37</v>
      </c>
    </row>
    <row r="311" spans="1:6" x14ac:dyDescent="0.2">
      <c r="A311" s="3">
        <v>40881</v>
      </c>
      <c r="B311">
        <v>5</v>
      </c>
      <c r="C311">
        <v>1</v>
      </c>
      <c r="D311">
        <v>2</v>
      </c>
      <c r="E311">
        <f t="shared" si="8"/>
        <v>1.4642857142857142</v>
      </c>
      <c r="F311">
        <f t="shared" si="9"/>
        <v>41</v>
      </c>
    </row>
    <row r="312" spans="1:6" x14ac:dyDescent="0.2">
      <c r="A312" s="3">
        <v>40882</v>
      </c>
      <c r="B312">
        <v>3</v>
      </c>
      <c r="C312">
        <v>2</v>
      </c>
      <c r="D312">
        <v>0</v>
      </c>
      <c r="E312">
        <f t="shared" si="8"/>
        <v>1.5714285714285714</v>
      </c>
      <c r="F312">
        <f t="shared" si="9"/>
        <v>44</v>
      </c>
    </row>
    <row r="313" spans="1:6" x14ac:dyDescent="0.2">
      <c r="A313" s="3">
        <v>40883</v>
      </c>
      <c r="B313">
        <v>2</v>
      </c>
      <c r="C313">
        <v>3</v>
      </c>
      <c r="D313">
        <v>1</v>
      </c>
      <c r="E313">
        <f t="shared" si="8"/>
        <v>1.5714285714285714</v>
      </c>
      <c r="F313">
        <f t="shared" si="9"/>
        <v>44</v>
      </c>
    </row>
    <row r="314" spans="1:6" x14ac:dyDescent="0.2">
      <c r="A314" s="3">
        <v>40884</v>
      </c>
      <c r="B314">
        <v>0</v>
      </c>
      <c r="C314">
        <v>0</v>
      </c>
      <c r="D314">
        <v>0</v>
      </c>
      <c r="E314">
        <f t="shared" si="8"/>
        <v>1.5357142857142858</v>
      </c>
      <c r="F314">
        <f t="shared" si="9"/>
        <v>43</v>
      </c>
    </row>
    <row r="315" spans="1:6" x14ac:dyDescent="0.2">
      <c r="A315" s="3">
        <v>40885</v>
      </c>
      <c r="B315">
        <v>1</v>
      </c>
      <c r="C315">
        <v>2</v>
      </c>
      <c r="D315">
        <v>0</v>
      </c>
      <c r="E315">
        <f t="shared" si="8"/>
        <v>1.5714285714285714</v>
      </c>
      <c r="F315">
        <f t="shared" si="9"/>
        <v>44</v>
      </c>
    </row>
    <row r="316" spans="1:6" x14ac:dyDescent="0.2">
      <c r="A316" s="3">
        <v>40886</v>
      </c>
      <c r="B316">
        <v>0</v>
      </c>
      <c r="C316">
        <v>0</v>
      </c>
      <c r="D316">
        <v>0</v>
      </c>
      <c r="E316">
        <f t="shared" si="8"/>
        <v>1.5357142857142858</v>
      </c>
      <c r="F316">
        <f t="shared" si="9"/>
        <v>43</v>
      </c>
    </row>
    <row r="317" spans="1:6" x14ac:dyDescent="0.2">
      <c r="A317" s="3">
        <v>40887</v>
      </c>
      <c r="B317">
        <v>0</v>
      </c>
      <c r="C317">
        <v>0</v>
      </c>
      <c r="D317">
        <v>2</v>
      </c>
      <c r="E317">
        <f t="shared" si="8"/>
        <v>1.5357142857142858</v>
      </c>
      <c r="F317">
        <f t="shared" si="9"/>
        <v>43</v>
      </c>
    </row>
    <row r="318" spans="1:6" x14ac:dyDescent="0.2">
      <c r="A318" s="3">
        <v>40888</v>
      </c>
      <c r="B318">
        <v>2</v>
      </c>
      <c r="C318">
        <v>0</v>
      </c>
      <c r="D318">
        <v>1</v>
      </c>
      <c r="E318">
        <f t="shared" si="8"/>
        <v>1.3928571428571428</v>
      </c>
      <c r="F318">
        <f t="shared" si="9"/>
        <v>39</v>
      </c>
    </row>
    <row r="319" spans="1:6" x14ac:dyDescent="0.2">
      <c r="A319" s="3">
        <v>40889</v>
      </c>
      <c r="B319">
        <v>0</v>
      </c>
      <c r="C319">
        <v>0</v>
      </c>
      <c r="D319">
        <v>0</v>
      </c>
      <c r="E319">
        <f t="shared" si="8"/>
        <v>1.3571428571428572</v>
      </c>
      <c r="F319">
        <f t="shared" si="9"/>
        <v>38</v>
      </c>
    </row>
    <row r="320" spans="1:6" x14ac:dyDescent="0.2">
      <c r="A320" s="3">
        <v>40890</v>
      </c>
      <c r="B320">
        <v>1</v>
      </c>
      <c r="C320">
        <v>2</v>
      </c>
      <c r="D320">
        <v>2</v>
      </c>
      <c r="E320">
        <f t="shared" si="8"/>
        <v>1.3928571428571428</v>
      </c>
      <c r="F320">
        <f t="shared" si="9"/>
        <v>39</v>
      </c>
    </row>
    <row r="321" spans="1:6" x14ac:dyDescent="0.2">
      <c r="A321" s="3">
        <v>40891</v>
      </c>
      <c r="B321">
        <v>0</v>
      </c>
      <c r="C321">
        <v>1</v>
      </c>
      <c r="D321">
        <v>2</v>
      </c>
      <c r="E321">
        <f t="shared" si="8"/>
        <v>1.3928571428571428</v>
      </c>
      <c r="F321">
        <f t="shared" si="9"/>
        <v>39</v>
      </c>
    </row>
    <row r="322" spans="1:6" x14ac:dyDescent="0.2">
      <c r="A322" s="3">
        <v>40892</v>
      </c>
      <c r="B322">
        <v>1</v>
      </c>
      <c r="C322">
        <v>1</v>
      </c>
      <c r="D322">
        <v>1</v>
      </c>
      <c r="E322">
        <f t="shared" si="8"/>
        <v>1.4285714285714286</v>
      </c>
      <c r="F322">
        <f t="shared" si="9"/>
        <v>40</v>
      </c>
    </row>
    <row r="323" spans="1:6" x14ac:dyDescent="0.2">
      <c r="A323" s="3">
        <v>40893</v>
      </c>
      <c r="B323">
        <v>2</v>
      </c>
      <c r="C323">
        <v>0</v>
      </c>
      <c r="D323">
        <v>1</v>
      </c>
      <c r="E323">
        <f t="shared" si="8"/>
        <v>1.4642857142857142</v>
      </c>
      <c r="F323">
        <f t="shared" si="9"/>
        <v>41</v>
      </c>
    </row>
    <row r="324" spans="1:6" x14ac:dyDescent="0.2">
      <c r="A324" s="3">
        <v>40894</v>
      </c>
      <c r="B324">
        <v>2</v>
      </c>
      <c r="C324">
        <v>0</v>
      </c>
      <c r="D324">
        <v>6</v>
      </c>
      <c r="E324">
        <f t="shared" si="8"/>
        <v>1.4285714285714286</v>
      </c>
      <c r="F324">
        <f t="shared" si="9"/>
        <v>40</v>
      </c>
    </row>
    <row r="325" spans="1:6" x14ac:dyDescent="0.2">
      <c r="A325" s="3">
        <v>40895</v>
      </c>
      <c r="B325">
        <v>6</v>
      </c>
      <c r="C325">
        <v>2</v>
      </c>
      <c r="D325">
        <v>0</v>
      </c>
      <c r="E325">
        <f t="shared" si="8"/>
        <v>1.5</v>
      </c>
      <c r="F325">
        <f t="shared" si="9"/>
        <v>42</v>
      </c>
    </row>
    <row r="326" spans="1:6" x14ac:dyDescent="0.2">
      <c r="A326" s="3">
        <v>40896</v>
      </c>
      <c r="B326">
        <v>2</v>
      </c>
      <c r="C326">
        <v>4</v>
      </c>
      <c r="D326">
        <v>1</v>
      </c>
      <c r="E326">
        <f t="shared" si="8"/>
        <v>1.5714285714285714</v>
      </c>
      <c r="F326">
        <f t="shared" si="9"/>
        <v>44</v>
      </c>
    </row>
    <row r="327" spans="1:6" x14ac:dyDescent="0.2">
      <c r="A327" s="3">
        <v>40897</v>
      </c>
      <c r="B327">
        <v>3</v>
      </c>
      <c r="C327">
        <v>1</v>
      </c>
      <c r="D327">
        <v>0</v>
      </c>
      <c r="E327">
        <f t="shared" si="8"/>
        <v>1.6785714285714286</v>
      </c>
      <c r="F327">
        <f t="shared" si="9"/>
        <v>47</v>
      </c>
    </row>
    <row r="328" spans="1:6" x14ac:dyDescent="0.2">
      <c r="A328" s="3">
        <v>40898</v>
      </c>
      <c r="B328">
        <v>5</v>
      </c>
      <c r="C328">
        <v>0</v>
      </c>
      <c r="D328">
        <v>0</v>
      </c>
      <c r="E328">
        <f t="shared" si="8"/>
        <v>1.8214285714285714</v>
      </c>
      <c r="F328">
        <f t="shared" si="9"/>
        <v>51</v>
      </c>
    </row>
    <row r="329" spans="1:6" x14ac:dyDescent="0.2">
      <c r="A329" s="3">
        <v>40899</v>
      </c>
      <c r="B329">
        <v>3</v>
      </c>
      <c r="C329">
        <v>0</v>
      </c>
      <c r="D329">
        <v>2</v>
      </c>
      <c r="E329">
        <f t="shared" si="8"/>
        <v>1.9285714285714286</v>
      </c>
      <c r="F329">
        <f t="shared" si="9"/>
        <v>54</v>
      </c>
    </row>
    <row r="330" spans="1:6" x14ac:dyDescent="0.2">
      <c r="A330" s="3">
        <v>40900</v>
      </c>
      <c r="B330">
        <v>5</v>
      </c>
      <c r="C330">
        <v>1</v>
      </c>
      <c r="D330">
        <v>0</v>
      </c>
      <c r="E330">
        <f t="shared" si="8"/>
        <v>2.0357142857142856</v>
      </c>
      <c r="F330">
        <f t="shared" si="9"/>
        <v>57</v>
      </c>
    </row>
    <row r="331" spans="1:6" x14ac:dyDescent="0.2">
      <c r="A331" s="3">
        <v>40901</v>
      </c>
      <c r="B331">
        <v>1</v>
      </c>
      <c r="C331">
        <v>2</v>
      </c>
      <c r="D331">
        <v>0</v>
      </c>
      <c r="E331">
        <f t="shared" si="8"/>
        <v>2.0714285714285716</v>
      </c>
      <c r="F331">
        <f t="shared" si="9"/>
        <v>58</v>
      </c>
    </row>
    <row r="332" spans="1:6" x14ac:dyDescent="0.2">
      <c r="A332" s="3">
        <v>40902</v>
      </c>
      <c r="B332">
        <v>0</v>
      </c>
      <c r="C332">
        <v>0</v>
      </c>
      <c r="D332">
        <v>0</v>
      </c>
      <c r="E332">
        <f t="shared" si="8"/>
        <v>2.0714285714285716</v>
      </c>
      <c r="F332">
        <f t="shared" si="9"/>
        <v>58</v>
      </c>
    </row>
    <row r="333" spans="1:6" x14ac:dyDescent="0.2">
      <c r="A333" s="3">
        <v>40903</v>
      </c>
      <c r="B333">
        <v>1</v>
      </c>
      <c r="C333">
        <v>0</v>
      </c>
      <c r="D333">
        <v>0</v>
      </c>
      <c r="E333">
        <f t="shared" si="8"/>
        <v>2.0714285714285716</v>
      </c>
      <c r="F333">
        <f t="shared" si="9"/>
        <v>58</v>
      </c>
    </row>
    <row r="334" spans="1:6" x14ac:dyDescent="0.2">
      <c r="A334" s="3">
        <v>40904</v>
      </c>
      <c r="B334">
        <v>1</v>
      </c>
      <c r="C334">
        <v>1</v>
      </c>
      <c r="D334">
        <v>0</v>
      </c>
      <c r="E334">
        <f t="shared" si="8"/>
        <v>2.1071428571428572</v>
      </c>
      <c r="F334">
        <f t="shared" si="9"/>
        <v>59</v>
      </c>
    </row>
    <row r="335" spans="1:6" x14ac:dyDescent="0.2">
      <c r="A335" s="3">
        <v>40905</v>
      </c>
      <c r="B335">
        <v>1</v>
      </c>
      <c r="C335">
        <v>0</v>
      </c>
      <c r="D335">
        <v>0</v>
      </c>
      <c r="E335">
        <f t="shared" si="8"/>
        <v>1.8571428571428572</v>
      </c>
      <c r="F335">
        <f t="shared" si="9"/>
        <v>52</v>
      </c>
    </row>
    <row r="336" spans="1:6" x14ac:dyDescent="0.2">
      <c r="A336" s="3">
        <v>40906</v>
      </c>
      <c r="B336">
        <v>0</v>
      </c>
      <c r="C336">
        <v>1</v>
      </c>
      <c r="D336">
        <v>0</v>
      </c>
      <c r="E336">
        <f t="shared" si="8"/>
        <v>1.75</v>
      </c>
      <c r="F336">
        <f t="shared" si="9"/>
        <v>49</v>
      </c>
    </row>
    <row r="337" spans="1:6" x14ac:dyDescent="0.2">
      <c r="A337" s="3">
        <v>40907</v>
      </c>
      <c r="B337">
        <v>0</v>
      </c>
      <c r="C337">
        <v>0</v>
      </c>
      <c r="D337">
        <v>1</v>
      </c>
      <c r="E337">
        <f t="shared" si="8"/>
        <v>1.7142857142857142</v>
      </c>
      <c r="F337">
        <f t="shared" si="9"/>
        <v>48</v>
      </c>
    </row>
    <row r="338" spans="1:6" x14ac:dyDescent="0.2">
      <c r="A338" s="3">
        <v>40908</v>
      </c>
      <c r="B338">
        <v>2</v>
      </c>
      <c r="C338">
        <v>1</v>
      </c>
      <c r="D338">
        <v>1</v>
      </c>
      <c r="E338">
        <f t="shared" si="8"/>
        <v>1.75</v>
      </c>
      <c r="F338">
        <f t="shared" si="9"/>
        <v>49</v>
      </c>
    </row>
    <row r="339" spans="1:6" x14ac:dyDescent="0.2">
      <c r="A339" s="3">
        <v>40909</v>
      </c>
      <c r="B339">
        <v>2</v>
      </c>
      <c r="C339">
        <v>0</v>
      </c>
      <c r="D339">
        <v>0</v>
      </c>
      <c r="E339">
        <f t="shared" si="8"/>
        <v>1.6428571428571428</v>
      </c>
      <c r="F339">
        <f t="shared" si="9"/>
        <v>46</v>
      </c>
    </row>
    <row r="340" spans="1:6" x14ac:dyDescent="0.2">
      <c r="A340" s="3">
        <v>40910</v>
      </c>
      <c r="B340">
        <v>0</v>
      </c>
      <c r="C340">
        <v>2</v>
      </c>
      <c r="D340">
        <v>0</v>
      </c>
      <c r="E340">
        <f t="shared" si="8"/>
        <v>1.5357142857142858</v>
      </c>
      <c r="F340">
        <f t="shared" si="9"/>
        <v>43</v>
      </c>
    </row>
    <row r="341" spans="1:6" x14ac:dyDescent="0.2">
      <c r="A341" s="3">
        <v>40911</v>
      </c>
      <c r="B341">
        <v>0</v>
      </c>
      <c r="C341">
        <v>0</v>
      </c>
      <c r="D341">
        <v>0</v>
      </c>
      <c r="E341">
        <f t="shared" si="8"/>
        <v>1.4642857142857142</v>
      </c>
      <c r="F341">
        <f t="shared" si="9"/>
        <v>41</v>
      </c>
    </row>
    <row r="342" spans="1:6" x14ac:dyDescent="0.2">
      <c r="A342" s="3">
        <v>40912</v>
      </c>
      <c r="B342">
        <v>1</v>
      </c>
      <c r="C342">
        <v>2</v>
      </c>
      <c r="D342">
        <v>0</v>
      </c>
      <c r="E342">
        <f t="shared" si="8"/>
        <v>1.5</v>
      </c>
      <c r="F342">
        <f t="shared" si="9"/>
        <v>42</v>
      </c>
    </row>
    <row r="343" spans="1:6" x14ac:dyDescent="0.2">
      <c r="A343" s="3">
        <v>40913</v>
      </c>
      <c r="B343">
        <v>1</v>
      </c>
      <c r="C343">
        <v>0</v>
      </c>
      <c r="D343">
        <v>1</v>
      </c>
      <c r="E343">
        <f t="shared" si="8"/>
        <v>1.5</v>
      </c>
      <c r="F343">
        <f t="shared" si="9"/>
        <v>42</v>
      </c>
    </row>
    <row r="344" spans="1:6" x14ac:dyDescent="0.2">
      <c r="A344" s="3">
        <v>40914</v>
      </c>
      <c r="B344">
        <v>0</v>
      </c>
      <c r="C344">
        <v>0</v>
      </c>
      <c r="D344">
        <v>0</v>
      </c>
      <c r="E344">
        <f t="shared" si="8"/>
        <v>1.5</v>
      </c>
      <c r="F344">
        <f t="shared" si="9"/>
        <v>42</v>
      </c>
    </row>
    <row r="345" spans="1:6" x14ac:dyDescent="0.2">
      <c r="A345" s="3">
        <v>40915</v>
      </c>
      <c r="B345">
        <v>1</v>
      </c>
      <c r="C345">
        <v>0</v>
      </c>
      <c r="D345">
        <v>0</v>
      </c>
      <c r="E345">
        <f t="shared" si="8"/>
        <v>1.5357142857142858</v>
      </c>
      <c r="F345">
        <f t="shared" si="9"/>
        <v>43</v>
      </c>
    </row>
    <row r="346" spans="1:6" x14ac:dyDescent="0.2">
      <c r="A346" s="3">
        <v>40916</v>
      </c>
      <c r="B346">
        <v>0</v>
      </c>
      <c r="C346">
        <v>4</v>
      </c>
      <c r="D346">
        <v>0</v>
      </c>
      <c r="E346">
        <f t="shared" si="8"/>
        <v>1.4642857142857142</v>
      </c>
      <c r="F346">
        <f t="shared" si="9"/>
        <v>41</v>
      </c>
    </row>
    <row r="347" spans="1:6" x14ac:dyDescent="0.2">
      <c r="A347" s="3">
        <v>40917</v>
      </c>
      <c r="B347">
        <v>0</v>
      </c>
      <c r="C347">
        <v>2</v>
      </c>
      <c r="D347">
        <v>0</v>
      </c>
      <c r="E347">
        <f t="shared" si="8"/>
        <v>1.4642857142857142</v>
      </c>
      <c r="F347">
        <f t="shared" si="9"/>
        <v>41</v>
      </c>
    </row>
    <row r="348" spans="1:6" x14ac:dyDescent="0.2">
      <c r="A348" s="3">
        <v>40918</v>
      </c>
      <c r="B348">
        <v>0</v>
      </c>
      <c r="C348">
        <v>0</v>
      </c>
      <c r="D348">
        <v>1</v>
      </c>
      <c r="E348">
        <f t="shared" si="8"/>
        <v>1.4285714285714286</v>
      </c>
      <c r="F348">
        <f t="shared" si="9"/>
        <v>40</v>
      </c>
    </row>
    <row r="349" spans="1:6" x14ac:dyDescent="0.2">
      <c r="A349" s="3">
        <v>40919</v>
      </c>
      <c r="B349">
        <v>2</v>
      </c>
      <c r="C349">
        <v>2</v>
      </c>
      <c r="D349">
        <v>1</v>
      </c>
      <c r="E349">
        <f t="shared" si="8"/>
        <v>1.5</v>
      </c>
      <c r="F349">
        <f t="shared" si="9"/>
        <v>42</v>
      </c>
    </row>
    <row r="350" spans="1:6" x14ac:dyDescent="0.2">
      <c r="A350" s="3">
        <v>40920</v>
      </c>
      <c r="B350">
        <v>0</v>
      </c>
      <c r="C350">
        <v>1</v>
      </c>
      <c r="D350">
        <v>0</v>
      </c>
      <c r="E350">
        <f t="shared" ref="E350:E366" si="10">AVERAGE(B323:B350)</f>
        <v>1.4642857142857142</v>
      </c>
      <c r="F350">
        <f t="shared" ref="F350:F366" si="11">SUM(B323:B350)</f>
        <v>41</v>
      </c>
    </row>
    <row r="351" spans="1:6" x14ac:dyDescent="0.2">
      <c r="A351" s="3">
        <v>40921</v>
      </c>
      <c r="B351">
        <v>1</v>
      </c>
      <c r="C351">
        <v>0</v>
      </c>
      <c r="D351">
        <v>1</v>
      </c>
      <c r="E351">
        <f t="shared" si="10"/>
        <v>1.4285714285714286</v>
      </c>
      <c r="F351">
        <f t="shared" si="11"/>
        <v>40</v>
      </c>
    </row>
    <row r="352" spans="1:6" x14ac:dyDescent="0.2">
      <c r="A352" s="3">
        <v>40922</v>
      </c>
      <c r="B352">
        <v>0</v>
      </c>
      <c r="C352">
        <v>1</v>
      </c>
      <c r="D352">
        <v>4</v>
      </c>
      <c r="E352">
        <f t="shared" si="10"/>
        <v>1.3571428571428572</v>
      </c>
      <c r="F352">
        <f t="shared" si="11"/>
        <v>38</v>
      </c>
    </row>
    <row r="353" spans="1:6" x14ac:dyDescent="0.2">
      <c r="A353" s="3">
        <v>40923</v>
      </c>
      <c r="B353">
        <v>1</v>
      </c>
      <c r="C353">
        <v>0</v>
      </c>
      <c r="D353">
        <v>0</v>
      </c>
      <c r="E353">
        <f t="shared" si="10"/>
        <v>1.1785714285714286</v>
      </c>
      <c r="F353">
        <f t="shared" si="11"/>
        <v>33</v>
      </c>
    </row>
    <row r="354" spans="1:6" x14ac:dyDescent="0.2">
      <c r="A354" s="3">
        <v>40924</v>
      </c>
      <c r="B354">
        <v>1</v>
      </c>
      <c r="C354">
        <v>0</v>
      </c>
      <c r="D354">
        <v>0</v>
      </c>
      <c r="E354">
        <f t="shared" si="10"/>
        <v>1.1428571428571428</v>
      </c>
      <c r="F354">
        <f t="shared" si="11"/>
        <v>32</v>
      </c>
    </row>
    <row r="355" spans="1:6" x14ac:dyDescent="0.2">
      <c r="A355" s="3">
        <v>40925</v>
      </c>
      <c r="B355">
        <v>1</v>
      </c>
      <c r="C355">
        <v>1</v>
      </c>
      <c r="D355">
        <v>2</v>
      </c>
      <c r="E355">
        <f t="shared" si="10"/>
        <v>1.0714285714285714</v>
      </c>
      <c r="F355">
        <f t="shared" si="11"/>
        <v>30</v>
      </c>
    </row>
    <row r="356" spans="1:6" x14ac:dyDescent="0.2">
      <c r="A356" s="3">
        <v>40926</v>
      </c>
      <c r="B356">
        <v>0</v>
      </c>
      <c r="C356">
        <v>1</v>
      </c>
      <c r="D356">
        <v>0</v>
      </c>
      <c r="E356">
        <f t="shared" si="10"/>
        <v>0.8928571428571429</v>
      </c>
      <c r="F356">
        <f t="shared" si="11"/>
        <v>25</v>
      </c>
    </row>
    <row r="357" spans="1:6" x14ac:dyDescent="0.2">
      <c r="A357" s="3">
        <v>40927</v>
      </c>
      <c r="B357">
        <v>0</v>
      </c>
      <c r="C357">
        <v>1</v>
      </c>
      <c r="D357">
        <v>0</v>
      </c>
      <c r="E357">
        <f t="shared" si="10"/>
        <v>0.7857142857142857</v>
      </c>
      <c r="F357">
        <f t="shared" si="11"/>
        <v>22</v>
      </c>
    </row>
    <row r="358" spans="1:6" x14ac:dyDescent="0.2">
      <c r="A358" s="3">
        <v>40928</v>
      </c>
      <c r="B358">
        <v>4</v>
      </c>
      <c r="C358">
        <v>0</v>
      </c>
      <c r="D358">
        <v>0</v>
      </c>
      <c r="E358">
        <f t="shared" si="10"/>
        <v>0.75</v>
      </c>
      <c r="F358">
        <f t="shared" si="11"/>
        <v>21</v>
      </c>
    </row>
    <row r="359" spans="1:6" x14ac:dyDescent="0.2">
      <c r="A359" s="3">
        <v>40929</v>
      </c>
      <c r="B359">
        <v>1</v>
      </c>
      <c r="C359">
        <v>0</v>
      </c>
      <c r="D359">
        <v>0</v>
      </c>
      <c r="E359">
        <f t="shared" si="10"/>
        <v>0.75</v>
      </c>
      <c r="F359">
        <f t="shared" si="11"/>
        <v>21</v>
      </c>
    </row>
    <row r="360" spans="1:6" x14ac:dyDescent="0.2">
      <c r="A360" s="3">
        <v>40930</v>
      </c>
      <c r="B360">
        <v>1</v>
      </c>
      <c r="C360">
        <v>0</v>
      </c>
      <c r="D360">
        <v>0</v>
      </c>
      <c r="E360">
        <f t="shared" si="10"/>
        <v>0.7857142857142857</v>
      </c>
      <c r="F360">
        <f t="shared" si="11"/>
        <v>22</v>
      </c>
    </row>
    <row r="361" spans="1:6" x14ac:dyDescent="0.2">
      <c r="A361" s="3">
        <v>40931</v>
      </c>
      <c r="B361">
        <v>0</v>
      </c>
      <c r="C361">
        <v>2</v>
      </c>
      <c r="D361">
        <v>0</v>
      </c>
      <c r="E361">
        <f t="shared" si="10"/>
        <v>0.75</v>
      </c>
      <c r="F361">
        <f t="shared" si="11"/>
        <v>21</v>
      </c>
    </row>
    <row r="362" spans="1:6" x14ac:dyDescent="0.2">
      <c r="A362" s="3">
        <v>40932</v>
      </c>
      <c r="B362">
        <v>0</v>
      </c>
      <c r="C362">
        <v>0</v>
      </c>
      <c r="D362">
        <v>1</v>
      </c>
      <c r="E362">
        <f t="shared" si="10"/>
        <v>0.7142857142857143</v>
      </c>
      <c r="F362">
        <f t="shared" si="11"/>
        <v>20</v>
      </c>
    </row>
    <row r="363" spans="1:6" x14ac:dyDescent="0.2">
      <c r="A363" s="3">
        <v>40933</v>
      </c>
      <c r="B363">
        <v>0</v>
      </c>
      <c r="C363">
        <v>1</v>
      </c>
      <c r="D363">
        <v>1</v>
      </c>
      <c r="E363">
        <f t="shared" si="10"/>
        <v>0.6785714285714286</v>
      </c>
      <c r="F363">
        <f t="shared" si="11"/>
        <v>19</v>
      </c>
    </row>
    <row r="364" spans="1:6" x14ac:dyDescent="0.2">
      <c r="A364" s="3">
        <v>40934</v>
      </c>
      <c r="B364">
        <v>0</v>
      </c>
      <c r="C364">
        <v>3</v>
      </c>
      <c r="D364">
        <v>1</v>
      </c>
      <c r="E364">
        <f t="shared" si="10"/>
        <v>0.6785714285714286</v>
      </c>
      <c r="F364">
        <f t="shared" si="11"/>
        <v>19</v>
      </c>
    </row>
    <row r="365" spans="1:6" x14ac:dyDescent="0.2">
      <c r="A365" s="3">
        <v>40935</v>
      </c>
      <c r="B365">
        <v>0</v>
      </c>
      <c r="C365">
        <v>0</v>
      </c>
      <c r="D365">
        <v>0</v>
      </c>
      <c r="E365">
        <f t="shared" si="10"/>
        <v>0.6785714285714286</v>
      </c>
      <c r="F365">
        <f t="shared" si="11"/>
        <v>19</v>
      </c>
    </row>
    <row r="366" spans="1:6" x14ac:dyDescent="0.2">
      <c r="A366" s="3">
        <v>40936</v>
      </c>
      <c r="B366">
        <v>2</v>
      </c>
      <c r="C366">
        <v>0</v>
      </c>
      <c r="D366">
        <v>1</v>
      </c>
      <c r="E366">
        <f t="shared" si="10"/>
        <v>0.6785714285714286</v>
      </c>
      <c r="F366">
        <f t="shared" si="11"/>
        <v>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F9A2-4CB5-704B-8844-16D8DC78ED31}">
  <dimension ref="A2:D5"/>
  <sheetViews>
    <sheetView workbookViewId="0">
      <selection activeCell="M15" sqref="M15"/>
    </sheetView>
  </sheetViews>
  <sheetFormatPr baseColWidth="10" defaultRowHeight="16" x14ac:dyDescent="0.2"/>
  <sheetData>
    <row r="2" spans="1:4" x14ac:dyDescent="0.2">
      <c r="B2" t="s">
        <v>481</v>
      </c>
      <c r="C2" t="s">
        <v>482</v>
      </c>
      <c r="D2" t="s">
        <v>482</v>
      </c>
    </row>
    <row r="3" spans="1:4" ht="17" x14ac:dyDescent="0.25">
      <c r="A3" t="s">
        <v>481</v>
      </c>
      <c r="B3" s="6">
        <v>1</v>
      </c>
      <c r="C3" s="6">
        <f>CORREL(RawData!$M$2:$M$366,RawData!$N$2:$N$366)</f>
        <v>-8.5017457276490467E-3</v>
      </c>
      <c r="D3" s="7">
        <f>CORREL(RawData!$M$2:$M$366,RawData!$O$2:$O$366)</f>
        <v>0.12936336177435193</v>
      </c>
    </row>
    <row r="4" spans="1:4" x14ac:dyDescent="0.2">
      <c r="A4" t="s">
        <v>482</v>
      </c>
      <c r="B4" s="6">
        <f>CORREL(RawData!$M$2:$M$366,RawData!$N$2:$N$366)</f>
        <v>-8.5017457276490467E-3</v>
      </c>
      <c r="C4" s="6">
        <v>1</v>
      </c>
      <c r="D4" s="6">
        <f>CORREL(RawData!$N$2:$N$366,RawData!$O$2:$O$366)</f>
        <v>8.2352818656197577E-2</v>
      </c>
    </row>
    <row r="5" spans="1:4" x14ac:dyDescent="0.2">
      <c r="A5" t="s">
        <v>483</v>
      </c>
      <c r="B5" s="6">
        <f>CORREL(RawData!$M$2:$M$366,RawData!$O$2:$O$366)</f>
        <v>0.12936336177435193</v>
      </c>
      <c r="C5" s="6">
        <f>CORREL(RawData!$O$2:$O$366,RawData!$N$2:$N$366)</f>
        <v>8.2352818656197577E-2</v>
      </c>
      <c r="D5" s="6">
        <v>1</v>
      </c>
    </row>
  </sheetData>
  <conditionalFormatting sqref="A2:D5">
    <cfRule type="colorScale" priority="1">
      <colorScale>
        <cfvo type="min"/>
        <cfvo type="percentile" val="50"/>
        <cfvo type="max"/>
        <color rgb="FFFF7128"/>
        <color theme="3" tint="0.499984740745262"/>
        <color theme="9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D5">
    <cfRule type="colorScale" priority="2">
      <colorScale>
        <cfvo type="min"/>
        <cfvo type="percentile" val="50"/>
        <cfvo type="max"/>
        <color rgb="FFFF7128"/>
        <color theme="5" tint="0.59999389629810485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RawData</vt:lpstr>
      <vt:lpstr>SummaryStats</vt:lpstr>
      <vt:lpstr>WeekdayPattern</vt:lpstr>
      <vt:lpstr>MonthlyPattern</vt:lpstr>
      <vt:lpstr>EventAnalysis</vt:lpstr>
      <vt:lpstr>SnapAnalysis</vt:lpstr>
      <vt:lpstr>Rolling Trend</vt:lpstr>
      <vt:lpstr>CorrelationMatrix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Chudali</dc:creator>
  <cp:lastModifiedBy>Niraj Chudali</cp:lastModifiedBy>
  <dcterms:created xsi:type="dcterms:W3CDTF">2026-06-14T20:00:45Z</dcterms:created>
  <dcterms:modified xsi:type="dcterms:W3CDTF">2026-06-15T14:14:49Z</dcterms:modified>
</cp:coreProperties>
</file>